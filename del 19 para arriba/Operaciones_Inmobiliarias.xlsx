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tables/table1.xml" ContentType="application/vnd.openxmlformats-officedocument.spreadsheetml.tab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HIRO\Desktop\UNI\excel_udemy\del 19 para arriba\"/>
    </mc:Choice>
  </mc:AlternateContent>
  <xr:revisionPtr revIDLastSave="0" documentId="13_ncr:1_{5B27BA74-43EC-479F-B262-13A11BDB1781}" xr6:coauthVersionLast="47" xr6:coauthVersionMax="47" xr10:uidLastSave="{00000000-0000-0000-0000-000000000000}"/>
  <bookViews>
    <workbookView xWindow="-120" yWindow="-120" windowWidth="20730" windowHeight="11760" xr2:uid="{870A50B6-76C8-4EDA-AF70-96F47D26AF53}"/>
  </bookViews>
  <sheets>
    <sheet name="Hoja2" sheetId="5" r:id="rId1"/>
    <sheet name="Operaciones" sheetId="3" r:id="rId2"/>
    <sheet name="grafico de lineas" sheetId="4" r:id="rId3"/>
  </sheets>
  <definedNames>
    <definedName name="_xlchart.v5.0" hidden="1">Hoja2!$A$11:$B$11</definedName>
    <definedName name="_xlchart.v5.1" hidden="1">Hoja2!$A$12:$B$15</definedName>
    <definedName name="_xlchart.v5.2" hidden="1">Hoja2!$C$10</definedName>
    <definedName name="_xlchart.v5.3" hidden="1">Hoja2!$C$11</definedName>
    <definedName name="_xlchart.v5.4" hidden="1">Hoja2!$C$12:$C$15</definedName>
    <definedName name="_xlchart.v5.5" hidden="1">Hoja2!$A$11:$B$11</definedName>
    <definedName name="_xlchart.v5.6" hidden="1">Hoja2!$A$12:$B$15</definedName>
    <definedName name="_xlchart.v5.7" hidden="1">Hoja2!$C$10</definedName>
    <definedName name="_xlchart.v5.8" hidden="1">Hoja2!$C$11</definedName>
    <definedName name="_xlchart.v5.9" hidden="1">Hoja2!$C$12:$C$15</definedName>
  </definedNames>
  <calcPr calcId="191029"/>
  <pivotCaches>
    <pivotCache cacheId="5" r:id="rId4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5" i="5" l="1"/>
  <c r="C14" i="5"/>
  <c r="C13" i="5"/>
  <c r="C12" i="5"/>
</calcChain>
</file>

<file path=xl/sharedStrings.xml><?xml version="1.0" encoding="utf-8"?>
<sst xmlns="http://schemas.openxmlformats.org/spreadsheetml/2006/main" count="11074" uniqueCount="44">
  <si>
    <t>Id Operación</t>
  </si>
  <si>
    <t>Fecha Alta</t>
  </si>
  <si>
    <t>Operación</t>
  </si>
  <si>
    <t>Provincia</t>
  </si>
  <si>
    <t>Superficie (m²)</t>
  </si>
  <si>
    <t>Costos Operativos</t>
  </si>
  <si>
    <t>Monto Total Operación</t>
  </si>
  <si>
    <t>Beneficio Propietario</t>
  </si>
  <si>
    <t>Ganancia</t>
  </si>
  <si>
    <t>Fecha Operación</t>
  </si>
  <si>
    <t>Vendedor</t>
  </si>
  <si>
    <t>Alquiler</t>
  </si>
  <si>
    <t>Venta</t>
  </si>
  <si>
    <t>Casa</t>
  </si>
  <si>
    <t>Romina</t>
  </si>
  <si>
    <t>Arturo</t>
  </si>
  <si>
    <t>Carlos</t>
  </si>
  <si>
    <t>Iván</t>
  </si>
  <si>
    <t>Ángeles</t>
  </si>
  <si>
    <t>Sabrina</t>
  </si>
  <si>
    <t>Sevilla</t>
  </si>
  <si>
    <t>Málaga</t>
  </si>
  <si>
    <t>Cádiz</t>
  </si>
  <si>
    <t>Córdoba</t>
  </si>
  <si>
    <t>Depósito</t>
  </si>
  <si>
    <t>Estacionamiento</t>
  </si>
  <si>
    <t>Local Comercial</t>
  </si>
  <si>
    <t>Departamento</t>
  </si>
  <si>
    <t>Oficinas</t>
  </si>
  <si>
    <t>Terreno</t>
  </si>
  <si>
    <t>Tipo de Inmueble</t>
  </si>
  <si>
    <t>Calificación Operación</t>
  </si>
  <si>
    <t>Etiquetas de fila</t>
  </si>
  <si>
    <t>Total general</t>
  </si>
  <si>
    <t>2016</t>
  </si>
  <si>
    <t>2017</t>
  </si>
  <si>
    <t>2018</t>
  </si>
  <si>
    <t>2019</t>
  </si>
  <si>
    <t>Suma de Ganancia</t>
  </si>
  <si>
    <t>Cadiz</t>
  </si>
  <si>
    <t>País</t>
  </si>
  <si>
    <t>España</t>
  </si>
  <si>
    <t>Ganancias Totales</t>
  </si>
  <si>
    <t>Condado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</si>
</sst>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&quot;S/&quot;\ #,##0.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4" fontId="0" fillId="0" borderId="0" xfId="0" applyNumberFormat="1"/>
    <xf numFmtId="1" fontId="0" fillId="0" borderId="0" xfId="0" applyNumberFormat="1"/>
    <xf numFmtId="165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" xfId="0" builtinId="0"/>
  </cellStyles>
  <dxfs count="8">
    <dxf>
      <numFmt numFmtId="165" formatCode="&quot;S/&quot;\ #,##0.00"/>
    </dxf>
    <dxf>
      <numFmt numFmtId="165" formatCode="&quot;S/&quot;\ #,##0.00"/>
    </dxf>
    <dxf>
      <numFmt numFmtId="165" formatCode="&quot;S/&quot;\ #,##0.00"/>
    </dxf>
    <dxf>
      <numFmt numFmtId="165" formatCode="&quot;S/&quot;\ #,##0.00"/>
    </dxf>
    <dxf>
      <numFmt numFmtId="165" formatCode="&quot;S/&quot;\ #,##0.00"/>
    </dxf>
    <dxf>
      <numFmt numFmtId="1" formatCode="0"/>
    </dxf>
    <dxf>
      <numFmt numFmtId="19" formatCode="d/mm/yyyy"/>
    </dxf>
    <dxf>
      <numFmt numFmtId="19" formatCode="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[Operaciones_Inmobiliarias.xlsx]grafico de lineas!TablaDinámica1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Ganancias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title>
    <c:autoTitleDeleted val="0"/>
    <c:pivotFmts>
      <c:pivotFmt>
        <c:idx val="0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noFill/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'grafico de lineas'!$B$3</c:f>
              <c:strCache>
                <c:ptCount val="1"/>
                <c:pt idx="0">
                  <c:v>Total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cat>
            <c:strRef>
              <c:f>'grafico de lineas'!$A$4:$A$8</c:f>
              <c:strCache>
                <c:ptCount val="4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</c:strCache>
            </c:strRef>
          </c:cat>
          <c:val>
            <c:numRef>
              <c:f>'grafico de lineas'!$B$4:$B$8</c:f>
              <c:numCache>
                <c:formatCode>"S/"\ #,##0.00</c:formatCode>
                <c:ptCount val="4"/>
                <c:pt idx="0">
                  <c:v>71681850.960000023</c:v>
                </c:pt>
                <c:pt idx="1">
                  <c:v>209635220.24000034</c:v>
                </c:pt>
                <c:pt idx="2">
                  <c:v>202444737.99999979</c:v>
                </c:pt>
                <c:pt idx="3">
                  <c:v>70798237.560000047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255-4D88-B332-D697EFB39D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13571080"/>
        <c:axId val="413570000"/>
      </c:lineChart>
      <c:catAx>
        <c:axId val="4135710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413570000"/>
        <c:crosses val="autoZero"/>
        <c:auto val="1"/>
        <c:lblAlgn val="ctr"/>
        <c:lblOffset val="100"/>
        <c:noMultiLvlLbl val="0"/>
      </c:catAx>
      <c:valAx>
        <c:axId val="4135700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S/&quot;\ 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4135710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_xlchart.v5.1</cx:f>
        <cx:nf>_xlchart.v5.0</cx:nf>
      </cx:strDim>
      <cx:numDim type="colorVal">
        <cx:f>_xlchart.v5.4</cx:f>
        <cx:nf>_xlchart.v5.3</cx:nf>
      </cx:numDim>
    </cx:data>
  </cx:chartData>
  <cx:chart>
    <cx:title pos="t" align="ctr" overlay="0"/>
    <cx:plotArea>
      <cx:plotAreaRegion>
        <cx:series layoutId="regionMap" uniqueId="{5361361C-9950-41CB-8BF4-65A72A03E443}">
          <cx:tx>
            <cx:txData>
              <cx:f>_xlchart.v5.3</cx:f>
              <cx:v>Ganancias Totales</cx:v>
            </cx:txData>
          </cx:tx>
          <cx:dataId val="0"/>
          <cx:layoutPr>
            <cx:regionLabelLayout val="none"/>
            <cx:geography viewedRegionType="state" cultureLanguage="es-ES" cultureRegion="PE" attribution="Con tecnología de Bing">
              <cx:geoCache provider="{E9337A44-BEBE-4D9F-B70C-5C5E7DAFC167}">
                <cx:binary>3JrJjuW4kqZfJRHrVqQ4kxc3L9CUdCYfwt3DY9wInj5QEqmJmii9TS1r0YtGP0K+WNuJzIwcKvMO
QHUBXY5AOI7rUKJoRrPfPuNfH8NfHt3zg/8m1K4Z/vIYvntVjGP3l2+/HR6L5/pheF2Xj74d2pfx
9WNbf9u+vJSPz98++YelbMy3OEb028fiwY/P4dXf/gp3M8/tZfv4MJZtczs9+/XueZjcOPyda394
6ZvHdmrG83ADd/ruVTZ0Dz/874dX3zw81WWTlsPoy8cRf/cqeXgqt1ffPDdjOa73a/f83avffuXV
N9/+/gn/YTbfOJjwOD3BYMJfM0aUiAlRP/68+sa1jfnpcsReCx4LijD+6bL8+eHXDzWMT374t380
oS/TeXh68s/DAO/z5fcvA38z++9e/c/m6cFNjz/8rz9695+e9WdrVQ5t8uMyJu353bK3Xxbj29+a
6W9//d0fYHl+95dfWfL3a/mPLv3zhvzh//in9nt4zf88W4rXSmGJuPrJWPy3tqSvZawwFWDtH3/o
zw//2Zb/xJT+zJo/D/2X7PnzoP8WFr364d/cg/lPNSh/LRGRTMY/777fG1RgphhX6I835z8zoz+2
59eR/4I5v475b2HNt89z6dw/tuZ/dehAv42Rfxo8/tU8IF5TThATnP5hHqCv4RJEDYx+ih3ot7Hj
13H7z+f0x87267F/x9/+a93qz+36NZ2mD+ND9iUR/yor/P2rP6eT3w398xzw8yofn757hRhjvzLr
+R4/Dfwxfv96HX+0wS+jnh+G8btXEXrNscBnEwpKJGdKvPpmef5ySbxmOJZEQTRBHMysIDs0rR8L
EAnytcDgGIIzEECcSrg0tNOXS/x1HBOpYqXQeRCRX3XRTetW0zZfF+Snz980U33Tls04fPdKMPXq
m+7H753nyrgglCCBGMcxk4wKmF/3+HAH4gu+jv4HVdQvM51fpk30ZRpV9aSSXFp0tTWjusxb1O64
a/ik1bBtp8nO18ibeU+wb9LQzyzrVjckJh6HQ9dJlMVT4T8Oa8h1KNW2b4diOzIh7L6cWRsnTe6b
nVRNf+oq335eTSVCMmIXjbqSE7qqQ4MehbdhF5pheo7jjR/EhotNl2xqWx0CcSohfEVXYQr4rVua
/N3MVV1qVBfhIJeYPrCuPpi2tBddXS1tsi5SXdjG4beDk9XBdcZN2nZjfW/jsTG646FzWZ4Tflwq
hh9ENYU33m3qQq4UXQlvrnCr2jwp8NDqAibQarqNbkcEhYWh2IvtJDsGUzJhbHVka5vrygz1nBhX
xucFJSzXqvFo0KL3DielgzkhtKArZzv5oWbYPIHBjU2InNSuokOgyVBWzakd3PYgcVTfu7mttaz8
ovQWjWVql2FKK9SiG4ubNkWNma+FpP7dhiKaxEqge4mH/CU3sbla82q9dRVnpSamt/cuVLcTGczl
Kny43aZpblIwqnsTy7F8Et7zg41ZeLNyEt5EBW0uczpFmZknvOmY9rZK6jwyb6bQidNUR2NCfB32
qLRrNi1kWPbMolBrU+bDYfFucdpFRfcSjSEvs2Xg9jDPgt9OwpM7lpfzpxqXmKdzLkSnmaylTZo1
bm+IWGEp5i3YWZu2c6XGdVwf68jVBfhdwbeE8YpfyKWqrvNobvds5u6m6dwa67bGdbsj0lh3YXoW
7fsZv+dRO162RR7SVtT2A4vmOUWeDoepldPBhZxefHn1arUlLEdVWj0yLNM1XqoLXw/dTRNqsa9w
NxzaYivByDY6BNUkRU1oNttoeYhWKd5GFMtjWfHpaJUdLnHLizd2dcsViecqyZGpDsjgIoutHa5L
R+s9r5YoU5JsTYIDCxdY+eqOcstP1TqMLutLs7xDM64/z/2ymh3aePtJSZGXmlUhqWZGkrksP1TV
cNvIRuzYIlmST0zu0BzPJJ1JtKIEIefbxHaVeyFhpNk2D3KvOKuXpC0dNnp1LIQPBvZHurZyHnTb
FcvVILYXjLB/zuPF6LqcVqOrtjK7ainKlNptKpJpqNpOL2M8JOtATZJbv71MkSMHvPbwTLGs9yNf
LyIyv11DWHXNquqGl5ZivY5tc70EU2hSFGvK843uRxylRlXVXT149bZG1d3iHL42GNF3Rs7xoi2b
bKOHqO+yYAV7Zr5cCr1uqsrKkfopwWohd8tQd6Xu66I/SdGqk8kNW3XpybIvscw/cGtsqYfW96kb
Ohv0quKkX0U4sUidaEfMDR6gpktK0kZXyzCviawXChZpoh0v8/lmndzktBmW4l5WMYeJjcamPQQk
q0H51Lth6NYTR3n72A9h/bQUhdJTwbnRZTVNpaZzH9Wah6n5KFlVHJaxhCmO3aZMEtqyf5iWPOrT
0uLB67IYkV57grNV1iiJI3xTCRYOA3OdRsa4lPrxY22L9mO58iENsqqu+g5H7yNZUV3nPNzwrXGF
ZkXnntZQZW4aJRiUO3+kZslcUz7xgLZsqJ3MT9GmujyLopFrE7g5LGFVVuftjKN9WS9VrZc+yCu/
rk2RDHikHye3lrFeCzpeo6HjQuOSzSyJOyaPJtRqZ/th2ZUkqkqtCH1EykW9HlQr9hDaqisjW3fX
GhdVadus4bMrbXEMfUBM84k3+7ju+9Q2ZX49mcWlxqAujd0U6bZB3Yey6cXOQGKK9/2aT+FGetfe
rpFwST3Af6azw64aFuvTIo/RJV5HnOVjI5Nlm6q9WDi5M/NCL3Hdg23UdBPhzicIV709cIejD4Nv
3A6S9K5pMUALSW57osZkzRFPF9h34IMu/6xm29y5KdBMNpRmJTYhCaHcNOklvRzomqdTLpaLYVuj
CzbP/RUy9jTl8fQ0QTq/mXraLxANBnDytfa5ljN1+1wRZtO6seh9T+V6W6vCxwmE0ehYrni6txun
u9x5t4P3MlKbyQx5OpB+PdZVs6S8aBzkyM7DAorhs3EMjDDZ6s5GzXAzeUi+2iyth6fNkR5KCgm2
qnKkm6WpTm2EVDK2xt4VqimODRjlJOPm+4G2Cia52rQz8UQzCil6J/E6Xbm5jMC1bUg4IoVWzpNE
5HhMJ4bKWyai6aIhY6GjvEtaJsvjNCO364pwqVzf7ZfSsgvR9F67IBYdR2bVDtWXlKk8wY5/AMLy
tPWtT9p8GdJy7uVtkSue9HV0bKUhJ0RnsWvRku8dXruDLNialmat7omttoz4mJ/GtfVHJx3OnEch
rXPMn6jxXHPIQS8qCtP3w6Byr1Eev1iyJQWJwiUSTafpsomkW2yZVRxX+xXl623UqiWN42JNCm63
66HnXUKDmw955XLIkS27Kpp1Tes5Wkbdq+k0z9VwGbUeGd1I3GvGWd5pS6bqkk8Rv6z7rt7lbdF/
30a+1KsXAsLDCI428jZlqCGajc0FnWytwZ26k4mtSDu1uCM3FdG2iEkSn+WL7blN+uZdf/7QF+N6
3eGOHGYTqkrHtSsu8FQNJ7+Y+GJykqSiJSgtWWxvN56TxCH6WOamf1OjTiZxy1RSjA1rtTFLSHLB
69sxmnVe5zczn/KbdpjGtC+j9XqoPTnCCxd7OTY2FRIVp2hV4ZgbVV7BV+r3Lc+l3iZnTn1UWe1Z
WBKK1PvBQ/qMQnxnJIkhUDVRe+OCgeARQWwb436AcErnj2QW8aHy/HEqSr7LpWc6byx/wmvRJQzN
XId6dXPSoHa4DGWYDiBtua5V/70pCOy1yk0v1gV2WNZgMhGz9gozkV+vQkVpOak1q1Dc6ibEvdWY
bODj3ZSnHTZ1OkT1lJgQQYJsRrJ9lpVEuqVze7HaJbqLILL5RNTMZmWTS0ixsxBJPERx0o5TDAFL
ldd2wuZdmbNd1ZOT6K3p9RLlH3NbYJfgrutPYqr3gkTRm5HJ7TkC46aINhBtCUdr6s2aRHMJuRsk
A3YzTQgpPlTS1+uBj7Nak5FEW6nL0oCSbXBz4nQwhyhf1UE2NU1DKU/E5/xzVJcotYYUV54YlCjh
5YMzsCFlKOzOuK3rdZjxm2JjzVFiNqbLEPHMDNGtLcX0lvKBHgY5sb0V5A6JaTqV22SSooj8zkcR
vbJDURSQzYTMBN16n0jjNwiOKMCGlmi1iWxhXSLfBo15WV/kvbRpPi3xYYFsDRvJRu2Faudg07lr
PouC9Lp36wuqw7KjyzC+XRlPVL9kNF7qRDDrQIUMVRa8LwttzcavsXDvtog1STM3T6KV8T2OfZU1
JBr2BR6bU4HoNOihHpo3Ti0aXHfR3vtwCapCZGNH4iKxebmUWjaMHANRH7Etl3tfxFjn41pruzUq
m2bQCp0LkEUGUMxm6aI3IfQiCUO5vFnYFhJQBbLRCnEHqR/qsHeOxCu9bCA3X7RdE99A+jHT0Y2R
A/VQekOTZRnnt2RoRbxngVumsYGi7gWxwY8p7UUMGapfoBhh3o910glRrqlgc5GQrYquQhSsDoQc
67FU4Cp5OBYT6m7W5W0rcZn6eIvTvKiMNm6sPrHIjBmWRXgHKbJ/kCVpdi0eXdrSkDfadG7RZVza
I5ny/iqmhN+zmEFZJHIEbgQZVoPgzg9qUU9s6NRNNUOFUcDqOx2B8LodtzK+mJcxv1GNE8VFJWd8
3+MO9P9cz1CkOiqs3Pl+vP9S2XUUN71uorJrEzLVTak7uSwCxFGv9q4eBqyn0SEPtedWXMeCP8MD
V5Ia2q5+bwuOTl6Jam+tHzIKRdpHLPxHXlRY6kHUPUjFtb6lGyvuh1jB9PHGIUr+GoX/pjJ/bLvV
l6b4qWnx9ePf7tsa/n1h47/88dzz+OXT1c/Nkr/7rf1zewYUw++/dEYsX+/1C4U/c42vSP53oOTH
9sqfUJS/e/HPEQv+NWNRHNiDiP8eZtn7h+bh6SsZPHOLr6N+wiz4NaAURJRUnACRx5h8xSz0NcGC
K8U5woxKiaGh8gtmAQADuJdKYHAxJr/BLFyBnBcMIwUshvF/BbNIDHf6LWbBEu6GEZKUK4p/j1l8
5aLFi/5pQn7VbOq4BTmFo8wW9H6L1KilW3ZMNberhArXsEi72h83CJDIsi0tG8hhllwSlycxpwce
Rs1Xc7vWoy7JfJDgupjLLSGFdQfv22Y3seqyIfOYVlv90IOHp26eQspi5bK2w43OJw4YQ15MqnLH
ilZztrabyuzYv1k4Ha9iEbEM0WXV7VS2OnegAAIjkTa+vK5oztOpGFQCUYbvOe/3aPPi5JxEKbLF
hWlmqksoUd281neQ0KDKaapPvMmf0BbXF3UQL6wWfUIcLdK5nMYbX6IyLeqhOk6bX4+55+/ZuMrL
iBAL0g3HyTZzmqqhvF7bAFm166V2K38C61EdFnYXjCG6hReIQw3hqlgj0KuDSvvZ3K85BEACvMP7
z2KRXdqxpd6zyh+Luu511a/0KkBXTnPbt9pTlGu2Vfdbs97mDhU6j7shGyeozJd6/Ez7koGMD4Cd
ZByBFqku4pGJNGYrOcC1alc5qIOoEZ8WtTZHwtBlYFCBWlcN2uUzVB2zeZzb8YOsIg+C2JCj4apK
Fqzcfiaq3kPIpYd2jd6jqOugxqyeIdu/X7qWJtU039RtDOJxidypiEM4tFw9dltF9kVTD1ln+HW9
2S6Fwj0h4fxgxArdGnkquY0ukN/uoi52mlMrD9ATuY9t0WV24ZfWyDELSGZxDegKKEqbymKZdKTa
RXc0P42DtxoAh9G56r7PGUJJX/Xv+YQ/24HEQO6ifdeub9alNOeaAgqLiG6ay+muqENqorXY0xpE
0yiLpO39fBBFM+3wsN0BDkcJraLrpcEHRtwJVS3SMw972B8Pysgjm8cN5FxzjGuzi0fa7sYZE72K
etUzYcdl7g+FUNU+Luyt9/B7hcqTDLhITV29hZi/R9jZTMY90Tg3p1Fh2DbgoIkoxqOcxYsstiTG
26hFhDJZb1c2357qKv6s7LiL6uE+hI3qCrJoMkfOpHmLQTRPQaQyUlznC8r3XOZQG1Uw1Zbvew6O
H3uSDkW8fA9gN8qGWdY3dFw+x1ImoZxvFtt/ICW8jS129US7izWK3ik1oYSrqLvtqFV7IVCfRV2x
vgFvtacYZFnAYwkeC/SNATahU/lmkFt9RAVIEVItbwQCozUxYxmul0tV+lsMIUF1rc2MC0ELD64h
y3nZOZbLQz/2L2Ro0C7kI8vqkmQRVE83FZuB0obFJcWy4mQ1/vNEGZS70TOBej2F6rTYAWQ+MWGg
nI1qujd53GTNOvPTOm8na9kN7Tu5a3OK0wAvfpEH2Wdk80+KCpzUHlgJFEdFIrGN9ghIehIAU+09
HeF14qLSyzJ/rin72FbqqumHtdSNm6VufPAPDLH4QswQVraO6yLfNJvjJhnGyiU5Y9pP+e1C1Qyh
txZXK4fo0Pdk3Vvkoj3I4jmjFMpAVSzdGyBApl7fV0s4gNZyJ1Bka504Rua9D+ZgFb1vF3uNSM61
YOyxJhioLmpOW+Q+FGOYdnUcj8mGSZyuW3sf9QSKSevNp6idKuCy/E4QWKaZxlIvztIPeLbXMe/q
ZGn7HlDOdhP3UXctIhMuC0ZQtizbkFWk7nbSiu0hWtp9a00KlUeV+d4SHavyJu+ISLZerJeYmO4o
16lJl07txtCoAzDPe09X2HcWUDqaLjazmqQLxTU37CCHfF+aBurCnGjnyGW91GlL+PcEbumt2a11
k5FxGjNRhoz1FDZcUd52rZq0R/A+PgZ/621jMgblTs4eVjT0el43q20T3ym1XYtqtHqIi8sIuKOe
Z5tuE7nuRZNfTKh+j2fz/TSKMWm3dtdX5vPEli1Z4zoJU36AKJURLnfA4q4Agh2V61q9qQGWpwIW
AnGMQpHg1mlMMKtuF4JvWB/HWszRniLTaEtLEMf2HY85y4TnRVZGywfRNOgAzd5PxRw+94g1J4vG
JmMtH3XADZSdKlyWpCsPeVg/z3ZmUPRV4G0T1m7uhzS3vNdu6V9YBf5Y++nSiShOxxW/V9LcDbZs
Mp4XPoPwMe1y2CVtnoukVmHNZMC3cxO63WJhD/qROI3WqjjSLV/Ac+c3dou3Ha9qAuErGL1IcI4N
G7Cvr68j4tv9Igr40+Lqy3LzxSmHKIj1Mkh+S4K6rB24G9RpUku79To365JNzXw51r2CrkXz3NHw
KQ4c2jeWjQe1vShR7oYeAl0RJb0nQFNGsw9ku25gryjT3/S4eEuXBejCdNpKd9Wj5nJA6p2aYM8y
nC7xdgMA+ditUlNffQRsfpHX7kQr9A7Z6i2r3H1kZJdJNEJ1Oy2HYVboKCmUy0M3yR5KgEimrpv7
tB4DvQc8GmtnqyKDWh6ALMir/Vbmh61FFxi6M2+jsph0aMdxz3B5AHoFHLIYfVKdedlcdzdh2ty7
DhhUtkEA28XFNia9q3bOQ0ERzLIk+VzBG4X+k7TY6dlNH8pePtZO5B9CT8iHSnVZLZtI15heyCBI
wuYKGKeJgD3YNqm4ZmRV6WSKedeLLcVV43XO1xdG7UNBhyWrcvtB8FHdIipvhYu41zFqD7bHoN9w
K6HD0PEl6xTlKZxNYLA3+hNRbk2MHHy2cgYKZcO1hiqyv5yhJ7Oz0yJ3jgNygjZO+Gjb2WhUIuAI
CCBcjEBT1nMBS6NgI0KVuEp7Wg39xDqe6x4OZAEm5EkMGKAu4negpz4o3i96ER4f69yDCzZgg22o
dBuT5w1NXTpU4SkP28VS+9uqGfcLLd4DCAeMWthKV9P4uAJ0TjrlHUQ+0d6GxqxXLAwZCmy+LNpy
BIDcNwfA0nMSeAS8z833YUBv+2WSKWg8WPHlol892YUWMgUfY6Z7VK2pBPycTUO458zlGoOQSVyd
T9koUopDNqx20r0Ux0H4u65r2QUzuUtGxG5x4aZUhP5eBQSQI9jqKLoyU/k5oJd5r+1g7xtq3Ru5
9H3Gu81lK6tNZnvhAYdT9s5yteoqBnkO/xkNKmvNmOKAzhBBt3RVue6GaE6J6hTEy/oC9s1jXpvr
DTJ52pt8P5bLfgFZDIJv+sTiIdYdtF01AmlnodHBTl3eqWMEMwAt71tdA3A45Uu0XBkyyayLqnEn
m00mllb2AnqLb6auQacw5HY3ufggoWoGFFXfEICAsVE7QgzVsfTdU06BzXinxjQYNuqO1eN1NXXs
oVL5jY96WGArgiZTHB+CLAc9QmdKz7bsjrHFIXUlvxKkLtKohM7ONMZx2ozoUtXrlK6DyEHNLrCS
iL3Ddi1SskiyU5KLjA3r59baMmk7dDhf2/MBdGRuBqS7Knq/TtPzLKObSsohJXN79Mp9P1JgA7go
drItTzNIxNTMtQZSt+/W9g5VnOzkuRyJBwLpyon7gdPyclj694YyBI066MiyBhXXrYewH/KIZHk1
sDeYdpkADkMLqhW2Uzb169t4qq7idV5OZGs1M/Z59F2tI7l9Pxq0w7mFQiBnqZ/zRwegU0cbTy3x
sHkHcyoiUFy8HF0iu2bUc8fCEc5zvOWN3ecUFNnGxDloAzYd3w3Evg9mu+DFfAGRftuFafo4RPRh
qrzdjYbcOJgIyPbhHhibheOK0aDz1aeg377v25Fo6Ysjbzpy7fJYnQAr4l0Jyx2GvryOu4o/Dv0A
SnpCa7KwAsJhOSXQ405LgO6nJgc5HcsnwTlow+gIAjbNe7IDvvkQIgcrAzVcz25zaB/pkYJjdmuC
VdncTM3C0i6q1/3/E+Dx/xnKIIrAOZ2vB0L/w4mR08MP/978Dn/8OOYryKCEYaEgjyGFaMwBlvx0
XoS+xnDsA37gxAbBWLDfnBcBGUhAvGCOcQyHS385LyJeEyEEnBhhmBMukPqXQAaD1/kdyBAExeh8
O0qR5OfrvzovUovIWTGbl3Ebs7Ht1ytumu62PYf8cA7+kEsfo6iGgqhgw86U9r2FTNE2420EmWPg
21PEti41I3+e1rnSI2QZPEIWXuoYH/MvKUiRD3mH3yEIaXzaeAIdyRcEwklvkL82yGOVoFCOGK8b
yHD2rACA5Ssg0UucDBV0pSG1hY9s6ctMdkTuxJyH3Uxrf0kwq3VfQU6E9q/PBESBZIVcOzQVT9EE
UKPoTci4YJCTBwDaEKLbQ6MCpAIMubuZmboFzvyhPKd11DcP0Dt8yQfoTMFZnrSOmxmUBVUpGhP/
RSAUq3zKp11lkMscCAh3VhKRaLPlrC3cWWUUIDd8ADl61h+DGT+psyJxS7wk9qxSPMiVeCLQWjwr
mBFSQ+acqd9Vzt+UZ52zDMEntvS1Hgt7UGM87rcZEmLOLH4bg1Qic3QoOyP25qyiCt4WgDLyWOMI
qhl7Vlv5WXf5LxJMnNWYP+uy8qzQoG/aQEcZmtVj7faLKT5TNOvORY1uzGMh/YFS97EHxdfH5DiD
AgyUAF0xhziP3nlQiDOvr2K7nBZoq3egICUoSW/ivajnT91ZZgYVJR50pwT9KbeXqAI5up2FKWri
TwSUKqsmpaGPfwmNvyUbRmiOIdVA8XeWuBS0rjGtuJ1GwAZg3bg4zdFUX7au7hNg4e0ezqZcx2fp
DBi8T+hZTouzsI47se3G/0vOuS1JimNd+onUBgIhuOXgZ4/wOGZE3GCZEZmAOAlJIOD15sVmUV1l
f3V1T439Zv/N2NylWVaWRzhia++1vrXRa/sC+IREE330QI/EfaWrmHue3EXo0oEGLZnvCThdHmrs
wjuVaWgQWY4ev4z8V7xBbtqh+49KFySGNL+owRHDZ+k0UguNe0wNPFog4lXuR9DN1YFhsogabWGl
oVPT09pBfqv6U4FJJMREMlWTe6jU+q2riiobeBFkLsMjxxzjM4GvHhY8WhgnLjz/5mLmKcmCOwdT
UFv4mCSKZu+t42VWQJYmTEyGkSsUwt3gi8xiopoxWZltxHIwfsSlgH2SV+JHS/rXoJ3z82qsl+Je
uUy1rXHfsWovKv29p3kaYMRbmC6y8Lexj/jhY+QWU7xiJAy22ZCAARLaMdmKsbHrIQ0sYeKr6EeH
sbKE691gzCx/mzc9sucYQBsl7roSGkyJ0bRn3Qo/FEOKFCVM7D41Y9MnAVu/Kjk2O9VPl4rPL1FP
ZBYE/KRX86nU+DCO0b0XePEE1SjzfC7OMHITzNqvTaC+saG4Dg7GCW/g53YMScbq+r6evSn2+VIl
kx6OjUf7ZGRNEXstuVFS45VDOYFlP0zubdYtRM9w2QN9SNoiFHEnSVr2dN7LaD1Ak3mWfvWrc8S5
kMWeSUhfsibXwVCaaohOeZQDqcN82HQPbTHjhh/VuYmqNa0X3+J7a54rXoAaq8kxVBO81xl1RKt2
yHy3eSy7VT+E3gy0Bj0Z/h4CYzk89oo+N6Xo35wWcpeHF2soPIxpokvDoLmf2fgo2HrXLlbsGZd5
7LNwgrHfn0uczYSH4Ts1Ad1P0iuTNQdCxNr5qUF8IhHrCp01Un4W6Y7jfRcqK4MFzRLoPZR4Oh69
DkoEoQO6jRECAxSaNu5xKWQDC0zSyFx/Ket13/zGuEe+oKDUjmoSzXT0A8DHV7Q6B+rDz5XSfRhG
qpO6J30c1ahoJX9gTH/KPMo8r/21OHgmdHyvB/Y8cnvsaAj9teo/qzH8AbHhrlQDwB1Dn/wqvC/W
AqID9BReXaGBpGXAS5R08SgneIlu4d+iRRWJqHGH2HnuY9fou7zJW6i2zSmfx5Mf5vd1PX3IuXmw
clriOQpk7HQSw4sjvrshs3Dq3IfS4wMYqkrFC+T72LPBHqCGhKgr+iQnGKYjB5qy7QWPZ7VED7ka
nhwTvXqSrnt43NAQCvEJ1+reQ0u66302nmbapHp1vw0NhKHGa9+Kvr3OKvjZM/aeDzXEInxFhOgX
5TtJS5y91w8QjJtuXDJC52WGabzWhyYk+knDuk8JN/NdlDsQXKboZ276+9CHrlZoj76ZZuGphTr/
Qo34wONb0z5Xd3wk4alR/KeuAfB5ywJBoa0/TVk095itugddmQ9KHFgWgqR66jQEB1Yk3jJ/thPd
8dl6Il6lKTBqM7vRQe+Gsp2MvFfNvA9BpjsWuDpVpUFJegjzEWiGeGali5+LNYlCOz9afQHHgdGl
BNhVmmiF9O93O1+CE/CiGi7KxM4OAR3ZzvWSSBccmtAleooGqEvVegVa9L4++I2D00wg2ehqLE+j
w4/RBAFmBgwY426dsmHl92ZmN91gEsTQM0ADrdc9cKY15lD7SQzByU8NPOGXKYJ4ZOREPxrY6Sfd
8uLgCf1RUYBFw7rcfKcyccOGPDOD3M4Gr1Oi+DNo0/mhatpTZHAqAsLGuJzMi0uWFeyR/fJG+SU6
yAEAmvRPYJe44iyb7kIdRCkvnSec/e+WDNu1EYW/FLP5nevAy1ynxY01dM6j2wFXFM6Mi4/X8TI1
beoKnCwS5ewsu0b7cSnn/jGqqudu+yl4pfayxntRm9LBNee81jb6VaxwkycVvLgC/tKiyT4c+pNR
LQgHt0rcon9tbXUHMvGRkvk2lnh3lN5NvXieq/YpAOfCtX7VQXWexPQheHCaWqogmhSf0g2eXc8H
kSgxtbAjmp/r6IwH3ogjLKOjQ/C6GlUDQAQUo/JdxddvruFBrN3wjjfmFpKZJqbIE+7WNZRd38Ca
ms/gB+7rippNY88m7TypRXw3M78boDChbYgo2lHfiVfaXb1phObdQDNycLQaVn65wDujQr83LEJt
6Z2jCJYIRUZO8eA1D6NGgZphXVcaXZFenCXeuBWXAzYLavuN1vSW+2hViQ7REjpBk05teyqX5l53
PiovT2mnvuqQPEwgQeOaDjuc8yqBVfFujPnyvCYF3XEpQ/Izp/ZgXYAHkfCOwSRu87K4u3px8UV5
p02iKEJ3P0t1dKtmh7YPJbnl57CAFCRWVJWJ1Qe8gg/dOH/idtrnPYC5xf9pPa4hgOs3Mfk7M1AQ
op5IRg48WajoCkvvoxiafWWmK6BAXKgbecWbqIuNISzpeuhgILljp5o/8D0A9NG9nymHhPu5yrPS
ddiu8901jmYznmsl1KnNmztiqwuIpvrg2b66B+pVPZekm/Z+LuZDPQ8FZFpxmF392mr2HJWQA6Fe
tXgRG1RJ+Vqhjrx0YnAec9IWKTCnh7b1aeY3QEpvdK6PQW/kDzXYAIirezcU7beBLDRT0nuC4pwA
9LywWoCVivirXNwTscF1IrJCPT+5oGPazyWYLLTfUH8vmT+kgShtPEI5TBgxeWJz2lyrTuF2tDqe
GfumcL91vF1/TKwqng1mmu+it85xFnDntJd3aR/lgGUXPccRrC6AZ7FvGnSu1bvr5+ehUDjmTn4q
9LJrCU1HYR5KRx5Y1x1IUO3XUR6o0Bziw9yknePs/L48BbTnh6Xj+9kxn2BL8PRIkUEP9uNmNd9c
Ut0bEb0x2H9QDlb0ds3VJ+am5+AYuc11RGbAieSJlvV+jLx7XcwnMHA4CASmkKMubc4+QZ4dGQVu
XgF+Uoxks9dfa0Xg0OWnVcgUB13H8ApupvVeWqd6m5z6FjRkZ1bYzUHD4tIWuzrMgZ96d76IYub2
WcRwUFfZXDWtbtVqESb44IWlac5XuMvTmOQah7deRZXkRXcEXjM8Wdw0cVVMcH18m1RhEaD0l8UZ
b1Qfm8bU+x7ldRk3wjAcYYyZJaaDv1/rBeBb0wkU7W4BIqTOuiJrRmkf7ToIjnJTHi0kyBxSZORV
FeRmqJMgbbtD0/Ymczbt8reh//cIy/8Y7fH/lvgB8tuD7vB/Fj+S//VH/PC/wjIRki+//bPf9Q8f
6RbHQ16SsgAd+sZd/KF/sH8goLJlaSBxMPzxr3mZMAwhjzNoI84mwvyRl+H/AHMBySJyPQf/6L+X
l3HdDRf5iwCCT3YCD0CHjyDv9gP+WQAh/eINpNwECeuAfueQc10g3AoibweNOqVFdVdU4nPyurPy
kaZx3dqm/lwSWGVQi4NNN54aQIRkKiCAF7J/0EjJxAQc60vtoKwGI4aroGINYAyLFmTTpuFnPA+b
Wh1uunU3iGyFNn9kZVSABhmeqRzGFI3og9tWbeIuMzvXuXlUkMRhikAThUheltnc1FPmbup5hfYp
NhDUw0kM2VDIJWWb2m433b1Si7cbNRRes70sFm/NuL0+zfYiOdsr5eHdcvFT8+1lW7fXTuL9Q1S7
3tvVB1a4vZxie005wIsqBymBudSgfRPqieCtbrbXm2wvekFNQrZX31sGmormu0BNMKgNU9ld861Y
RFRmDNUD0PMdWPQ0WmGS/1ZenCCFnbKzqDsd6o+c2AuGzBtwXB07qFA9JehfSeKCq9aoYAMJ74Kt
pDm9OXaocbiFLmQrehNjaCbmUx6we1A0+1D3pwlVEkTtFUX7iPp/a5W4RqimTaPLeNzqK6/vW9Rb
FETckqjAmiqRRNJ+rqjNfCvSDNW6R9UuHJRvRJh4PIn+UPBqH6DCV6j0FK58h8pP1LIbcROo7Uqg
uBt63BECI3qOe4NWFuLJdpWY7VKJRvDL3eI7R1mU9juGmOIZaZb1h8Z9hH70W7tdUEsln+btygq2
ywsZGpvw7UIzeTQgL6TM92pYbRyc+Dc5kYyXIxqRIbwOuBohuL0G213p4dLkcihj9dtVijt1Djac
GZcs365bD/fuhIASgi/tA2jbIlXEdR7Fdllzo15D3N4+tW2Wbxc6cmbPMIdfw6o5iO3K7z01H0wz
TfsCF/Gzv7UGA8vXc4eOISRKncKtiei3dgL2Fts1LR7j1mqMCxBzvQ4T2jOIJhFMtR6dybi1KGQA
2sqtQa+5NTAlOhkim72JzEeNDmdsmY7pwnFtovvxeg84oX7zK4juAv1R26pUoV/q0TeF6J9g6Ryq
3xoqgxBSPrxpDl9z67cA2+wWNGAlGjFQBRn+x6daeVe7dWrV2NxytG59sWi83vbQuNWvqe4vPpo8
WVtIoc27AzMKQKraraVEP5iXj6buvjfznc2DQ4W+0aJ/HChBwMGgpcw9DCEeuky+dZtb21mi/zRb
I+o1I7CG5Z2hGanDx2lrVRV6Vro1ryibUNDQz4KBEpsHA+VN3Vp0vPPW+qqtCRa1OTjoii3n8Kf6
xturrWXGxHWn0UOvM30y6KmdDRAq0WWD5DkHW9vtuWUd9wOsLK+ebgb9Od0adYGOHbEDzFf6Arwz
dbeWXhX9cVrrY1tAWkTPPxHvaDEDMMrSATNBGFafdhsSSM9OFlOD05XnEFPEUEXZgqlircpnhimj
ZW0CAP+G9vKxwxRCMY1Ea3Fy3e5D5t5hgZjn+CWmKKfMdA9jpyf2zDfHc/Drp4I4JCGefzGlULEe
RhE3nf+0SVOu5Zd66e8nv3qrQ3xKbTTg52Fe49Hj6K1DW2XE4pUYrKgyRI0evcq6sTf7bdzop9rx
Do5rQJaQ+n3DtDLJaqifHdsRnIW9cSVPGkG+bOXer8BG8AUqJzOi9GG7103a5DCUWrpxJT7+osu7
J2sxu7YlNM+Rug9mxIcHUXFDLulCK/oFzCplk+pipLfcpJ6cNi4Bp3u5vLk2eMjd1qYjaIhDhPxX
PDtNFq0+FMpmfBk9lJhinSEdBOxrMgF5KFEV0qXS7MpwMDDhLLuVI9yUK7eFZpx/r0WE6Bpx0xUO
QWYiCMiSLA0kU6dPNI76ESwTxjYCjR2GLXBjGJWJ8MaXHjPwVMsMkP905cT70WtSZ1wCWWejI9Ox
4m0aWBUkcHKHlHv5AzJan6E3ocpQFxwilywN+NrsJkKeCRlh1BVtfYe7q8Ww6k4vw2BQ+Kd13XeI
C8RBsfYZF+LHogO1643zYloMumPDHsdIccAABjFF/Bjn2ZjLJK2KJx94QhHJQ1XzYTvdy0VHQ5MQ
hULOlZ9IqkAvzrsWRBBSKhjcw1LdhVXOEcMAsdY3NeIhJEBcrED2yluc42oFcm11CFB6kCwB4vk0
kwAuG2+yNZ8OowcA2lHkEDJ6JPDe0mUez8jMRrA0zBw7q3mazSxiOa3vYoZZnMPh7fwFBYA+uoN/
8HKoJkEon9pOnRrTSCQcNNiEsrBI2SHEFuLoAxn6if4GWOg8lAldIT67gX0LHWgpEbIwaIX1fQUw
D/jiGtc2/In5CPwWgR4+d19lX1yc0pliqqyTORQ0ER/tk8XylIfAeGPSC2hy62J47A/jQ4/YIqh3
NqZy8T994FNeCyGp037ih8h29M181jkapjmAye16UHLa146XekdFcSuVCmPTLzpZ59DubEkv6PFw
tQZ3ZmjR2pMvAOLobUKbegUOv4mK51DZMc3dWeKXkzJtddXGiDhd/CHsTxW1L95USdT+ARNBXupU
DsG5oPkrJcMd6KksJ6CJatUf5xFScqNogMhfMMWkDaeDduxymFizD2tALxrfoAxnBJu84LMaKp6Y
1nyhP3sHtfjW6Om89L5IIGzuu3DJOvRpmQKBkzp43nPRYSJ0/I8SAnW8WqBSGDduIHF+rFof5wkm
N4itPK5xrTbzCDyjvC0Luysbe1FiDDGRQtOKenhGBtm3XY2TzXtEGtooHBNnIU+BCr6mqH4Ak/uq
cQW5sIQXLhOMcjs6BKeVFSenxbOmHD7AYAQcAWSmqgEPG60r5qqxujiDG4HqB6PLykcNXXU1OOC5
FikZpwOpgjRqv0loTrxGy7W8yREyTE1iU9MTB6Y8lIDFmk0qLzFZFlNqog7fPPIXjHzIcdqz6QN0
5hKHgbkGkbw2eCG0O0PM5QkMbwSA3Go3rmui5xnkTQ4kVYgEL22TQDtC7gzvuV+/5GLMOoXwXw/W
CXDXY2XkU+1KfPpi5Ilt8mzRIzUi21/DNN6cFSLyNGVlpKEmTd3TJJooRedyz6z1dpbwuIqAOgUr
OD58048WSYok2giAcaS7DrHJOAdmfIvysd4T2cqDKJdD5/okQebzkeH+jQdFTmEzwJzJD3lHHzCk
ZINob+vgNAnmyhsy02lE2NERLc4jhvWxJ19KwHeY6ndmVVI6HWzUViZO7vaXkXMSD7N6pn7xxBVC
VMhuYPUQdEZrsmZaf/R8OjWlhmLHvruR9z2fBho7HNO/t752WMDRavfo6KaHhdPJBC7DQ+fP32Zp
H+AmnejgXPksTkojiiIrLEoa96sTvuejD9nLS8hKkM+DY4QAdwk/1n6CTK12QceAsdK8SxxVRxeo
JmvqmHVjEoNYgSmxq3vZwrvIGf6S8xgd17BHkkJPTcy4eo9mdRTId+2nHFQMGipxctnwNMjyaeiD
p8ZdXrnxLhK0A87ESB86pGy1RA62pC47jC6dExhVT2GEEkQYveoSVPnQzF4sq2JA6oc88hAZ1QhO
xzkcp2KXDxwRutWAWOFIeLeluyZ1Q98hKp4Z1ya2nofzhoUN6SorcRbVaBPZOyf4kl3M7HiupI8M
U3hYx3mKDRJaKUURiXuGfJYfnCMW3c8aJTwQ+6apg3jxZEYjufOCLh1w5BICc6dYzN06yUu3runC
lyNmh9RadY9oWTb2wY0bYOTAMJ/ausWtgYdoWA5rmkFj7JGkX4I1T72qPbQ97l/SYfhDzdpxPtAj
dlAdQhJs3IqWp3Wp6V0/t5e5D9333pPy6oYVFgUwZKNjYmX3FEGbP7vRLE/WodVpXSseuxROApJD
3a7zGpF0lh7dmr7B6RyTMdA/tG7nA0KF5qC4d4Pb2R9w0136NfdRzVcU5Qa5TnDKNRpkZK+oHU7L
4r/lEz2s7eI+KSJN1jfNR+uBB1g4eqsRUNkmei7fcf/2IahzDDOIAqxIvEbupUYfuw/oQvdBjwgt
wgcpfgnnJcejhpa2AqvV/lUgG59Ow3Q08Ek6TNzHkNc/dUHPwwqupiiHPWurV1SWEUfdJLNCuk4R
HEsIkzhE4rWul19dCf+vtPqkdY3Gqi+uYTf/VJx+Q++X0b77aG1/gqR01ZIe17q80yVEqnmuIc+3
+akTkd1JZ8F+i3p5XVCk0Fx/TALR9maIwFMN7rER8jubvTKDcw0/Bj1F0tvoNPbbGOlco0DiwKn1
JxJLd6A4b+hlP+GxJ+2iXkqHn/MgtBD5BcU5W+5YPj0gx2lSJNdEzMAcp44IH/HQL+gUlvsOKGtA
BPi2EhnWoRt+qIUU6TD5cxJppCz80NnlAhfT7MSENElD5X4qJ9AZkDdxrW9Rf3ad82ZMEBl7KKNx
SYR1w6TgDIvQJuK+TrCiMM7rtGH1Y5BbnC8G/dWZ3J9sxnEwAsURTN6yU5tZXmsYObl8MXlAU+Qb
ZNxu16qJ/PsFSyIy7Mh5WKbpjecIbvfdesaPiMvalZtdeeSCYqJokWSfPUy5Jjz17fgWdM7BrAqU
ShhdWMUv1mUYyeDEYxZSTayiNk/tij/ldnwcgcsl1SL3ju2duKJdtm4qAefA7nyvgni4vsNUfAta
8PR53vxA4JOklumHfqoe6UQznuN4Mh8Agdv9GCh+nKGasXvBWJaAmoYrhZwhrYPDtIwTGgzyM6za
azj2HizI6KtxKFL5EVnjFuMKhZ2NqKq+SiYvkMCrmMzRd9h1dj8MOK8cG/ViUaahvbYwkiCio4OX
UzoCHkaDCMCum+dPWOhHwV28g04HYkYOmIvLECcMl4/14KTDGnNhQZRegpK7KzA7ui2SK65wsVOD
HdpGTAnQGXxPc1mkfqdfsEBlV/nVU1sU9xiubhH2i8C3/5yW6b0GWSkRZVjrcEqR5cQl7aoXRH93
ES9+5NaPVzOiHiCcVHi4qeuQvi7ID6ZRYbClAZUjRWbSA8sDft+v0KwaDxqYbqOzNtjBIqxE1rFa
PooJawQG4LBJGeECCaCcXQKf/toQGw4wALv9YG/bT9utH8B31uRPquXv4u2fl+Z4SKf9RQIMEDFD
YixyWUgjvu3U+RMDJfjkwyiEeOdjHIJaszWeiGFYtDwHv0fMBgRvBmDrR4DpkGPoxGqMYoem+MR8
56eWPe45l0HJCUMnRl3HZD/sZscnD5gtLrnSiAXLEMgfRTJo8LGIImxaqC1dV+4c2mIxStlj9Qn/
uaAF+Ocv9/+5NI0M0v9Fmv7zVsV/JgzpP//R78I0+4cTBlCYOdY4OT4wv/8SpoN/IKHiBPirDc32
XQfM3h8JQ/4PB9yd858ThpC6QTYAOYsQCET48I+Y5e9n8O8WOf1bvhBKtcMcvm2mo5BK/nIkNaIy
katymD3L/ILDuV+ZI/+ZUUUoFEs1/8O5//fPCLFKhroQ5ikow+gv6F9YBUMlfBx7B3mFsgeThgn4
718trNf61zfLjRw3gOzPXXwQ9//ya/h1YXCH4yNMTw4Cve5SDtNhNVSc/v6DtrVW/7L26l8/iOGR
/fkV7lgD8g3APhgJvuugm0l1CbozVtTEQHXTv/+w//hbcVgQHpZ5Odjc9a8fVnEs0lQ9Pgy4Q+pD
UQval0l9/v2H/NvT8YBjetgZhuUHFDH/vyzyCk2ErUGj/tWH0EjACk7+7e8/gP2b8wHwFBZKwHFa
wX/yvzz/ohi49MfhV9rHfXzvxvePmYzj3W63xvH+9ri7Hh+Pu322f77eH+Pnt8f48vN5SO6Pt/2+
izMa3x2aBI/04ZpiRPz6+x/O/c8/XOQ6Id/4We8v33FksDFKecOv11d7elvxQfHH88/PJq4SwCW/
2P7u6e8/EBzPX4/Q75vTcFBBfnL+lyNkPdLzkmNzmgMacdTNvhjyK7BIsFHzQeoRuZAuc9EFg0rK
RmuOMOpPzCG7RhfBhtmMI4aTrrvJosAGm7zLWo34oNkQd8FEeyc8N7yUUNdLOezobO965otTWYk0
WMNvogs/EDvp944/TbFlxQj/hiGAz+cHnLYHrCwA8NLfoVMYwe/hbCMPtkwQktC3weLcdKEkoJ9M
INbb0X1UYi8LopGP0IaPlQ1kiv1XJiUdWF+O+bOr81dW27dhHr1d0OP39IxNzNS/5VW7N7l5gJzw
BFk/SMM5fw4t5LMZsKkegA0oq4/En7xDANUHaHqfn6KlQXyqfcOKnRPSDmc2Rm/YNgGXxr8JrQG8
hmdPDAhA9e+VcoOkpTXsakwfqlVIT5RXTP8ZxyKumkVffgP3BhnPOtJnspagbSb0o2uBqGN0cLDU
o3DXh1FQHkcW+8sMPxa5fO4aZ2dGt9pPMHslna59MHxgYccZnOBlJcWdDzFwhv5R++C0kPcTSiWF
yGEt6QTRWwSc6wS2OTjk4tSDKSmxzKMGPWjhprUQute8vmPh+Op25BU5sABUItMJVoyFt4DqLHDH
veOgR5AGFpa/R+YwNsg/EF5VO1EZcprnyb/AkrMn3Tc3G5XPfFjeDKn8J4VlD1dWAClr7EtVyqNy
w12Roz8dgv65lOG9UJBVBOS7Mqz38hIOFzfISlIekLzAqpQwmbCKY+HQ732Is9j74UJMm8Zo7wXq
BfsVYiS68U3m/YNF0E9E3pmPdZ+x2b24GK+DqNfZ5K1h2uVI34oaA9LQoY31dOvU4EuAxwHxbXcj
FkfRABuFsLlh3iFJVJ+jsPpWg0PEHr6+S3UYgaZQfergFN5h5w7GRIMIRY9wBGR57BJ6UTCP9lh6
MaGZVlgFBKWd0OpFRuI+XCjdbdruIOc1FfW4RaNBGHozB7RC/B1UTuwM0horerzihKadZN3QXSht
nSM21eF4js7b6rtY3GPn1FURNvYtAHmVNiyFRmzxtfqvVAPc5mbiia3GKo26oDsEC8iloLMKLDzg
5qLVSCKG5ie24H0NdXDfjM43an2RRkMBjCzw86zTsCZ5D62a+dvqPiGQoQSIiDUhnY/QSAgKTQu5
w9xWIwyZDxdhMOtjCVd/tKWE8+aodMAXlYpq3xXqblr9ZzAMJ6jJ35VgL47AFhXQIK89ptaphCoZ
5LQ4G4n4IMfKk4e5DkDVCfynDTYh+WENulRh65FqS6Q9++5t1IC93QkbXqp++LYM7o96W3uEfO0B
uwr2PGiQVGl6JIwrhTVlm4o6zmqF6TZupwzo9FLkj0Bz1I9SIB1fKfLY994xH9ptLyG1CQLFKSTP
Ak8FS+HUYp3UDZEAFS1io1HIMBeWQ/mqivUX1LXv8wS5sfJE90TdOZuJiFLERLHMJSLoq+FXu7Z0
zxgxxXFhYD4WNSSNM4SJMQGLQ5gz2RwE8g7p3OIFy3I84NcrUmjOcKhNNMdiXu7sAshEQoGI1vqt
4yrfBAEE5EKaqm75uQAxnety3rZh8qMQIeLhbrCTbmQRXi5Pi27bRDXjngZjGoWoy3qtb55WL8uy
ZAqRTiHLF2/FEgUloHy7/eAnoyr2a4lFLpEuYStVbdrAjwTMLhLMQPXROsJDyAAxHzB3+9Lka6pt
0adVwEQWWbJfcuz4mwRmBX/VOcNYicUPbeHG8LyOVV8guuNG4kQLiB81DDbsyfiJlC5wZiRej1E/
h6nblMtVmG6HzVf8hG1Da9ZrvSfDz64h6zEKij1830cRLY+RNznY3RS5O98GTipLXt8Afu3wKijg
qArqzUrX2+pUXdKM1RvcAZmIkp9hlwO9mQ3Y8VreW1W8zMEMjl5bcLg0xc5KL62DAqn7EUMVpP68
AtBW1fRcS4gyVQRN0x2+Omih3z2skQRzDcPROhOk5mVddxPGd9hheGW9mYo7YZvw3EztCBptJXhJ
SjBB6/CC5YngHpYeWdMBcHMT1TTbBrmYr/4XCHY/m/MSCPTavy6BeZJquPAeewAoh2TaeyDDfdXh
yWCvHLPf7CiAO2I/AFLCI5JeEjtwkISbD7Bh4VOR2cJn5T4u3dyFtjuK5raqUIIaA8BB7fIkPXhS
s3wzoz7PAczNFjQV6XNc1351lLrfTRSLQLBMqj76jKkfXeftCHSL2CPFChBkLB89OPvIauTmsoh1
SJDVXZMRmEC8zlsybwk1agg2UnnDuD6oEc4HTGkQetuC1pVircUKaS/1ugoLAHj7BFo79XxsRyUj
YtBGHEtHRee2B8PvyPEXMod4XT3tl0lkkP4F618s/k7623uzwng96GGZEkqH96WCs1SgjUmlCZ/F
/ybvTJYjR65t+yvP7vhBBjj6aSD6CHbJLpkTGMlkom8cgKP7+rs8q/Sk0rN7zTTWRFayKmYGIxDu
55y99zqrnYaRAzKBVlnFP7H11Xur4wsND2zBz2uOEwMTxeSDBAMH6vyD4dvPdEjLfT2AWiXvm0er
2bbXeYadoqm2zsbr0it53GQ/tZJQ78wYNZe1dUPq2tiOBCe+1tZHD+mfbMPBpRdWt2lemIiECb6U
JCP/6ozrL7useMYn92u0OPucMJLGsCUyxOgDw1277mOz+ZnHDGaxwBKkFbzUajBw9i29PJMPHbkj
+3CMBu6B1HHuBmB712myyk2FsySqrMX60azFz8DEdZCr4gNg5b4M54sLt9Sz5sjMw3PmMtpm2Fwv
2fdZhM9qgfnSVqqL3DWGHbqmh7K3zmC4rqPajQRPbN5gAoFbWYXIUMZbsfivE7Nb1YMmUeJQxzqZ
7Gd3pTcdEs/8KVv7MJj+uyWMEzq2JB5gHBqpWYQDYEkHY8p1qhv3qUjMz7U3NerIPHYZZmHmDEvz
qfm3ZYx+FxgbFP6Nw2g4GPFlgMBDIdgW5bsqocoEXoTOB7UGpky1Prgyv1mSkamWt2ksCR+ujeby
asFkGqx8N5LuiQB4XcM1lJfaTNMLyOK95ToUBaVxaoV5rCr7K87Dahu0s0uuVYtWpIcEZu3b1bTd
aFzwASoUv6juhHkoG/uY9SNDf9hhhv9I9tZkxMk4RZFKJ8LhgtqMe+TXPrgs80xGw34O3fE4xO7B
soyT5BFS0OyitJmeEkbKxKuSrZkUiJFJenHDlMCOzpEZgb1bGf2JvjimLkAT+DpVxhsfY7nJSUrl
eCGnCdvnNHk5RXVycqeFISKBbNKoxe3cmtch4Q/PxnkrCSsfl7H65tn88nb94KLfrf1yDvPsiJY3
RR1vaoYXIOW8iebF+w6DAtCthcux7Z8gW6aRbImP8WTcYI9YAdCmfGoNmh6v17hb0uWtGwkDlZPP
/EyZdKPjSxIGuwr8Tm9Nr7PW/LukxBlR7mo4vMlEzeowWESklwHCkBdEC2SMdVIvYbMau8pQ26qr
9kUDD6gxePbVpkpUlHVM87L4Ws7rWz81L0aY7atBHuXcbhoxPRC1O5WAdJK4+lHb7kclwlOap+9L
JW9gJqvNEoTAdZaBK6K/dTvn0U/8bVOBZ8C3dUEDmbZ5M9wsAVdkaJP3jp2oRvBQTI9HDuUYj0iI
/6e36y1d48aTwwvv8F1vNR90dQlM5pzgUptsB4twc+Gau8aEdAYqAtU4ICol1NkrmDrjMKQmjasz
k3V/a9FZ9B6wnsK7B+K2c/p+Axc2WbYDlvbVmF9HdIhD6DQ8YIO5LUXhYD8x1RUneewwDad5mAz4
zTVff0h+JDycddd6znxYS6aGRubWnwCbRJQ3lfM6pB646AbpvAMmEhrxR9nkW3Iph6GyoFPD7xic
2bnMZS9uwR2fCOwidue7ImiGu4W2mR6lGdOjwtk2CPRNNVKYmQTB4P7ck7vTzN5wOIzNelWmoZ7Q
7O/ThOoW9WTZDxM6YzuA8a6Nem94JgZAZ95l0tytdF5QvvfJHOxXCgYXvWQdp+fR5y0K5B77fiS9
/tKY8ffRG7BTNCuWCF/tAk0fFUulbcUWmJaQ+7fMOT/SIIjfjcyaL0WqeJJXY9x3RbwjV/nLcVaK
krB79zLU0hwP8AYh4FP4ThUFmZmTM2rBiK+9x0w7/BSSQDMCk7mT00qOovB/ZHFlPk+t/ewnOZgW
De3IXI/uOgvsR4sE/Cao1Lasm8hlrN5zX1jGeLOo7I95yn/2pJXqXQ9K/mcT8P9bWvHPHuA/f+rP
UavNChzXY9boUOkDxvqLBxg8rOlCa+NU+8PN+0+jVsBvDGhDh9fAFOi//s/fLcDe3/h2Wq7vk9pl
cmX+Wyw33/3/Zoe2I2xGbDoC/Rsc99dxXjrxfU2Qrbze3gD34mCcKBKzzAYWIW8B/Rw6lOas6e4E
98JMsCo1Y+pvq7/UiwEDO7C+jWk8npdwvS7G4EZ6PrjjmHN3oZO+N4VNdgwl2c04KlJVA0ilfw8F
eSZ4aRxzuGWPXH9MYWv0QUPF7U6amJ4EZethGfv0beJfUOX535dpuHXoJTBwheQd5rG8FA6Z4mRw
78ge49mAEnITSH3ezQ2lnD4s7UNlOj85kR7qtt8XllaBMaSF2W5I0h2Qj21PTztZMF1LP2pIaDZz
HAH6iBqUCf5u/Lbo/qkiIkRH3E/53kuYJQ1tGelSEX6jG9lZsWydjKZ3MI2tmXkZ0p9fnoRXvlrW
eA47++J2pPxs49EmzBw4y0czeOAf6qfObs4mzcsyB94mqxrnFBY56ojrmfNDWlIz+eWGZv+mc9W+
Ds2jjdVzctuowGtjDwnzwQLCPZjLBhuGcUpTgCfF2hege/J46y7WzwWgKs1qNoPP6hgZiemgJImd
3K/6bdKNy3Ni9w+g2b8K0lLJah46RW1AonfB82MLrBu4l9TQcryHhBKryGM+gixFWREfJz7FsHa1
Z2+6TZryqR+c5JJmOEjWzN03vngiXb9xbLun5G+gb1HZ9JyYG0k+U7Qogosg51zl2Y8qltHQ+Vs5
Z6claKPKJVWsqmMtXNzK9O2ztzNmS20YGwEZzwDbTf4p9bLsLgbuXGVyeFK9AXV1Lef33szMh6os
DiWPVsHLejCm6qVvvaiW+Fxs+9zDy++W+CLE+kv6/Z5nFq2qcfnlgCBlOH3dBdSboq825L7RadHe
h2aUYkYxv6Zm3uI4PKjU+uHO3Y9QNO9r7Z5RDe+XOf1Ka34VxeqIaRQUO959CG5lF/f1uU8Bejjl
Xuf5+GqQ98+LfcnvZRKvtdaFFKJjLfTttbWzVqqvVc4IIpmzn3jWLqoSPzK1LoA/rapknCXLFyeR
6WdppjH4/bWGK1NCZlF+PL95pgFLaqCHq4qvdjT32Ry+ZCFzmrV6Vg5zwtBB0R6NanqwaXR97TPE
5mTPVb1Z+6R76Hp0Y7IJL3aJ9TXB41NVwTZb8i8PuutOJYzjVP0yeOTNZ6jmkT1C9XF552MB7mqy
CakbJoMxbxa7eUZuqZco9IIbp5D3Vvs2lulPev6trTElMzy9fBYfqsPnajnVV2cySElVSy6RtM9o
PsYaepLQNeFQ39QV8QONRVk0IKUZCZR7GpqiND4l/Q1SmSQvDbQKoYsnS8NWzJbEvytXey8hsbRJ
d5jCEsAJiJbCzc8g+/dKw1uMNv+Ad3wqNNZlgu8i2Rgg4b0YCbo0Pb/CBgkMJmEE02o8TOiPP2IN
jHEm0DGiwpLTQ5OpNFZm1YAZpovMVGbzKpLR3CZ6wUCggTSU2eAxQdQA3m5PSmNr0JP7DSww8yit
mK9uRRNVh8F9oYE3UqNvFg3B6TUOx9BgHEsjchwNy7Gg5jjQc0ga34e/cTqzdVw0YAfeg3UmJXFX
OF5+CVInoEUEyJNqNI+hIT24vhQHFpnoJAThIzXMx4fqI37zfeSEqQnvKvFOR8f//SaqaOV5DGEe
i1++1q+ZcaBk95DmUq1uz1rnjnsTh1aBvRsJfIb0uHO1Kr42gJ57d+Wlas28XRsVrVpHN2fzJdXK
ejo0sBHR2kNEd7eJ35Ej9unQPk9TBYFO6/NDPtznCPZdPrwNafzBNfXL9Iy7GmE/M5PH1Mn2NoK/
yHsaXTwX21jECAfKOWbaH0DWfO944xuixj5IuJvYfWFtHES4fcrw1U+NXE+Ao2ASTmQ1GmrsSP/Y
YEsAVg7TUTsVGlmMpB35YzExmN6pzltMj9rgUJDDOyRL+D43iI3l2F1LpW5sbYtQDMzrP4wSzJoL
vBN9MdhRiJuiWIKvSdsrBMUDT4CHJRfnBYa1re2Jc+EoXISh8RiPLAVxy7ObdY9B4Z0GvpFRm1SH
smXA5fhRZhYX28s/6zwFzerYCgN5/54EICnmNTykdS8uBiwTq5IxSEq7u2PgBmW9a19dnnSS5NCo
xvHeVWQ+LK5QtYLX7h4y15cVyZHFv2NXTLYh7FTtV8E/9SvtfBti+lwk3hh7JTyxeNdEWlVUB2uy
C3Pv3ZYDUQy4FWts/KxWxl8KE9+GrSPa+fWEf2XSX48vK6huVhGTh/aNLWnfTd7DO63q88LEZ4Cd
PDPkWBh8UeFs8laTrQ0An12CMyuhZSvCTxcfvOOnryYn70YKvJzo469tUAYISH24jztzxjQWPJsB
YoI1Lw9hjas9dIxPh4k+qRl+iYaXQJYYnkaO81rqT9JWL1k27lmdAZ3QzcAeKbUvnQRLrp3VF98n
42wEdAd9M91VFeFH0HscWCvZkTmrz+C7bxht7dfQO7AfpuBjC55j/tpTZtjD7RAnh8Xrsh1Oi3t8
Ud/8uiCwagreU76oj/zmn0m6ftHsNBeBH2XXuzj51ro/9F2zjzURY6YXBA9Y3dRh9gaWxgPRTzog
S81vHFefVh1fqzwwCWGJ4rLo8e3is7gm9XAc6tGu0ENeupNnYO906MsODutzxzTYADa9zxifSubE
i85p1UyOh5L7mgdwn+mhsqvHy0wrWIDExBmL7VcQWttJj6J9o4ojSrnvDQLBZlzkYy2mW0qpmRqu
l0c+hGNTI7KV6OjPwzS1t9CPx527ChdXEeNwQuLwApmQJx6jcuZY1mW07S1NNi52PVBf9Ggd9jqw
SWZzVJL5ls0S72M1/aqzMHmBQLHsAcFKJlNp8mGXnUkcrNI7lhjmZ3qqr8f7OJbow5n4g3/4lmgJ
oNRiwIwqUAw8BT5j4CuY0DVqnKDbrmAPj1SR2WZkEcRuQWMAhXHkUiULF9sfS1C/4uDK94MWJiQK
hT0wYnJq+KxOAgSkQseoPfFcuhX314ij+gGqlYwkay8ubHvhv7U7mDDJi6XFkZH/dEItaQLvrFBP
/LK9ZY6eCUStAXWFo4lFBVlYn2oFLI+Uhrw2nPgMP4JmzzoqRlk2zsleyzalFnA8LeUEWtQhw4FV
UQs9c+Yuh5iuE8Ow+epVzl3KSNNGHWqKlqJYC0aulo6kIdxToOUkMMjZ1qhMP7K02OQ0/sug5Sc7
WNxtNTuwZaqMugaVasQ/j6tcfO9m/F36YjxVaFqjFreGOjubLMqIRI7nmjwuPlUthpVaFsvQx1ot
lPWWBMyCdNagoXVj8uxpUW0c20uvZTapBTcGgYrEtVbhRALUFJd9Ga1apJtQ6zot23ER1NtcS3nu
nLyaWtwrfst8WvCLy3A3Ok21x3s2YXK30QVbLRFmWiystGyotIDoainRDZItDofX3+3lf3SbTTzd
cv9XZvq/bFP87Wj6+0/92WY7f/Nci6FXCBcMJ5ITYKn4EzXGjlqw6ODUA8/Bqvwvq+ksikys4yZW
J34Y28M/+uzAEUDLIKb7/PS/12db2C//1WFhWQ4+EzP0bd9j3Kt9Nf/ksxPpUKo1xkk5Oe6+ozPl
cLxxtPpQwS1solVLEiyd2pfUyRemU6dc6xaGX+MFiCRaxmw0j3nQTGSFpm67aMGDnWsxTTUiCEEP
bh0tjNRaIpnjRBO2qDdVkxqbsHXWiEiLjMa0UVdHCy1c1+k3bBGEXkboguvgUEYgzFADFqdOMKu0
6hpBMjvFWsaZtaBTxsgtmbrMKD2WrD5Y6vc4aQmIsRY2ei0LzVogwl5Wb2MtGhV/6EdaSpq1qORq
eclRCKzTXILeKNdXgQYljLGOipli0kafMkw6dIz/V2mMj2MogYYzCW5xVpCK8H+2WuZq007oaAVc
Hy2C5VoO87UwlgP+WbRUhlqvUP+xXmDmwLqgJbVcEm+eGm/dTwlzjhKkI30SIhyws/69QJcjt9Uc
MD4ue5I4+wJZhklIEhWysolDi63sSTYuKH5JET8RHmBpHFIgmz8QBXsM51omLNAL6eDqSLqpeT9r
MbFdYwQC9EUrrcp7JwSs6zeF2KcZsdd4Nr6x4oTeksH7pfbit9B0rQiDkn/OUDNndCUKBda2eU41
n3ItejJX+pIT9U+tguFMlMndsp/nNGjBlOZsb//WUJWWUxdX+fsWoouH2rwzVw2hcnM0z7U+uI2d
bhu3tQlUB7hzUGv5V2ST4gonTUGHKI3iIvrcOqSGcc2pGWQhvjHNzWnoXRLLXflm20Z1DHW5UUzA
3W3VH5hVXMSyqp0Dt/aCxPc1stWIVTKP/tgNgpE3PbaI42+lI+4lNJod4BCwjZm6VRB5zqS6n31a
x2ihNrKy5BDGWMsDktbNOQ+YJ0GT4hz3rPbYl8tdEuoZrK63bF15VboGo3VW+1mXZbo+W2o+TQo2
wnG4W5W3n9m9QoiUqs7KO13fQZii4At05WdSAppjx5lPUTiCeIP8fAtKPdw3umgcS+m/dtSRRY7h
wqWytIjmNFSaxEaREYv0XJjZCNcsjYYy/4a+8NIzUR7kLdx5HLIZ8h/bi5ArN7oGBEb6tTQk62MK
3xjsBd4nKmEgaIhxxk9o2rZOG10Dyma/UsnOaKmkjTa4dn72POsa22JwtDENxATORyrwPK33i67K
FW/N3dKiuW8So3vgEDoKb9h7FPOSRWJi4GbzKPNlUr8yhClPrJ/s79gTFp/yRfwsR0tcJtoEw6df
MD31XqAQ7yrdSwiaiqxmiw1NRkWzwWpwbCF0H75uQ+rh0aEtEWa772hTeomaC/HxPJshya2FgbeD
uXzoklOg3eZqsXct9nPHkZCz8KOrpfnwtUM9mePvPZZ13KzZtgZLzPgKjIfd7PqCCQdcvMOoHe8G
1ndnbqhGtBt+pV0BaYBDftRe+dANrgrzPNsYBi05HWts9b4Rnj3ts+9snWc0zZOJBd9Yma25mPJb
zPmBduln2fAdlsPDqv37CiO/CAYdzsLbn06W2Ars/qTh8f2P8hdKC9F3nQnwdDrAIiawWh0Psk80
k11J3xyiBKve1al0uiDVOYNCJw7Yx7BEbIx9WHQaIYm9G0cBqtU5hUknFlLVHLqGV0OUobK8H45A
zdUZhywJZ3YkFSnmDvlR6iSErzMRXTL9IJzAt2O1rxaxiaGhgMtw621SnakgtfrQyonIDmkLojV6
141/Ud7wvDg2y8eaT0Qgzqrq1iOwAcSVpW3M0eJw+WyJdExy4FzUKQ/ew5RHon0fCYBQObHiSWdC
jN7+IbHXjMp8kb9TI04+E0EwzsusEyWGbhoJmZiOfQLNcMMOrjNfwx/eBDOWUEqfmF+mkd4MOq2S
YQBaA9BqJUGWxMtf4gVstU64lLOHeEjohZSsiobQwEjltmxChA/Um5eQoIzDfXYC4oxXZyKPajRb
p/Ru0tkOuDNzOBRmSJJWZ298Qji+II1T6lxOrRM6Smd1pE7tlH8EeOZmeRfFyDCroDmLbRoYwmg/
6rQYkIhJAanAPs7EgpgRiOClLeCmAxlDbCc3BFWCOR68Jn0lIBIRL4p1zqgncBQoi+SRziANhJEC
nUqCWvw9T61TpfNKnk4upZX2Peo0U+/WdLuhTzHQJd8Ieff7WIeeVhVWjwFr1Sp9a9tRAjD/JqyU
9eb4xdXOPes2x5TP6cXvv2IggmXE41Va2PTgTFcV0xtBCmup9CIwclk9MAG6c6JaPFsvtQ5vObb/
yOaoNBrJdRUQPGZyXtpWsPrLyQcXZGJgSMmD5SHBfR0QW23wCyTGPAcKiI6QDVl5WHSmzGZSU4Dy
ImsmDJKNHIkGfTPB3J5EWk4yzSOhRnIHdKdYzoUOr9XE6i4l26KY56DiWjVr52LSbjmpt1hxEwkd
hAN4mG5x7PGcuVaydxPbu3BXsZiSDF2jw3R4Bdg+U063gMNBoKzODX5cFXXt8sjJR4hoCV3AaITz
cpE/+TquJ2eCe3bhXmfDfPGG4JGw6aMg4bfqqN+kQ3+Fjv/F5AA98oCxFz7YU7lLZrIPwNXY63Rj
EYo+VeQHlc1aSGlfe0Z9hg4YBr11D9dixbpH+HDRMURfBxKJ+Wd7KBdMnPC7ksFvN51DflSIyCDP
OBbGW06+kWV0276fozorzzb5R9GKM5OUh4ZcZNDPDwThWxoyIpM12cncrt9dPlKLTCWHjiDsYb/P
wn+vSF0mUrHYWHwUpDFbPL8AsApmF9lBBBmzh+6JbW8UiTrK2bDpMNPhTt4pFtsUb7bHOJn0p0uA
xMqJg8bkQkc0koWcqKkDo8hK9y47JA2dJJ3DI6sRH9giffZ01DRxvG++BqkWaAis2WJw8juYqiOq
ZFLaDQM0QZfvs7aZICvrL7/5Otq6kGkGkHTEZbnxdPI1EebdpLOwgU7FWra6HYnJMp996kZ1PxOf
BSlNuAA+B/RZFjzKFlXXMAL3zmzQRjpVsKYxGVdwAFMgdqgORwIw3711fsJcwrZQ5by3dXo3suMN
FKa13OEdOLAi1d/ZnQmem1o3arMi3hrldEoZ5+Clm6bbdmWHpvafyvJci3BnFDDGsx5yjt3DvYSN
o1LJKGX0qMFjBsuLpCIfPQWGcPmR2T4mCvM6mj3uusWIYKCw1drxtyxIardemzxhoLhaE4TVSbhP
7iqfZrMkEQwswAj6o9V2qEz9qZeCwXwZ8q0fqnVTcnAIQzDKhnNDagcOgyFfcyu7Gwv3fsSPzBzj
ts+7jyRrdmw9OVpOfk3S/lsT9qewd5uTYhEDXsbkVXb9gUJNRqoMxTHJuk+4hejRTXAKfb2vBmss
yHGmrbzu9ptFf7YrnLjcdaON2lKmlBwak1LYECorJvtmNxuR2XZvwkS7YYcoIKL111wQM7PFRHq2
ZwsI5Zm7DbLu3hvTi1eY01EFfUBPDxTVLwFjisaCkMFBETCBIMwAHR5jR194r0vgf0oBnp9eglnX
mJNOLvyHLF6JDWuaivSMDkFK/hRSetxc6tTJSd7Unv1iZID1THtpic+zU8HJ4S5nbaYOhXSsSGX5
Q2Na2NytrzjMvsUVB+/QI98YQcmRVR8HRkn46ktS9H1wthQPQ8GC1iDNLNYZyGuF4Qu9qDixIO7T
MGlixlhcXUIy0dgm8jjx+22W0HE30PBubcFUJ8MNtOWePtaqWUkI+i9qsqutO7PI2jLzs19AZlwk
aby8f2lwcstSl6tV/7IGNTJEQ8CedbYsnljTu8Xyfq5N/mLFgXhIxDjhAPI7InKmg3MDs2jaFxG7
kPD/LyyPCsXTZEqx41518DeWnNemwrca8PQ3rWY9jger6L8F7OnsayCNkgouwo97n2BKM3l51P0F
b2HmUwe7ycfYjWITBKyuUwMdbzuoB7+yJvQAYuV8xdiKU+MxHQ1MS/GECFWsQ/deFTPBf3ZDTDdp
W807KbMvacpLmde7IEwubV6gp+ntWJAHtm1WnSYX/cmzrHuKSQ3EcV9VOx8Ayn16Iz6okoGS1xS3
hVkjXDoODhKqB+L7LrspZotlCsaz6Kc7jHfndvXumoZjU1j1zWANzxgAX+fSOjI/Zt8yIfoZh9eG
I+FYps3OSAVmEWtkkU0mzxVLaFVnHlp4N7qA/dYu7Fbpyuc+Zx1Fn0PtlYdlRi/us2PLRlcEkYOz
+FeSLtsxTHFmG6fRnw/jaoOp6Kjz5y3QoKM3sObImLiUwDAhJRiud7RLd5d383ma8q1oznN9J1qE
Vbw6N10QHxzDj2pgqE3s7kxU/tCrPoPUfE/88YRE9+p6uBfdicEX8SalHXj+OD2JKnheu+YuwQrl
T/TztiUnBm89K4Gbh0LNtyS+8Q+4LEo1qn1j5DdcHPci9T8L/kLL31YWQUjj6CffexY6z6l9yLz1
IoIAYHhNnTFdReucxhkDIYvGpwJZs+i3hNn2wIPeGlV9+Ilav4PafMI99JhVdrxNMVIeCR49SIn/
OzOb3aAoRdo6TLYJ5q/BNwxWKgcsZjRqqDQyJ8SgOB27jg0Sk/HYTFj2+rW+S5k8DJ13W0LztEEG
7uRQgxMo+32iWIqZtDzmDUtex4I9aHBrnxQl/Ip8EAaj91DaIzrnSrXFZgdWM5G9rJd02JYL3vV1
LK8l227hJRBnyUOAR01m3LLEdIwIO7Ntz1jjY10sFWmA4gOkMTaF0flFphSYqOkOl7iLD2xdI3YL
vYDaOie+npg9zKl0iCzYXJuq7c1Xt2cOk6XrwyqzRynkTUsgIIQ3TeR6B/ZkgXiaXwH/sLJujecz
S+rk55rHR+DFeRSY+VObGtXDFA+/fK/+hKEjd3XavxnxuO+xF99V7GA6hnOJYDI2I2d+29c/BiGL
LTUkPnAXArwDzhwfeL4FtDHvDT4/rGNafrPbt4qkWbEZA7DqhmNPpyzNr3aqHAfIMc7ZxcRDu2g3
LXQm1ld77LAmmf6TSfT8w8J8i9FpV/+245KzwZrLItT6ka0z9b7Xzl1gCYAVR0xwkWQRNN5ex2vY
MjEmiqnQ8NZpA3DdhvWRVg+rx//9R1qWcX7K5+N/aZOIpXOsONVY9BFKEP8s/4tCnXdNf0dfha1e
PcKwpGKMh2Tp9gJ+VK/zskonZwPA/4dhtr9ge5xtna41uhE7bbaz8vVDeM7O1jncUSdye53NBbNZ
M22o/ohE/kcPlz3LcWzSrf+zh+uovsrx/V/WWPzxQ3/Olr2/WcRncWlRh3gs5NRZwT9ny/7fXMEH
EOLxMi3HcwKCjH9PywZ6jSeBal/8YeJiIv2P2TLOLebAPj9keab1b3m4NKPxr+lPy/JDLFwEZk2H
V/PXwTJTTbEwliNCUDyudhGF4w8GK+yuuP2nt+X+jz/xn5Pigf3X6GdAKNdDa0YbDfjfkP//17+p
KFXAcR2APSuamkSf/1M4T3ZFUHfS/nR0SQTafrZultRtr41QQ4S3GTely1cXOwTkit/fZ5dvtjX6
+CcK1e0mkFr7WR8AbSqqW+7yEiweWSV9TNj6wIBxztnR5n3HPoDKYT+QqOG1jfuGs2aCDgJ9Un6S
K/sl9XEEJ/4J2xLfyMk4Jp0rWSXJ4QWaq9jTFl1XfbDhAWWXDsc/SuKi+htTn4CZ9RDG48pXnsOx
nYGkL2kF910fnUzkHK4HOGwMRIBFCLIYrKW5MPEMbmd9/LIqisgT57E+mMfYj4+socPe72XkZfze
uF30UT5YerMGh7vJKQ96i6gSTo7tFLd47l1k1DTEZNROvvewcFuI2D5xFDwrfY00dX7nmOBcGPlj
BeCu6fSlw1ZBewekfa+4jyw6sIH7qf19UYn0qdZXF2tBI19fZpW+1mp9wSl91RkL/EF9+Sl9DeKW
anaS5MMKNy3TV2WuL00630cO2KdAX6dO2n4Ifb9yz+oba5LWftL3L/ewzX1szAvL2moSgzH741c0
ZRt2pDy1PsPm/s3BDyLs8NPkrk9sYI4enzY1AD16gyFj1uS7B9XIG0eXC5yG/LJUEPVY3dlUFHWL
m1eXGB61hqw71qtRikJQfiW9eurH+T2mOinq5Wr3VCsEJmISYT1VTEs1IzqMVhMvgt7BdsczQUtC
l8HRphBCFj86FEbk3798szraFEyYc6Bv2seJQgp98ERkcVeGJpY6/5pQcA3p9GtJU73eAzCTpO3L
aHlYHkOhVtpyD6XjWxhoYca0DsJfzuXanTNd461Ek8H0IM1T/jHswa49JESkRlxRM90SpaIbjs+k
UG4aYGmMbsd3GULxNqkwdRyc0AZFZ6XLT5s61Gx7Nh1Qmc4ECpkXM0ew1k+1LIeEGjbRZbBPVTvr
8racaiQdwU5ElyJPl8DmlF2wHO68ur+01Mhh2887TzjTTZznFCosaOre1YpDqkvpOGzoqKekYYFg
uJpd5OlCHA8phLSBJA47NB+ULtdVn3+Q2GMQr0t5Sxf10wydgyq/1eV+4ZVm5NMBpJn81tERFPrR
nugRVtOcdpluG4Iid7eOM4mdpZsKSXeRz/m9XU4FGRm2fqwuTOo1x2XAjnu8gI39YNKnrPQrE32L
n9f47HQrY+qmRtHdLLlIsdXJcziNp0I3QKPf/UzLkliWCRFwCSqKyPjFT+jGh5Bip1mC7SowH3RC
3a66yZp1uzXpxitsaZogaV87l9iWpDsLJTt/W2ySLX1bqBs4aySgJejpWubNqQ0lFoaCtxszh1t9
YpjGJ7IrahV5Xnc2zGRXJsNb4CgQkumj55NLGR3vK9PeExYaItUtVNxwfXAh9QwTnTq/FS0DF6QL
XkIQZyeHI6RsXXE0Ge1FmREMYJWWdB+OMfMZljLbfDkpaBLf8I9BwzLgLsED4JbmXYP6T3SVSSW3
G6VKhSy+ttJ/WU1JuKdRxnFqrDjqO5+Nw20l7tNyuE0z95Fe6FDTNus5EUO8Rbp4eNVt4NYPs2gO
dWVYm26V58Lo3jOioRtyBEmE1f8xMds7m9v0LQ1XToyeFegtwxO+d4HBWNy/jiucR8+7Eot/o9K8
y8oEcW2dHobQB9eDF8mwLkM70iMTQGPY1B4L4UEtLJwb6MTIE264JZ3bRDiQM9K5rnuc3RLCffa8
hpg7TbSeMmNDsUbv2HF/n3XNxZ+DmzYlUonAsXU65pYO4yilOMyq+bZ02bWxErviaT3h+SJGMz10
IPy0iaTfirGBaFg3x7ZE6oCldPJIWQ3EhIhDtIRvxg/0oLtE1RSME1pFOZvYB137FXcBvrgVm4Jl
TofYo1oPbf8mc6G4tWN6ZkYLastBzQRr+EMuHOhwgpiDp0iri0tWqDS3uZfOPBB4YVhdldwsOD52
MYvvo6ZB9Cm4HI3yJ36gmkM7hKwkhNjUZGHOCxcM2UfVlh+Fz7zDnuqrVVS/TNk/exWNNvnqB7Zz
8Add26zbMeTfjEXku9B8Z19ewiY/8Y7SNtmmViXyhMRRLA9s1pTbKenug6B7SVNSKtytKDDVz9mu
eJHO+9RbV2wnbH1oEd289LvVLU9KNpi+poPB+oqWFT5YlsunEY2WAI/9umbdj1lUJ6nKa5omz6Mt
n4j3pnpPSno1q/XXMhjTrk44jDGzMnjILUzSdelvchPjD9tWAQvHPDe5DS1DlnBlVajgshsGXzHP
uUH8ew8MTNDoO2ejNF+NsLowrXhTqDisxESNkZCy4seyp1Vl94M+/0hzq8//Zu9MltvG0iz8KhW1
hwPzsOiKaIAgOEoUJcsWNwhJlDAR84w36kU/Rb5Yf5Rsp2VnKqvLm+qIltLOCEsioEvg4t7/P+c7
KFi8FCM3q0BolLo0p4czE3zKUHKOWaolF8akIYiM/LkjcAiT7mcFZ4ua9Let2BEWonCZxQtLp8JR
KZGbKsK+UU/7KVavxd68zTPBss1SkeFz6bdFVVDjwOPXiOEFKyVbOk3eqCWHqi4+CcVzbAxMmBB/
a58QDTUePR5kCvpMvFb9CbSwSLPBR9nmQwWVk/RJnijuty2MViV6nrR6Nhbm6KRGc+gH3hPo3Ac1
FD2Y4sXMCilkjJgNfZV2OQ+Z+7ETF6KOVAeT1MBusE+60esKwo4bZE4qgQhtSsGyRM5r0tJAXgp+
AB+hWnotKVZn6zq1TaxgPH9mUYBcIUpOR90CQW7I9XpKqFUnWbRk9b2xZBDeErwM6kJBPxekYGUG
2VM9YesNWTxg+YpQYFPEnYl0Ouepmn4U0F4jjWi1BzHGkN7HhyxuNm2KbhFqFNe/AEBCTrOTG8cx
HZSaC9+qK6KgkG1iNaIPBdPvciK+umEjDhqg3UdRTpVDy46WEIEj6NBe+S0n7keqRwrUMfDBB/CE
WuuEIRFIRLvEp+VW6tXMkAWIcmV+jY5pwFrY9rOwwXlvcBZ1S4fNpCk0k0bQtXp9hHb1CZFgyu4e
WF8QyqSFd8oGhcIhz3VhOekqbOVCuxvj7AabGpVepvwuNXwnDJOPtVX0mIlZSqL41Vq0rYAv2Yv2
yT6QldEmQ+USW9UFNeVqC2hQQX2ibOPTpNvW2cnRjNUFC4pdJpfMcGSHzKnUkzkD9BW9a3O+X2Ow
jbpAYiVeak0IUftLeglmUgO6CVi86mF0ykamn1dLBNKJSwmoJOGc46WqlXPyNMVVEz+GMZK9wcpZ
+g16wURVdrNT0xc2LvnCzTTlwSxaC4BIs9UrGZv9ud+t+IO0L1HM9gI1Cnlggc1U+Cjqw3NH5hUw
hIYFsknnoc3F1O3ZWuBF0IxFYaIkZrKlb66pMl4pmolpTc5zX/MGy53y8VzjrZvecmEKVAshB1UC
Jude0AnATlvyZAys30R6QM9Lth0GTRKdi2NYDjcqwLdtkqrMil19R+bUptW7dqYWSzWIEresSpjw
1ulY1yZGzPCzIYcoBkHJM3Hl66Y/ebqiNTsIHfp+VPzuY1VgT9ugAzlMNWAUFh4I4NA5wjtVj4PM
erTW+uSCRPcKrXTSl17c1etTa10QzHZsu9hrK4llZQTgMwn7wI0y+VDU0ecyCQZsGZNdi/HgseYC
AWLGl4mMDEPuk0Nvle6J66cuVXE+nZN5Kn0ui7GnUKq0o4YKkxsSXeeR3U2VpcV+E2VwggOZ1mUd
Rrxv5TSsKZKzJ9EXpWEtSZbfTNlwVZstDYGkkiiLpBslUNLr5ITRCO5F02prIYp7fw41pqldpU5N
BZBpyGwui/DWmXV18S6oil5flflZZ1SN5TKmx58lef7/hRKiK/jvXazYf54wWvz23z+USr782JdS
ifRBZ+WKDE8FBWYqL5yhL6US5QNiOhXQnEGlQj7XRH4vlRgfzvC581eItKDIQonja6lE+8DahsKK
YSjI9BRYYL8CFuM1NBhmVF8kBbnImYX3nQZPq80sqGPxoZDwtaCEpYNvqIv3yyS6+bOljqOYsJtE
RTHRlpyVgN8dRRY7mRpl8cgGQlsgjDP2vtihC9cwmepNhwLdLOlvC1V/rWQSeOMUxuhlKLM3zRI6
D0k876yjbCWIt7VFJ7LM7sJpg/WaPraCj2BfnFrq3cWMuX1XydIzhdRhVmlCsFbEEiZxobOvENXV
SU5rRwmjzahJz51A8J3R8ziWUcOn0fNQmBhmVWORlulSrtN9g1LSaRWVZ2BS7QTZPBaC7xSy7Ka1
TPahNY/lxktj7UocoE8iM2/bcTGOlldW2c4Ild2oqARGBE7dJYFrBsBO6RnaYs/yWQicagobaDfR
ElsW+3HrY5cJ16Mkl5ithmoukC5KZ1sv7zCTtUh6LWjQQyWVTynuGwwFSRreFVOb+nO9JLquTi+q
0fBSCVfsAAU1l5p9LoVszNIJs0N9GajTqghkVF7IogaCymgbI5/sIyWgETCNa0VmI8NpnulLd6Mf
37XNtCUpextFcYeden6u8uiBsJajK3mvpTcVRiQSsonrEXr0JKy5lRIA2Eg3W9UdoiK2ka/5CHJ0
p5HKx04mfTuHxpqSqOlb/F/ZlabOclvrPsJP2LeZdpxOhocy25EGiwL5pC955uwsfyL4RCNgQ47E
Bz2nHyinT825+J/J/jJsrNpVrYZ88iYmTiO7nvoqdIse9VNl8NdE+oWNNGngiVx4YWzO4w7noY4k
RFTUNXbxraiFCz0RLhh114q4TgygXcRu9pEp2zXdORvf2donPotsiMVZu7quTkRHqDD3lT64E5XS
cgJhuBvUDB4vLCQjuC6w/ceCf91Fkk2Jw8t4ds7KXnIzDAbLEhXuShnOSW7ZEwq5tZaZRzmRaJim
2lyMqDyJQ++parSvCn03SNYnHr7PJk1S6uc3hlJfF2V2nJLKiQqCSOP8Y6Smj6mRXTe9jKdfUGZa
yzvVF9dnayk3O7s5TZ8jKqPXGgGbIlqdMatVu/RLk3/XG1cfktuBpCrW5NSFDNG6wD0HSwpJ674f
zHXcTRreT9boWms+ET5FjiNXV9QbF6LIAmfoMtDlvL1m7zv5wLoHzO+8wEqWZtMqOANbUmI9dH2u
YT6dcsLXTNCzqY/XJfUMLllEOOjeywGI78kkFl0ujSurGtKtARkbcszBoH0yB1XF9l4nQ1ggdSfW
WG93hKAELWPd9sV9PzTlbEhPGzqj6Vo3NZQXpMX3VnI/SRowKSUdnBzwui+nZGRhBlXY25ZZtGVd
YSvgw0IAKmtsYd0naeg2oKBXmY49i+3+JbVU9IV62swjLW3d3Jd2VIOvzDpcaYJGlz8ra2N0iDJD
GAhYsdrEArkiagborKBmOJ9Q5a3EcKJTgnmHW1aMyGMhFLXpYARRy8oiU3saUww+A3asAdBaxiJ3
FkVmSgEKCceoCaIXST4i1OBhzHwg3aF1BULDJPoCTYxEUWBmkQgpTS21VFVNNlFJ++iksMIX03Hv
lyImo669QW9KEASNH5pulLzSjntEg66xaIw4us4aM98Y0QkVG1OCdjYPNec0nIwMTmJHhQX9ZugL
ySl287JcQhmM3B4zF6+YHNAsgHvKup0SSsoG5e+W9EXN1dHK4YHWqR1V/vSJDcSTUCXcNnSFdJFy
ZkiJzNfifibEBpCvggIfhcgsx90sxzLSVGjNl20wjXc5hgfMNki5VlnSL1Sju9UQW4d9ccnjd3SV
tO7cWDoJXlEqo3emI9tUufVtp1J+Rlp5ZWmcRRNDmMj7DKEhSSCwpWy9S9cqUv31pEfVvZHj+IUx
x5I6i61tWirQ7boDElFGTTqlS0lsT5BHiHQw5ETwTgkNsVMVJDOe8JAerPzYMrVjsG76NZgI6o1d
ZM7FRNlN3bTKx05fhT71h0ZIVU81WEPrkrY6kUnl0uCTZqXPzSYrV1GfH4J+ZEVOYDTxNtXg+LkZ
7E6R4jZqprmwzKS5PmXPqeabi/o8xWctnuLwRBXCJyvTVbqG7n5xRXDIxqBkyBhhfmbPdimH1FoS
rUqXShtdsrBBX4jZq6caIdNpS4KAYSt4o3p5uOxoM9AwsEyv7MWCYJESRhx0G7k6+0yScB77Kc2O
7JMUN7uJGzkgoaduh3Q3JFr7UA+nx4kFvTNFjUmTMLxLBdxLLH8xGxE7jJbfy5BowKaQ2Enx/gNQ
kmERRfCKs9KHVTJMcIeD8qYc6/kpFg9JNhxppROJJLkianDbCAk/kNRnPWyWcYseprZktlqtgCYP
zY3mUwZScqrCUXiNjSzErqSTxoclfwrJVjDk2MPQg6Nb4/GGoSVUz3vrRs3nZiSg1cqWekd8aHFO
3jv1970+eHKMA1JXTugGKFzn1oUEVQGu0rRX2qCdq2PcLawGxk3QKHOCnUH/8EwgamvPimSy/ZC3
auojLlKqj2PGlVQrBJO08qGKy1uB9ZUjWMUD2BoUs3UFi0/1V0bLG2iF2G+HtstnkP8tBw2tS4pv
48a9vqkLUslZo97oLOAWfkHtFOf7vsQPve7lfCFaD+eQIInGaixyBkWBEaNDGGolKj2UoHal3CRc
MzEeG6MYFj6LkZVvtgRVdc0OHS2OKc281aL4iZJnMQeGcBvFRNZWhrhTibidwT06eaBOYsc/BQq7
HPrBfd58anTrAXlVRThYDBje4ODxWcpljdlSCYw7IY7xOkRaPJ+0UYEXS8xmlMVr0cR6JnWIu5US
zEyudIe+IZB2HMlDja4sWgBuWoyhPWb4F5vwRtGoxqOtIHKMNQsh0DnFUD8qkXsj/lKK1NN7s5hF
Rn7AM7xBqQvPILgBTGTN+rAVQDYzdZBhdZnT+yQ9JN0ZZ60HdtZjVpSmTeAAT/k6uuBeVoG/IEX2
FSWZq9DtN1al34IsH5fNGaXdxX3EwiDivsgmjGkmiz6c4c+NwtFNM4YCrun6tmy5yNIOUMQILpLl
2UwE27hSfZVJgXm8ss0e1RRu8vSmjfHODqjxZaPe95U5hxeBXcZ3NSN9pFSymJDcyrEEmisDgVJO
HWuXtFzoRkfIZ9QE8ZzuO8WEyuovCb7HUwJiTEOhNlqLMirx3WiTuUT4KHsstu/IpCsXUbhtJbbx
gprdiLW8hIl4G5X+cxWIKBiZOLT8SlSaQ2iOqs0lS0B3Y25SoORKi6JF7tKLUR2WvghO4v19h/pT
H1gB5CECTGbjQXNW+sFgNIaVXyHdfcAqYDcz0oNmhs02wemd1mEa9qpZ74rOgTwRG0aZIzjZwl/A
U7R30aaeGy7iTRehp82szydNQufkXPX21fGYvO6f/5S9/HPsoCLzIDE4U4xaxusO6rsdkkivkbbp
8FDNRQeion0DU8DeJY4X2J8mx/O8ixX4UT6vjzNOQfmL40svAN03PXM41bIoS7LywmTR2Ph+v0U7
Sdjoa07g9vO2hP+b2zc3y5ubm/3Tcrs93ir2LUzgA39uDvPPn1P7wKidz3O53O9v+Hs+3zK4pS06
MLccltT8GWZ0AmanpbiCcmejldkQGe9s0IDYg/sJzan9cbTvbgb7IXf2OyLJnIyh/oT60g4dRHgO
rvqZ5IYLeBBO43y8yhzZRphq7z45H6/X6+12u55dLVaba8fdrK6dq6ujs7q6iv/iMjo7797KCc5D
I8twPBTDlAz9h6HB/WKlQ9ieh2Y72x44bGoDST7MPm/ny8Beesul5208b+m5G8d13dXq4m6zWl1x
Quv3r+i3cgPQzICfochpmmySPs7n2zcpFUGsJYX0YI3XVp9QQp+n/eP7hziDlH+4DrhlwFhDH+ZB
8LKV/+5CFKDzQyeRgBGynbk4hR8NWmYsMqONkF/EJ/f9o/1cGHh7h/6g1DAysQQT3j008h5FbCMQ
Y8PiSv4ctU8vB/o/oOT5coqz++bexapCUFb7VI37pxpbwzcE/PmruzzKmpv8X/umryWgP36hv73S
mG7G4uk//n5/TKOMZB9iEh6b71U+EhfWd2/ft5d6OeH3XoLUj6hpj7y2YnxQUaJp1KeAOJ0//v43
PE7Bly8L6ge+hBsVF+TrB5UghEjfjdGfjcL7v+DrcL7/PX/+G6DaeR2gN8kAbwRSL6f1FwPBy3w3
EphsMcmeK16vA/HDSGhQsERDlaj7vX5wL//7jQSPA2a7XxwJaploxCSEYq+/KY/pt9eEyTNaNRir
1w8mgX+7keAMfwKf/SvXhCnhvDbFr2/6jyNhEO2gQbL9318T/8Qt9G22ccLodHyZZ6Kn+o+moz/7
hq832M9f/+4GeplG3nzned55Pfjv89A/3kxD8ssU8N1Xv04JL0f68vNffsWfD/7mYF9/r6//uIie
qvvqMSSA7zz7fjnRi/uU6erVRs+j5PXIb230L9/+B1Mmt/m3G+K9F38XhferL766/+2/sjfnDTmP
AIqv//QL5/2e/PNXT9ur7rP74w8NEwiABmuu39/9H55R/+yAO7+9F0D+q6fu3B+j6etZvnlQ/PKJ
v99Hev/E/+im+PZA/flW+fqg/KMfezsTnL/j8fR0X/3jfwAAAP//</cx:binary>
              </cx:geoCache>
            </cx:geography>
          </cx:layoutPr>
        </cx:series>
      </cx:plotAreaRegion>
    </cx:plotArea>
    <cx:legend pos="r" align="min" overlay="0"/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49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85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3175">
        <a:solidFill>
          <a:schemeClr val="bg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4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33337</xdr:colOff>
      <xdr:row>2</xdr:row>
      <xdr:rowOff>152400</xdr:rowOff>
    </xdr:from>
    <xdr:to>
      <xdr:col>10</xdr:col>
      <xdr:colOff>33337</xdr:colOff>
      <xdr:row>17</xdr:row>
      <xdr:rowOff>38100</xdr:rowOff>
    </xdr:to>
    <mc:AlternateContent xmlns:mc="http://schemas.openxmlformats.org/markup-compatibility/2006">
      <mc:Choice xmlns:cx4="http://schemas.microsoft.com/office/drawing/2016/5/10/chartex" Requires="cx4">
        <xdr:graphicFrame macro="">
          <xdr:nvGraphicFramePr>
            <xdr:cNvPr id="7" name="Gráfico 6">
              <a:extLst>
                <a:ext uri="{FF2B5EF4-FFF2-40B4-BE49-F238E27FC236}">
                  <a16:creationId xmlns:a16="http://schemas.microsoft.com/office/drawing/2014/main" id="{B495DADB-AB7F-F451-C4DE-4DB6C63D2C8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243387" y="53340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PE" sz="1100"/>
                <a:t>Este gráfico no está disponible en su versión de Excel.
Si edita esta forma o guarda el libro en un formato de archivo diferente, el gráfico no se podrá utilizar.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9525</xdr:colOff>
      <xdr:row>2</xdr:row>
      <xdr:rowOff>9524</xdr:rowOff>
    </xdr:from>
    <xdr:to>
      <xdr:col>9</xdr:col>
      <xdr:colOff>9525</xdr:colOff>
      <xdr:row>18</xdr:row>
      <xdr:rowOff>38099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23E39AB6-A567-54AE-50C5-EBD8D5EF9F8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HIRO" refreshedDate="45719.907356018521" createdVersion="8" refreshedVersion="8" minRefreshableVersion="3" recordCount="2759" xr:uid="{724C4D52-B74D-4C3D-A0EC-976F3323AD68}">
  <cacheSource type="worksheet">
    <worksheetSource name="TablaOperaciones"/>
  </cacheSource>
  <cacheFields count="16">
    <cacheField name="Id Operación" numFmtId="0">
      <sharedItems containsSemiMixedTypes="0" containsString="0" containsNumber="1" containsInteger="1" minValue="1" maxValue="2759"/>
    </cacheField>
    <cacheField name="Fecha Alta" numFmtId="14">
      <sharedItems containsSemiMixedTypes="0" containsNonDate="0" containsDate="1" containsString="0" minDate="2016-01-01T00:00:00" maxDate="2019-01-11T00:00:00"/>
    </cacheField>
    <cacheField name="Fecha Operación" numFmtId="14">
      <sharedItems containsSemiMixedTypes="0" containsNonDate="0" containsDate="1" containsString="0" minDate="2016-04-05T00:00:00" maxDate="2019-05-08T00:00:00" count="990">
        <d v="2016-06-19T00:00:00"/>
        <d v="2016-04-19T00:00:00"/>
        <d v="2016-11-08T00:00:00"/>
        <d v="2016-04-27T00:00:00"/>
        <d v="2016-07-10T00:00:00"/>
        <d v="2016-09-05T00:00:00"/>
        <d v="2016-06-07T00:00:00"/>
        <d v="2016-10-31T00:00:00"/>
        <d v="2016-12-28T00:00:00"/>
        <d v="2016-10-06T00:00:00"/>
        <d v="2016-10-28T00:00:00"/>
        <d v="2016-04-05T00:00:00"/>
        <d v="2016-11-04T00:00:00"/>
        <d v="2016-10-01T00:00:00"/>
        <d v="2016-11-29T00:00:00"/>
        <d v="2016-11-21T00:00:00"/>
        <d v="2016-10-08T00:00:00"/>
        <d v="2016-06-06T00:00:00"/>
        <d v="2016-04-09T00:00:00"/>
        <d v="2016-08-19T00:00:00"/>
        <d v="2016-06-12T00:00:00"/>
        <d v="2016-04-14T00:00:00"/>
        <d v="2016-04-21T00:00:00"/>
        <d v="2016-12-01T00:00:00"/>
        <d v="2016-05-23T00:00:00"/>
        <d v="2016-06-22T00:00:00"/>
        <d v="2016-12-23T00:00:00"/>
        <d v="2016-06-16T00:00:00"/>
        <d v="2016-07-07T00:00:00"/>
        <d v="2016-08-04T00:00:00"/>
        <d v="2016-09-24T00:00:00"/>
        <d v="2016-04-12T00:00:00"/>
        <d v="2016-07-03T00:00:00"/>
        <d v="2016-11-01T00:00:00"/>
        <d v="2016-12-31T00:00:00"/>
        <d v="2016-12-02T00:00:00"/>
        <d v="2016-07-09T00:00:00"/>
        <d v="2016-12-08T00:00:00"/>
        <d v="2017-01-14T00:00:00"/>
        <d v="2016-07-22T00:00:00"/>
        <d v="2016-09-23T00:00:00"/>
        <d v="2016-11-20T00:00:00"/>
        <d v="2016-09-22T00:00:00"/>
        <d v="2016-12-16T00:00:00"/>
        <d v="2017-01-02T00:00:00"/>
        <d v="2016-10-29T00:00:00"/>
        <d v="2016-08-11T00:00:00"/>
        <d v="2016-07-06T00:00:00"/>
        <d v="2017-01-11T00:00:00"/>
        <d v="2016-11-13T00:00:00"/>
        <d v="2016-12-14T00:00:00"/>
        <d v="2016-09-26T00:00:00"/>
        <d v="2016-10-17T00:00:00"/>
        <d v="2016-05-30T00:00:00"/>
        <d v="2016-05-01T00:00:00"/>
        <d v="2016-07-04T00:00:00"/>
        <d v="2016-12-21T00:00:00"/>
        <d v="2016-11-19T00:00:00"/>
        <d v="2016-06-28T00:00:00"/>
        <d v="2016-09-12T00:00:00"/>
        <d v="2017-01-23T00:00:00"/>
        <d v="2016-09-06T00:00:00"/>
        <d v="2016-10-13T00:00:00"/>
        <d v="2016-05-26T00:00:00"/>
        <d v="2016-12-24T00:00:00"/>
        <d v="2016-10-15T00:00:00"/>
        <d v="2016-10-09T00:00:00"/>
        <d v="2016-07-12T00:00:00"/>
        <d v="2016-09-04T00:00:00"/>
        <d v="2016-10-22T00:00:00"/>
        <d v="2016-08-14T00:00:00"/>
        <d v="2016-06-25T00:00:00"/>
        <d v="2016-10-04T00:00:00"/>
        <d v="2016-11-27T00:00:00"/>
        <d v="2016-10-05T00:00:00"/>
        <d v="2016-11-17T00:00:00"/>
        <d v="2016-09-14T00:00:00"/>
        <d v="2016-05-29T00:00:00"/>
        <d v="2016-07-28T00:00:00"/>
        <d v="2016-06-03T00:00:00"/>
        <d v="2017-01-08T00:00:00"/>
        <d v="2016-05-12T00:00:00"/>
        <d v="2016-10-10T00:00:00"/>
        <d v="2016-09-27T00:00:00"/>
        <d v="2016-07-24T00:00:00"/>
        <d v="2016-05-06T00:00:00"/>
        <d v="2016-10-23T00:00:00"/>
        <d v="2016-06-08T00:00:00"/>
        <d v="2017-02-05T00:00:00"/>
        <d v="2016-11-07T00:00:00"/>
        <d v="2017-02-01T00:00:00"/>
        <d v="2016-12-22T00:00:00"/>
        <d v="2016-06-23T00:00:00"/>
        <d v="2016-07-19T00:00:00"/>
        <d v="2016-07-14T00:00:00"/>
        <d v="2017-02-02T00:00:00"/>
        <d v="2017-01-26T00:00:00"/>
        <d v="2016-12-13T00:00:00"/>
        <d v="2016-12-20T00:00:00"/>
        <d v="2016-08-09T00:00:00"/>
        <d v="2016-11-25T00:00:00"/>
        <d v="2016-08-15T00:00:00"/>
        <d v="2017-01-04T00:00:00"/>
        <d v="2016-09-10T00:00:00"/>
        <d v="2016-12-06T00:00:00"/>
        <d v="2016-07-30T00:00:00"/>
        <d v="2016-08-25T00:00:00"/>
        <d v="2016-08-31T00:00:00"/>
        <d v="2016-11-23T00:00:00"/>
        <d v="2016-12-04T00:00:00"/>
        <d v="2016-11-14T00:00:00"/>
        <d v="2017-02-20T00:00:00"/>
        <d v="2016-06-24T00:00:00"/>
        <d v="2017-01-19T00:00:00"/>
        <d v="2016-06-02T00:00:00"/>
        <d v="2016-10-14T00:00:00"/>
        <d v="2016-08-20T00:00:00"/>
        <d v="2016-05-28T00:00:00"/>
        <d v="2017-02-12T00:00:00"/>
        <d v="2016-12-19T00:00:00"/>
        <d v="2016-10-02T00:00:00"/>
        <d v="2017-02-13T00:00:00"/>
        <d v="2016-07-13T00:00:00"/>
        <d v="2016-09-03T00:00:00"/>
        <d v="2016-07-01T00:00:00"/>
        <d v="2016-08-01T00:00:00"/>
        <d v="2016-07-23T00:00:00"/>
        <d v="2016-07-29T00:00:00"/>
        <d v="2016-08-16T00:00:00"/>
        <d v="2016-09-13T00:00:00"/>
        <d v="2016-10-11T00:00:00"/>
        <d v="2016-10-19T00:00:00"/>
        <d v="2017-03-08T00:00:00"/>
        <d v="2016-08-30T00:00:00"/>
        <d v="2016-09-01T00:00:00"/>
        <d v="2016-10-26T00:00:00"/>
        <d v="2017-02-27T00:00:00"/>
        <d v="2016-06-21T00:00:00"/>
        <d v="2016-09-02T00:00:00"/>
        <d v="2016-10-24T00:00:00"/>
        <d v="2016-08-27T00:00:00"/>
        <d v="2016-12-10T00:00:00"/>
        <d v="2017-02-08T00:00:00"/>
        <d v="2016-10-25T00:00:00"/>
        <d v="2017-03-09T00:00:00"/>
        <d v="2016-10-07T00:00:00"/>
        <d v="2016-07-21T00:00:00"/>
        <d v="2016-11-10T00:00:00"/>
        <d v="2017-01-13T00:00:00"/>
        <d v="2017-03-10T00:00:00"/>
        <d v="2016-11-09T00:00:00"/>
        <d v="2016-08-13T00:00:00"/>
        <d v="2016-07-16T00:00:00"/>
        <d v="2017-02-21T00:00:00"/>
        <d v="2016-09-21T00:00:00"/>
        <d v="2017-03-03T00:00:00"/>
        <d v="2016-08-26T00:00:00"/>
        <d v="2016-11-03T00:00:00"/>
        <d v="2017-03-28T00:00:00"/>
        <d v="2016-09-17T00:00:00"/>
        <d v="2016-09-09T00:00:00"/>
        <d v="2016-08-21T00:00:00"/>
        <d v="2016-12-15T00:00:00"/>
        <d v="2016-08-29T00:00:00"/>
        <d v="2016-11-12T00:00:00"/>
        <d v="2017-01-25T00:00:00"/>
        <d v="2017-03-01T00:00:00"/>
        <d v="2017-02-18T00:00:00"/>
        <d v="2017-03-26T00:00:00"/>
        <d v="2016-11-02T00:00:00"/>
        <d v="2016-12-03T00:00:00"/>
        <d v="2016-07-26T00:00:00"/>
        <d v="2017-03-31T00:00:00"/>
        <d v="2017-04-08T00:00:00"/>
        <d v="2016-12-09T00:00:00"/>
        <d v="2016-12-26T00:00:00"/>
        <d v="2017-01-22T00:00:00"/>
        <d v="2016-08-08T00:00:00"/>
        <d v="2017-03-04T00:00:00"/>
        <d v="2017-02-09T00:00:00"/>
        <d v="2017-02-26T00:00:00"/>
        <d v="2017-04-07T00:00:00"/>
        <d v="2016-08-06T00:00:00"/>
        <d v="2017-03-02T00:00:00"/>
        <d v="2016-09-16T00:00:00"/>
        <d v="2017-02-15T00:00:00"/>
        <d v="2017-02-14T00:00:00"/>
        <d v="2017-03-17T00:00:00"/>
        <d v="2017-01-06T00:00:00"/>
        <d v="2017-04-13T00:00:00"/>
        <d v="2016-10-20T00:00:00"/>
        <d v="2017-01-10T00:00:00"/>
        <d v="2017-01-24T00:00:00"/>
        <d v="2017-02-17T00:00:00"/>
        <d v="2017-03-27T00:00:00"/>
        <d v="2016-09-11T00:00:00"/>
        <d v="2017-03-18T00:00:00"/>
        <d v="2017-04-16T00:00:00"/>
        <d v="2017-02-06T00:00:00"/>
        <d v="2017-03-22T00:00:00"/>
        <d v="2017-02-16T00:00:00"/>
        <d v="2016-11-18T00:00:00"/>
        <d v="2016-09-28T00:00:00"/>
        <d v="2017-04-14T00:00:00"/>
        <d v="2017-03-16T00:00:00"/>
        <d v="2016-12-29T00:00:00"/>
        <d v="2017-01-07T00:00:00"/>
        <d v="2017-03-21T00:00:00"/>
        <d v="2017-02-07T00:00:00"/>
        <d v="2016-08-12T00:00:00"/>
        <d v="2017-04-17T00:00:00"/>
        <d v="2016-11-11T00:00:00"/>
        <d v="2017-04-27T00:00:00"/>
        <d v="2017-01-28T00:00:00"/>
        <d v="2016-09-15T00:00:00"/>
        <d v="2016-09-19T00:00:00"/>
        <d v="2017-01-01T00:00:00"/>
        <d v="2016-09-18T00:00:00"/>
        <d v="2017-04-24T00:00:00"/>
        <d v="2017-03-30T00:00:00"/>
        <d v="2017-02-03T00:00:00"/>
        <d v="2017-03-19T00:00:00"/>
        <d v="2016-10-16T00:00:00"/>
        <d v="2017-05-10T00:00:00"/>
        <d v="2017-03-24T00:00:00"/>
        <d v="2016-10-18T00:00:00"/>
        <d v="2016-12-27T00:00:00"/>
        <d v="2017-05-03T00:00:00"/>
        <d v="2017-05-21T00:00:00"/>
        <d v="2017-04-10T00:00:00"/>
        <d v="2016-10-21T00:00:00"/>
        <d v="2017-03-20T00:00:00"/>
        <d v="2017-03-29T00:00:00"/>
        <d v="2017-05-23T00:00:00"/>
        <d v="2016-09-07T00:00:00"/>
        <d v="2017-06-02T00:00:00"/>
        <d v="2017-01-21T00:00:00"/>
        <d v="2017-04-26T00:00:00"/>
        <d v="2017-01-20T00:00:00"/>
        <d v="2017-02-23T00:00:00"/>
        <d v="2017-04-05T00:00:00"/>
        <d v="2016-10-30T00:00:00"/>
        <d v="2017-05-14T00:00:00"/>
        <d v="2016-12-17T00:00:00"/>
        <d v="2017-05-29T00:00:00"/>
        <d v="2017-05-05T00:00:00"/>
        <d v="2016-11-06T00:00:00"/>
        <d v="2016-12-11T00:00:00"/>
        <d v="2016-10-12T00:00:00"/>
        <d v="2017-05-04T00:00:00"/>
        <d v="2017-06-04T00:00:00"/>
        <d v="2017-06-09T00:00:00"/>
        <d v="2017-05-01T00:00:00"/>
        <d v="2017-04-25T00:00:00"/>
        <d v="2017-06-05T00:00:00"/>
        <d v="2016-10-03T00:00:00"/>
        <d v="2017-03-12T00:00:00"/>
        <d v="2017-04-28T00:00:00"/>
        <d v="2017-06-01T00:00:00"/>
        <d v="2017-06-15T00:00:00"/>
        <d v="2017-03-15T00:00:00"/>
        <d v="2017-06-16T00:00:00"/>
        <d v="2017-04-02T00:00:00"/>
        <d v="2017-06-23T00:00:00"/>
        <d v="2017-05-25T00:00:00"/>
        <d v="2017-05-13T00:00:00"/>
        <d v="2017-05-26T00:00:00"/>
        <d v="2017-05-17T00:00:00"/>
        <d v="2017-01-30T00:00:00"/>
        <d v="2017-07-03T00:00:00"/>
        <d v="2017-06-28T00:00:00"/>
        <d v="2016-12-07T00:00:00"/>
        <d v="2017-05-22T00:00:00"/>
        <d v="2017-05-06T00:00:00"/>
        <d v="2017-01-29T00:00:00"/>
        <d v="2017-06-07T00:00:00"/>
        <d v="2017-04-09T00:00:00"/>
        <d v="2017-05-16T00:00:00"/>
        <d v="2016-11-22T00:00:00"/>
        <d v="2017-07-05T00:00:00"/>
        <d v="2017-01-16T00:00:00"/>
        <d v="2017-03-25T00:00:00"/>
        <d v="2017-06-24T00:00:00"/>
        <d v="2017-01-09T00:00:00"/>
        <d v="2017-03-07T00:00:00"/>
        <d v="2017-02-04T00:00:00"/>
        <d v="2017-06-14T00:00:00"/>
        <d v="2017-06-12T00:00:00"/>
        <d v="2017-04-12T00:00:00"/>
        <d v="2017-05-07T00:00:00"/>
        <d v="2017-06-30T00:00:00"/>
        <d v="2017-04-30T00:00:00"/>
        <d v="2017-07-11T00:00:00"/>
        <d v="2017-06-20T00:00:00"/>
        <d v="2017-06-27T00:00:00"/>
        <d v="2017-06-26T00:00:00"/>
        <d v="2016-12-25T00:00:00"/>
        <d v="2017-07-01T00:00:00"/>
        <d v="2017-06-21T00:00:00"/>
        <d v="2016-11-15T00:00:00"/>
        <d v="2017-01-15T00:00:00"/>
        <d v="2017-05-11T00:00:00"/>
        <d v="2017-05-30T00:00:00"/>
        <d v="2017-04-21T00:00:00"/>
        <d v="2017-06-22T00:00:00"/>
        <d v="2017-07-20T00:00:00"/>
        <d v="2016-11-16T00:00:00"/>
        <d v="2017-03-23T00:00:00"/>
        <d v="2017-07-02T00:00:00"/>
        <d v="2017-06-17T00:00:00"/>
        <d v="2017-06-29T00:00:00"/>
        <d v="2017-04-15T00:00:00"/>
        <d v="2017-07-23T00:00:00"/>
        <d v="2017-05-02T00:00:00"/>
        <d v="2017-07-27T00:00:00"/>
        <d v="2017-08-03T00:00:00"/>
        <d v="2017-06-25T00:00:00"/>
        <d v="2017-03-05T00:00:00"/>
        <d v="2017-02-22T00:00:00"/>
        <d v="2017-05-12T00:00:00"/>
        <d v="2017-01-27T00:00:00"/>
        <d v="2017-07-04T00:00:00"/>
        <d v="2017-07-30T00:00:00"/>
        <d v="2017-01-12T00:00:00"/>
        <d v="2017-07-28T00:00:00"/>
        <d v="2017-02-19T00:00:00"/>
        <d v="2017-08-14T00:00:00"/>
        <d v="2017-01-17T00:00:00"/>
        <d v="2017-06-03T00:00:00"/>
        <d v="2017-07-16T00:00:00"/>
        <d v="2017-08-01T00:00:00"/>
        <d v="2017-08-10T00:00:00"/>
        <d v="2017-07-14T00:00:00"/>
        <d v="2017-05-18T00:00:00"/>
        <d v="2017-06-10T00:00:00"/>
        <d v="2017-04-01T00:00:00"/>
        <d v="2017-02-28T00:00:00"/>
        <d v="2017-08-09T00:00:00"/>
        <d v="2017-08-05T00:00:00"/>
        <d v="2017-03-14T00:00:00"/>
        <d v="2017-04-20T00:00:00"/>
        <d v="2017-05-09T00:00:00"/>
        <d v="2017-04-03T00:00:00"/>
        <d v="2017-08-04T00:00:00"/>
        <d v="2017-01-05T00:00:00"/>
        <d v="2017-07-10T00:00:00"/>
        <d v="2017-04-29T00:00:00"/>
        <d v="2017-07-25T00:00:00"/>
        <d v="2017-02-10T00:00:00"/>
        <d v="2017-05-27T00:00:00"/>
        <d v="2017-07-13T00:00:00"/>
        <d v="2017-05-24T00:00:00"/>
        <d v="2017-08-08T00:00:00"/>
        <d v="2017-09-03T00:00:00"/>
        <d v="2017-07-09T00:00:00"/>
        <d v="2017-04-23T00:00:00"/>
        <d v="2017-07-07T00:00:00"/>
        <d v="2016-12-30T00:00:00"/>
        <d v="2017-09-15T00:00:00"/>
        <d v="2017-08-07T00:00:00"/>
        <d v="2017-01-31T00:00:00"/>
        <d v="2017-09-08T00:00:00"/>
        <d v="2017-06-19T00:00:00"/>
        <d v="2017-04-11T00:00:00"/>
        <d v="2017-09-16T00:00:00"/>
        <d v="2017-09-11T00:00:00"/>
        <d v="2017-08-13T00:00:00"/>
        <d v="2017-05-20T00:00:00"/>
        <d v="2017-07-26T00:00:00"/>
        <d v="2017-08-27T00:00:00"/>
        <d v="2017-08-25T00:00:00"/>
        <d v="2017-09-26T00:00:00"/>
        <d v="2017-06-18T00:00:00"/>
        <d v="2017-08-17T00:00:00"/>
        <d v="2017-09-02T00:00:00"/>
        <d v="2017-10-05T00:00:00"/>
        <d v="2017-09-25T00:00:00"/>
        <d v="2017-10-02T00:00:00"/>
        <d v="2017-09-06T00:00:00"/>
        <d v="2017-05-19T00:00:00"/>
        <d v="2017-06-08T00:00:00"/>
        <d v="2017-09-24T00:00:00"/>
        <d v="2017-08-26T00:00:00"/>
        <d v="2017-07-18T00:00:00"/>
        <d v="2017-10-01T00:00:00"/>
        <d v="2017-08-30T00:00:00"/>
        <d v="2017-04-04T00:00:00"/>
        <d v="2017-09-04T00:00:00"/>
        <d v="2017-07-19T00:00:00"/>
        <d v="2017-09-01T00:00:00"/>
        <d v="2017-07-17T00:00:00"/>
        <d v="2017-07-12T00:00:00"/>
        <d v="2017-08-24T00:00:00"/>
        <d v="2017-08-06T00:00:00"/>
        <d v="2017-04-06T00:00:00"/>
        <d v="2017-10-23T00:00:00"/>
        <d v="2017-08-31T00:00:00"/>
        <d v="2017-09-22T00:00:00"/>
        <d v="2017-08-28T00:00:00"/>
        <d v="2017-06-11T00:00:00"/>
        <d v="2017-02-11T00:00:00"/>
        <d v="2017-10-28T00:00:00"/>
        <d v="2017-09-18T00:00:00"/>
        <d v="2017-09-10T00:00:00"/>
        <d v="2017-09-20T00:00:00"/>
        <d v="2017-09-07T00:00:00"/>
        <d v="2017-06-13T00:00:00"/>
        <d v="2017-08-29T00:00:00"/>
        <d v="2017-04-18T00:00:00"/>
        <d v="2017-10-22T00:00:00"/>
        <d v="2017-11-08T00:00:00"/>
        <d v="2017-07-31T00:00:00"/>
        <d v="2017-10-31T00:00:00"/>
        <d v="2017-10-11T00:00:00"/>
        <d v="2017-09-21T00:00:00"/>
        <d v="2017-09-12T00:00:00"/>
        <d v="2017-11-05T00:00:00"/>
        <d v="2017-11-11T00:00:00"/>
        <d v="2017-10-27T00:00:00"/>
        <d v="2017-11-16T00:00:00"/>
        <d v="2017-09-19T00:00:00"/>
        <d v="2017-08-20T00:00:00"/>
        <d v="2017-10-19T00:00:00"/>
        <d v="2017-06-06T00:00:00"/>
        <d v="2017-10-29T00:00:00"/>
        <d v="2017-11-13T00:00:00"/>
        <d v="2017-10-17T00:00:00"/>
        <d v="2017-10-10T00:00:00"/>
        <d v="2017-11-01T00:00:00"/>
        <d v="2017-10-20T00:00:00"/>
        <d v="2017-12-01T00:00:00"/>
        <d v="2017-09-13T00:00:00"/>
        <d v="2017-03-11T00:00:00"/>
        <d v="2017-05-28T00:00:00"/>
        <d v="2017-07-15T00:00:00"/>
        <d v="2017-08-15T00:00:00"/>
        <d v="2017-04-22T00:00:00"/>
        <d v="2017-10-03T00:00:00"/>
        <d v="2017-12-10T00:00:00"/>
        <d v="2017-11-20T00:00:00"/>
        <d v="2017-10-09T00:00:00"/>
        <d v="2017-10-04T00:00:00"/>
        <d v="2017-11-30T00:00:00"/>
        <d v="2017-08-21T00:00:00"/>
        <d v="2017-10-13T00:00:00"/>
        <d v="2017-07-22T00:00:00"/>
        <d v="2017-12-20T00:00:00"/>
        <d v="2017-10-15T00:00:00"/>
        <d v="2017-12-04T00:00:00"/>
        <d v="2017-12-23T00:00:00"/>
        <d v="2017-07-21T00:00:00"/>
        <d v="2017-12-03T00:00:00"/>
        <d v="2017-10-24T00:00:00"/>
        <d v="2017-10-07T00:00:00"/>
        <d v="2017-11-10T00:00:00"/>
        <d v="2017-10-16T00:00:00"/>
        <d v="2017-11-19T00:00:00"/>
        <d v="2017-11-06T00:00:00"/>
        <d v="2017-11-25T00:00:00"/>
        <d v="2017-12-12T00:00:00"/>
        <d v="2017-11-29T00:00:00"/>
        <d v="2017-12-07T00:00:00"/>
        <d v="2017-12-11T00:00:00"/>
        <d v="2017-11-27T00:00:00"/>
        <d v="2017-10-08T00:00:00"/>
        <d v="2017-05-15T00:00:00"/>
        <d v="2017-10-30T00:00:00"/>
        <d v="2017-12-30T00:00:00"/>
        <d v="2018-01-06T00:00:00"/>
        <d v="2017-12-17T00:00:00"/>
        <d v="2017-09-05T00:00:00"/>
        <d v="2017-10-14T00:00:00"/>
        <d v="2017-08-23T00:00:00"/>
        <d v="2018-01-14T00:00:00"/>
        <d v="2017-11-28T00:00:00"/>
        <d v="2017-12-15T00:00:00"/>
        <d v="2018-01-02T00:00:00"/>
        <d v="2018-01-13T00:00:00"/>
        <d v="2018-01-26T00:00:00"/>
        <d v="2017-09-09T00:00:00"/>
        <d v="2017-05-31T00:00:00"/>
        <d v="2018-01-03T00:00:00"/>
        <d v="2018-01-29T00:00:00"/>
        <d v="2017-11-26T00:00:00"/>
        <d v="2017-12-14T00:00:00"/>
        <d v="2018-01-31T00:00:00"/>
        <d v="2018-02-08T00:00:00"/>
        <d v="2017-12-25T00:00:00"/>
        <d v="2017-09-23T00:00:00"/>
        <d v="2017-11-07T00:00:00"/>
        <d v="2018-02-13T00:00:00"/>
        <d v="2018-02-01T00:00:00"/>
        <d v="2018-01-28T00:00:00"/>
        <d v="2017-10-25T00:00:00"/>
        <d v="2018-02-05T00:00:00"/>
        <d v="2017-12-02T00:00:00"/>
        <d v="2017-12-18T00:00:00"/>
        <d v="2018-01-18T00:00:00"/>
        <d v="2017-10-12T00:00:00"/>
        <d v="2018-01-15T00:00:00"/>
        <d v="2017-10-21T00:00:00"/>
        <d v="2018-01-22T00:00:00"/>
        <d v="2018-02-17T00:00:00"/>
        <d v="2017-12-22T00:00:00"/>
        <d v="2017-11-18T00:00:00"/>
        <d v="2018-01-16T00:00:00"/>
        <d v="2018-02-20T00:00:00"/>
        <d v="2018-02-04T00:00:00"/>
        <d v="2017-09-14T00:00:00"/>
        <d v="2017-12-05T00:00:00"/>
        <d v="2017-08-11T00:00:00"/>
        <d v="2017-12-06T00:00:00"/>
        <d v="2018-01-10T00:00:00"/>
        <d v="2017-12-27T00:00:00"/>
        <d v="2018-02-09T00:00:00"/>
        <d v="2017-10-18T00:00:00"/>
        <d v="2017-09-28T00:00:00"/>
        <d v="2018-01-25T00:00:00"/>
        <d v="2018-02-27T00:00:00"/>
        <d v="2017-09-30T00:00:00"/>
        <d v="2017-11-23T00:00:00"/>
        <d v="2017-12-09T00:00:00"/>
        <d v="2017-11-02T00:00:00"/>
        <d v="2017-08-22T00:00:00"/>
        <d v="2017-11-03T00:00:00"/>
        <d v="2017-07-24T00:00:00"/>
        <d v="2018-03-26T00:00:00"/>
        <d v="2018-02-14T00:00:00"/>
        <d v="2018-03-30T00:00:00"/>
        <d v="2018-02-11T00:00:00"/>
        <d v="2018-01-11T00:00:00"/>
        <d v="2017-11-04T00:00:00"/>
        <d v="2017-11-17T00:00:00"/>
        <d v="2018-01-12T00:00:00"/>
        <d v="2017-12-24T00:00:00"/>
        <d v="2017-12-26T00:00:00"/>
        <d v="2018-04-09T00:00:00"/>
        <d v="2018-01-20T00:00:00"/>
        <d v="2018-03-28T00:00:00"/>
        <d v="2017-12-21T00:00:00"/>
        <d v="2018-04-07T00:00:00"/>
        <d v="2017-08-18T00:00:00"/>
        <d v="2018-02-12T00:00:00"/>
        <d v="2018-03-10T00:00:00"/>
        <d v="2018-01-01T00:00:00"/>
        <d v="2018-02-25T00:00:00"/>
        <d v="2018-03-20T00:00:00"/>
        <d v="2018-04-21T00:00:00"/>
        <d v="2017-12-16T00:00:00"/>
        <d v="2018-03-23T00:00:00"/>
        <d v="2018-04-24T00:00:00"/>
        <d v="2017-11-12T00:00:00"/>
        <d v="2018-02-06T00:00:00"/>
        <d v="2018-03-25T00:00:00"/>
        <d v="2018-04-17T00:00:00"/>
        <d v="2017-10-06T00:00:00"/>
        <d v="2018-04-12T00:00:00"/>
        <d v="2017-11-14T00:00:00"/>
        <d v="2018-04-19T00:00:00"/>
        <d v="2018-04-25T00:00:00"/>
        <d v="2018-02-23T00:00:00"/>
        <d v="2018-04-30T00:00:00"/>
        <d v="2018-03-14T00:00:00"/>
        <d v="2018-03-15T00:00:00"/>
        <d v="2018-04-03T00:00:00"/>
        <d v="2018-03-04T00:00:00"/>
        <d v="2017-08-12T00:00:00"/>
        <d v="2018-04-13T00:00:00"/>
        <d v="2018-02-28T00:00:00"/>
        <d v="2017-12-08T00:00:00"/>
        <d v="2017-11-15T00:00:00"/>
        <d v="2018-04-08T00:00:00"/>
        <d v="2018-02-24T00:00:00"/>
        <d v="2017-11-09T00:00:00"/>
        <d v="2018-05-20T00:00:00"/>
        <d v="2018-03-21T00:00:00"/>
        <d v="2017-09-17T00:00:00"/>
        <d v="2018-03-13T00:00:00"/>
        <d v="2018-03-03T00:00:00"/>
        <d v="2018-01-09T00:00:00"/>
        <d v="2018-04-15T00:00:00"/>
        <d v="2018-03-22T00:00:00"/>
        <d v="2018-02-10T00:00:00"/>
        <d v="2018-05-08T00:00:00"/>
        <d v="2018-02-15T00:00:00"/>
        <d v="2018-01-21T00:00:00"/>
        <d v="2018-04-14T00:00:00"/>
        <d v="2018-05-18T00:00:00"/>
        <d v="2018-03-17T00:00:00"/>
        <d v="2018-04-10T00:00:00"/>
        <d v="2018-05-01T00:00:00"/>
        <d v="2018-03-08T00:00:00"/>
        <d v="2018-05-17T00:00:00"/>
        <d v="2018-02-26T00:00:00"/>
        <d v="2018-04-23T00:00:00"/>
        <d v="2018-04-18T00:00:00"/>
        <d v="2018-02-02T00:00:00"/>
        <d v="2018-03-19T00:00:00"/>
        <d v="2018-06-03T00:00:00"/>
        <d v="2018-03-24T00:00:00"/>
        <d v="2018-05-16T00:00:00"/>
        <d v="2018-02-07T00:00:00"/>
        <d v="2018-06-05T00:00:00"/>
        <d v="2018-03-11T00:00:00"/>
        <d v="2018-05-12T00:00:00"/>
        <d v="2018-04-16T00:00:00"/>
        <d v="2018-06-14T00:00:00"/>
        <d v="2018-03-16T00:00:00"/>
        <d v="2018-04-04T00:00:00"/>
        <d v="2018-05-25T00:00:00"/>
        <d v="2018-05-27T00:00:00"/>
        <d v="2017-11-24T00:00:00"/>
        <d v="2018-01-24T00:00:00"/>
        <d v="2018-05-28T00:00:00"/>
        <d v="2018-06-06T00:00:00"/>
        <d v="2018-06-07T00:00:00"/>
        <d v="2018-05-03T00:00:00"/>
        <d v="2018-05-14T00:00:00"/>
        <d v="2018-03-12T00:00:00"/>
        <d v="2018-07-02T00:00:00"/>
        <d v="2018-06-23T00:00:00"/>
        <d v="2018-01-27T00:00:00"/>
        <d v="2018-04-28T00:00:00"/>
        <d v="2018-07-07T00:00:00"/>
        <d v="2018-06-13T00:00:00"/>
        <d v="2018-05-02T00:00:00"/>
        <d v="2018-07-10T00:00:00"/>
        <d v="2018-05-29T00:00:00"/>
        <d v="2018-06-02T00:00:00"/>
        <d v="2018-06-27T00:00:00"/>
        <d v="2018-02-18T00:00:00"/>
        <d v="2018-07-09T00:00:00"/>
        <d v="2018-04-05T00:00:00"/>
        <d v="2018-02-19T00:00:00"/>
        <d v="2018-07-04T00:00:00"/>
        <d v="2018-01-07T00:00:00"/>
        <d v="2018-05-15T00:00:00"/>
        <d v="2018-02-16T00:00:00"/>
        <d v="2017-12-29T00:00:00"/>
        <d v="2018-06-10T00:00:00"/>
        <d v="2018-07-24T00:00:00"/>
        <d v="2018-04-11T00:00:00"/>
        <d v="2018-07-23T00:00:00"/>
        <d v="2018-04-29T00:00:00"/>
        <d v="2018-05-06T00:00:00"/>
        <d v="2018-07-28T00:00:00"/>
        <d v="2018-07-22T00:00:00"/>
        <d v="2018-08-03T00:00:00"/>
        <d v="2018-01-04T00:00:00"/>
        <d v="2018-03-29T00:00:00"/>
        <d v="2018-04-26T00:00:00"/>
        <d v="2018-08-05T00:00:00"/>
        <d v="2018-06-04T00:00:00"/>
        <d v="2018-06-29T00:00:00"/>
        <d v="2017-11-21T00:00:00"/>
        <d v="2018-03-01T00:00:00"/>
        <d v="2018-05-22T00:00:00"/>
        <d v="2018-08-04T00:00:00"/>
        <d v="2018-02-22T00:00:00"/>
        <d v="2018-06-01T00:00:00"/>
        <d v="2017-12-13T00:00:00"/>
        <d v="2018-06-15T00:00:00"/>
        <d v="2018-08-08T00:00:00"/>
        <d v="2018-01-08T00:00:00"/>
        <d v="2018-04-01T00:00:00"/>
        <d v="2018-02-03T00:00:00"/>
        <d v="2018-07-27T00:00:00"/>
        <d v="2018-07-15T00:00:00"/>
        <d v="2018-04-22T00:00:00"/>
        <d v="2018-05-23T00:00:00"/>
        <d v="2018-06-12T00:00:00"/>
        <d v="2018-08-29T00:00:00"/>
        <d v="2018-07-03T00:00:00"/>
        <d v="2018-04-06T00:00:00"/>
        <d v="2018-03-18T00:00:00"/>
        <d v="2018-05-07T00:00:00"/>
        <d v="2018-08-28T00:00:00"/>
        <d v="2018-05-05T00:00:00"/>
        <d v="2018-09-04T00:00:00"/>
        <d v="2018-01-30T00:00:00"/>
        <d v="2018-08-14T00:00:00"/>
        <d v="2018-01-17T00:00:00"/>
        <d v="2018-07-11T00:00:00"/>
        <d v="2018-09-03T00:00:00"/>
        <d v="2018-05-31T00:00:00"/>
        <d v="2018-09-02T00:00:00"/>
        <d v="2018-04-27T00:00:00"/>
        <d v="2018-08-06T00:00:00"/>
        <d v="2018-03-02T00:00:00"/>
        <d v="2018-05-19T00:00:00"/>
        <d v="2018-04-20T00:00:00"/>
        <d v="2018-07-19T00:00:00"/>
        <d v="2018-07-21T00:00:00"/>
        <d v="2018-09-13T00:00:00"/>
        <d v="2018-09-20T00:00:00"/>
        <d v="2018-09-27T00:00:00"/>
        <d v="2018-08-15T00:00:00"/>
        <d v="2018-08-10T00:00:00"/>
        <d v="2018-08-16T00:00:00"/>
        <d v="2018-08-01T00:00:00"/>
        <d v="2018-07-08T00:00:00"/>
        <d v="2018-06-09T00:00:00"/>
        <d v="2018-07-26T00:00:00"/>
        <d v="2018-09-28T00:00:00"/>
        <d v="2018-07-14T00:00:00"/>
        <d v="2018-01-05T00:00:00"/>
        <d v="2018-08-11T00:00:00"/>
        <d v="2018-05-24T00:00:00"/>
        <d v="2018-10-02T00:00:00"/>
        <d v="2018-10-06T00:00:00"/>
        <d v="2018-06-18T00:00:00"/>
        <d v="2018-08-02T00:00:00"/>
        <d v="2018-07-29T00:00:00"/>
        <d v="2018-06-19T00:00:00"/>
        <d v="2018-09-10T00:00:00"/>
        <d v="2018-01-23T00:00:00"/>
        <d v="2018-09-01T00:00:00"/>
        <d v="2018-06-08T00:00:00"/>
        <d v="2018-02-21T00:00:00"/>
        <d v="2018-09-12T00:00:00"/>
        <d v="2018-09-29T00:00:00"/>
        <d v="2018-06-20T00:00:00"/>
        <d v="2018-06-21T00:00:00"/>
        <d v="2018-03-27T00:00:00"/>
        <d v="2018-08-27T00:00:00"/>
        <d v="2018-03-06T00:00:00"/>
        <d v="2018-05-30T00:00:00"/>
        <d v="2018-08-26T00:00:00"/>
        <d v="2018-06-28T00:00:00"/>
        <d v="2018-09-05T00:00:00"/>
        <d v="2018-10-15T00:00:00"/>
        <d v="2018-09-07T00:00:00"/>
        <d v="2018-10-28T00:00:00"/>
        <d v="2018-08-19T00:00:00"/>
        <d v="2018-10-18T00:00:00"/>
        <d v="2018-10-10T00:00:00"/>
        <d v="2018-10-25T00:00:00"/>
        <d v="2018-10-29T00:00:00"/>
        <d v="2018-08-18T00:00:00"/>
        <d v="2018-05-13T00:00:00"/>
        <d v="2018-09-18T00:00:00"/>
        <d v="2018-03-05T00:00:00"/>
        <d v="2018-05-04T00:00:00"/>
        <d v="2018-05-21T00:00:00"/>
        <d v="2018-10-01T00:00:00"/>
        <d v="2018-11-05T00:00:00"/>
        <d v="2018-05-26T00:00:00"/>
        <d v="2018-11-01T00:00:00"/>
        <d v="2018-10-16T00:00:00"/>
        <d v="2018-08-17T00:00:00"/>
        <d v="2018-10-21T00:00:00"/>
        <d v="2018-10-24T00:00:00"/>
        <d v="2018-03-09T00:00:00"/>
        <d v="2018-10-19T00:00:00"/>
        <d v="2018-11-23T00:00:00"/>
        <d v="2018-09-14T00:00:00"/>
        <d v="2018-11-13T00:00:00"/>
        <d v="2018-09-23T00:00:00"/>
        <d v="2018-09-17T00:00:00"/>
        <d v="2018-05-10T00:00:00"/>
        <d v="2018-06-17T00:00:00"/>
        <d v="2018-08-12T00:00:00"/>
        <d v="2018-03-31T00:00:00"/>
        <d v="2018-09-26T00:00:00"/>
        <d v="2018-11-09T00:00:00"/>
        <d v="2018-08-22T00:00:00"/>
        <d v="2018-10-04T00:00:00"/>
        <d v="2018-11-10T00:00:00"/>
        <d v="2018-11-21T00:00:00"/>
        <d v="2018-11-06T00:00:00"/>
        <d v="2018-10-05T00:00:00"/>
        <d v="2018-06-25T00:00:00"/>
        <d v="2018-11-26T00:00:00"/>
        <d v="2018-12-15T00:00:00"/>
        <d v="2018-07-06T00:00:00"/>
        <d v="2018-12-18T00:00:00"/>
        <d v="2018-12-03T00:00:00"/>
        <d v="2018-06-26T00:00:00"/>
        <d v="2018-11-11T00:00:00"/>
        <d v="2018-12-11T00:00:00"/>
        <d v="2018-10-13T00:00:00"/>
        <d v="2018-10-03T00:00:00"/>
        <d v="2018-04-02T00:00:00"/>
        <d v="2018-07-01T00:00:00"/>
        <d v="2018-12-05T00:00:00"/>
        <d v="2018-09-25T00:00:00"/>
        <d v="2018-12-23T00:00:00"/>
        <d v="2018-12-12T00:00:00"/>
        <d v="2018-10-20T00:00:00"/>
        <d v="2018-12-07T00:00:00"/>
        <d v="2018-10-22T00:00:00"/>
        <d v="2018-09-08T00:00:00"/>
        <d v="2018-07-13T00:00:00"/>
        <d v="2018-12-28T00:00:00"/>
        <d v="2018-12-17T00:00:00"/>
        <d v="2018-12-26T00:00:00"/>
        <d v="2018-11-03T00:00:00"/>
        <d v="2018-06-24T00:00:00"/>
        <d v="2018-07-12T00:00:00"/>
        <d v="2018-07-16T00:00:00"/>
        <d v="2018-09-11T00:00:00"/>
        <d v="2018-09-19T00:00:00"/>
        <d v="2018-10-14T00:00:00"/>
        <d v="2018-10-07T00:00:00"/>
        <d v="2019-01-05T00:00:00"/>
        <d v="2018-11-30T00:00:00"/>
        <d v="2018-08-21T00:00:00"/>
        <d v="2018-12-25T00:00:00"/>
        <d v="2018-12-19T00:00:00"/>
        <d v="2018-10-17T00:00:00"/>
        <d v="2018-11-16T00:00:00"/>
        <d v="2018-11-22T00:00:00"/>
        <d v="2018-11-07T00:00:00"/>
        <d v="2018-12-16T00:00:00"/>
        <d v="2018-06-16T00:00:00"/>
        <d v="2018-07-20T00:00:00"/>
        <d v="2018-10-30T00:00:00"/>
        <d v="2018-08-31T00:00:00"/>
        <d v="2019-01-10T00:00:00"/>
        <d v="2018-12-22T00:00:00"/>
        <d v="2019-01-24T00:00:00"/>
        <d v="2018-12-14T00:00:00"/>
        <d v="2019-01-08T00:00:00"/>
        <d v="2018-08-09T00:00:00"/>
        <d v="2018-08-23T00:00:00"/>
        <d v="2018-10-12T00:00:00"/>
        <d v="2018-09-24T00:00:00"/>
        <d v="2019-01-17T00:00:00"/>
        <d v="2019-01-30T00:00:00"/>
        <d v="2018-08-30T00:00:00"/>
        <d v="2018-06-11T00:00:00"/>
        <d v="2018-12-27T00:00:00"/>
        <d v="2018-12-24T00:00:00"/>
        <d v="2018-12-06T00:00:00"/>
        <d v="2019-02-05T00:00:00"/>
        <d v="2018-07-18T00:00:00"/>
        <d v="2018-10-08T00:00:00"/>
        <d v="2019-01-18T00:00:00"/>
        <d v="2019-02-01T00:00:00"/>
        <d v="2018-11-20T00:00:00"/>
        <d v="2018-07-05T00:00:00"/>
        <d v="2018-06-30T00:00:00"/>
        <d v="2019-02-02T00:00:00"/>
        <d v="2018-10-27T00:00:00"/>
        <d v="2019-01-12T00:00:00"/>
        <d v="2018-12-08T00:00:00"/>
        <d v="2019-01-23T00:00:00"/>
        <d v="2019-02-03T00:00:00"/>
        <d v="2018-07-17T00:00:00"/>
        <d v="2019-02-13T00:00:00"/>
        <d v="2019-01-21T00:00:00"/>
        <d v="2019-03-02T00:00:00"/>
        <d v="2019-01-11T00:00:00"/>
        <d v="2019-01-29T00:00:00"/>
        <d v="2018-12-21T00:00:00"/>
        <d v="2019-02-14T00:00:00"/>
        <d v="2019-02-06T00:00:00"/>
        <d v="2019-02-16T00:00:00"/>
        <d v="2019-01-01T00:00:00"/>
        <d v="2019-01-26T00:00:00"/>
        <d v="2019-03-01T00:00:00"/>
        <d v="2019-02-26T00:00:00"/>
        <d v="2018-09-22T00:00:00"/>
        <d v="2019-02-22T00:00:00"/>
        <d v="2018-12-04T00:00:00"/>
        <d v="2019-01-19T00:00:00"/>
        <d v="2019-02-11T00:00:00"/>
        <d v="2019-03-07T00:00:00"/>
        <d v="2018-11-19T00:00:00"/>
        <d v="2019-03-15T00:00:00"/>
        <d v="2019-01-03T00:00:00"/>
        <d v="2019-01-14T00:00:00"/>
        <d v="2019-01-31T00:00:00"/>
        <d v="2018-06-22T00:00:00"/>
        <d v="2018-07-31T00:00:00"/>
        <d v="2019-02-09T00:00:00"/>
        <d v="2019-01-28T00:00:00"/>
        <d v="2019-02-17T00:00:00"/>
        <d v="2018-11-15T00:00:00"/>
        <d v="2019-03-13T00:00:00"/>
        <d v="2018-12-31T00:00:00"/>
        <d v="2019-03-14T00:00:00"/>
        <d v="2018-11-12T00:00:00"/>
        <d v="2018-11-08T00:00:00"/>
        <d v="2018-11-25T00:00:00"/>
        <d v="2018-11-02T00:00:00"/>
        <d v="2018-10-26T00:00:00"/>
        <d v="2019-03-31T00:00:00"/>
        <d v="2018-09-15T00:00:00"/>
        <d v="2019-01-07T00:00:00"/>
        <d v="2019-03-03T00:00:00"/>
        <d v="2019-01-27T00:00:00"/>
        <d v="2019-03-12T00:00:00"/>
        <d v="2019-03-28T00:00:00"/>
        <d v="2019-03-05T00:00:00"/>
        <d v="2019-01-04T00:00:00"/>
        <d v="2019-03-23T00:00:00"/>
        <d v="2019-01-09T00:00:00"/>
        <d v="2019-03-20T00:00:00"/>
        <d v="2019-03-27T00:00:00"/>
        <d v="2018-12-09T00:00:00"/>
        <d v="2019-04-13T00:00:00"/>
        <d v="2019-01-06T00:00:00"/>
        <d v="2018-10-31T00:00:00"/>
        <d v="2019-04-02T00:00:00"/>
        <d v="2019-04-14T00:00:00"/>
        <d v="2019-02-12T00:00:00"/>
        <d v="2018-11-18T00:00:00"/>
        <d v="2019-02-15T00:00:00"/>
        <d v="2019-04-30T00:00:00"/>
        <d v="2019-05-01T00:00:00"/>
        <d v="2019-04-18T00:00:00"/>
        <d v="2019-01-16T00:00:00"/>
        <d v="2019-02-23T00:00:00"/>
        <d v="2019-02-27T00:00:00"/>
        <d v="2019-03-08T00:00:00"/>
        <d v="2019-05-07T00:00:00"/>
        <d v="2019-04-07T00:00:00"/>
        <d v="2019-03-04T00:00:00"/>
        <d v="2018-12-29T00:00:00"/>
        <d v="2019-03-22T00:00:00"/>
        <d v="2018-11-17T00:00:00"/>
        <d v="2019-03-26T00:00:00"/>
        <d v="2019-03-24T00:00:00"/>
        <d v="2019-01-15T00:00:00"/>
        <d v="2019-02-04T00:00:00"/>
        <d v="2018-12-10T00:00:00"/>
        <d v="2019-01-25T00:00:00"/>
        <d v="2019-04-04T00:00:00"/>
        <d v="2019-01-22T00:00:00"/>
        <d v="2019-03-16T00:00:00"/>
        <d v="2019-03-29T00:00:00"/>
        <d v="2019-04-29T00:00:00"/>
        <d v="2019-01-13T00:00:00"/>
        <d v="2019-02-08T00:00:00"/>
        <d v="2019-04-25T00:00:00"/>
        <d v="2019-04-12T00:00:00"/>
        <d v="2018-09-30T00:00:00"/>
        <d v="2019-05-06T00:00:00"/>
        <d v="2019-04-17T00:00:00"/>
        <d v="2019-02-10T00:00:00"/>
        <d v="2018-10-09T00:00:00"/>
        <d v="2019-04-23T00:00:00"/>
        <d v="2018-10-11T00:00:00"/>
        <d v="2019-04-21T00:00:00"/>
        <d v="2019-03-10T00:00:00"/>
        <d v="2019-04-19T00:00:00"/>
        <d v="2019-02-18T00:00:00"/>
        <d v="2018-11-28T00:00:00"/>
        <d v="2019-04-10T00:00:00"/>
        <d v="2019-04-28T00:00:00"/>
        <d v="2019-02-07T00:00:00"/>
        <d v="2019-03-25T00:00:00"/>
        <d v="2019-04-24T00:00:00"/>
        <d v="2018-11-24T00:00:00"/>
        <d v="2019-03-09T00:00:00"/>
        <d v="2019-04-01T00:00:00"/>
        <d v="2019-02-21T00:00:00"/>
        <d v="2019-03-11T00:00:00"/>
        <d v="2019-03-18T00:00:00"/>
        <d v="2019-02-24T00:00:00"/>
        <d v="2018-10-23T00:00:00"/>
        <d v="2019-03-17T00:00:00"/>
        <d v="2019-02-25T00:00:00"/>
        <d v="2019-04-06T00:00:00"/>
        <d v="2019-01-02T00:00:00"/>
        <d v="2018-12-30T00:00:00"/>
        <d v="2018-11-27T00:00:00"/>
        <d v="2019-03-21T00:00:00"/>
        <d v="2019-04-16T00:00:00"/>
        <d v="2018-12-01T00:00:00"/>
        <d v="2019-03-06T00:00:00"/>
        <d v="2019-02-20T00:00:00"/>
        <d v="2019-04-27T00:00:00"/>
        <d v="2019-01-20T00:00:00"/>
        <d v="2019-05-03T00:00:00"/>
        <d v="2019-02-28T00:00:00"/>
        <d v="2019-02-19T00:00:00"/>
        <d v="2019-04-20T00:00:00"/>
        <d v="2018-12-20T00:00:00"/>
        <d v="2019-04-09T00:00:00"/>
        <d v="2019-05-02T00:00:00"/>
        <d v="2019-03-30T00:00:00"/>
        <d v="2019-05-04T00:00:00"/>
        <d v="2019-04-26T00:00:00"/>
        <d v="2019-05-05T00:00:00"/>
        <d v="2019-04-03T00:00:00"/>
        <d v="2019-04-22T00:00:00"/>
        <d v="2019-04-08T00:00:00"/>
        <d v="2019-04-15T00:00:00"/>
      </sharedItems>
      <fieldGroup par="15"/>
    </cacheField>
    <cacheField name="Provincia" numFmtId="0">
      <sharedItems count="4">
        <s v="Málaga"/>
        <s v="Córdoba"/>
        <s v="Sevilla"/>
        <s v="Cádiz"/>
      </sharedItems>
    </cacheField>
    <cacheField name="Tipo de Inmueble" numFmtId="0">
      <sharedItems/>
    </cacheField>
    <cacheField name="Superficie (m²)" numFmtId="1">
      <sharedItems containsSemiMixedTypes="0" containsString="0" containsNumber="1" containsInteger="1" minValue="33" maxValue="297"/>
    </cacheField>
    <cacheField name="Operación" numFmtId="0">
      <sharedItems/>
    </cacheField>
    <cacheField name="Costos Operativos" numFmtId="165">
      <sharedItems containsSemiMixedTypes="0" containsString="0" containsNumber="1" minValue="5549.8" maxValue="116495"/>
    </cacheField>
    <cacheField name="Monto Total Operación" numFmtId="165">
      <sharedItems containsSemiMixedTypes="0" containsString="0" containsNumber="1" containsInteger="1" minValue="200405" maxValue="2973785"/>
    </cacheField>
    <cacheField name="Beneficio Propietario" numFmtId="165">
      <sharedItems containsSemiMixedTypes="0" containsString="0" containsNumber="1" minValue="160324" maxValue="2379028"/>
    </cacheField>
    <cacheField name="Ganancia" numFmtId="165">
      <sharedItems containsSemiMixedTypes="0" containsString="0" containsNumber="1" minValue="34531.199999999997" maxValue="478262"/>
    </cacheField>
    <cacheField name="Vendedor" numFmtId="0">
      <sharedItems/>
    </cacheField>
    <cacheField name="Calificación Operación" numFmtId="0">
      <sharedItems containsSemiMixedTypes="0" containsString="0" containsNumber="1" minValue="1" maxValue="5"/>
    </cacheField>
    <cacheField name="Meses (Fecha Operación)" numFmtId="0" databaseField="0">
      <fieldGroup base="2">
        <rangePr groupBy="months" startDate="2016-04-05T00:00:00" endDate="2019-05-08T00:00:00"/>
        <groupItems count="14">
          <s v="&lt;5/04/2016"/>
          <s v="Ene"/>
          <s v="Feb"/>
          <s v="Mar"/>
          <s v="Abr"/>
          <s v="May"/>
          <s v="Jun"/>
          <s v="Jul"/>
          <s v="Ago"/>
          <s v="Set"/>
          <s v="Oct"/>
          <s v="Nov"/>
          <s v="Dic"/>
          <s v="&gt;8/05/2019"/>
        </groupItems>
      </fieldGroup>
    </cacheField>
    <cacheField name="Trimestres (Fecha Operación)" numFmtId="0" databaseField="0">
      <fieldGroup base="2">
        <rangePr groupBy="quarters" startDate="2016-04-05T00:00:00" endDate="2019-05-08T00:00:00"/>
        <groupItems count="6">
          <s v="&lt;5/04/2016"/>
          <s v="Trim.1"/>
          <s v="Trim.2"/>
          <s v="Trim.3"/>
          <s v="Trim.4"/>
          <s v="&gt;8/05/2019"/>
        </groupItems>
      </fieldGroup>
    </cacheField>
    <cacheField name="Años (Fecha Operación)" numFmtId="0" databaseField="0">
      <fieldGroup base="2">
        <rangePr groupBy="years" startDate="2016-04-05T00:00:00" endDate="2019-05-08T00:00:00"/>
        <groupItems count="6">
          <s v="&lt;5/04/2016"/>
          <s v="2016"/>
          <s v="2017"/>
          <s v="2018"/>
          <s v="2019"/>
          <s v="&gt;8/05/2019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759">
  <r>
    <n v="1"/>
    <d v="2016-01-01T00:00:00"/>
    <x v="0"/>
    <x v="0"/>
    <s v="Depósito"/>
    <n v="285"/>
    <s v="Venta"/>
    <n v="84689.12"/>
    <n v="2170388"/>
    <n v="1736310.4"/>
    <n v="349388.4800000001"/>
    <s v="Romina"/>
    <n v="4.5999999999999996"/>
  </r>
  <r>
    <n v="2"/>
    <d v="2016-01-01T00:00:00"/>
    <x v="1"/>
    <x v="1"/>
    <s v="Departamento"/>
    <n v="194"/>
    <s v="Venta"/>
    <n v="77155.960000000006"/>
    <n v="1981909"/>
    <n v="1585527.2"/>
    <n v="319225.84000000003"/>
    <s v="Arturo"/>
    <n v="4.9000000000000004"/>
  </r>
  <r>
    <n v="3"/>
    <d v="2016-01-01T00:00:00"/>
    <x v="2"/>
    <x v="1"/>
    <s v="Local Comercial"/>
    <n v="76"/>
    <s v="Alquiler"/>
    <n v="27367.64"/>
    <n v="748901"/>
    <n v="599120.80000000005"/>
    <n v="122412.55999999995"/>
    <s v="Carlos"/>
    <n v="4.9000000000000004"/>
  </r>
  <r>
    <n v="4"/>
    <d v="2016-01-02T00:00:00"/>
    <x v="3"/>
    <x v="0"/>
    <s v="Terreno"/>
    <n v="280"/>
    <s v="Venta"/>
    <n v="71530"/>
    <n v="1851935"/>
    <n v="1481548"/>
    <n v="298857"/>
    <s v="Iván"/>
    <n v="4.7"/>
  </r>
  <r>
    <n v="5"/>
    <d v="2016-01-02T00:00:00"/>
    <x v="4"/>
    <x v="2"/>
    <s v="Departamento"/>
    <n v="148"/>
    <s v="Venta"/>
    <n v="44516.959999999999"/>
    <n v="1174509"/>
    <n v="939607.2"/>
    <n v="190384.84000000005"/>
    <s v="Ángeles"/>
    <n v="4.5"/>
  </r>
  <r>
    <n v="6"/>
    <d v="2016-01-03T00:00:00"/>
    <x v="5"/>
    <x v="3"/>
    <s v="Local Comercial"/>
    <n v="124"/>
    <s v="Venta"/>
    <n v="37090.239999999998"/>
    <n v="989641"/>
    <n v="791712.8"/>
    <n v="160837.95999999996"/>
    <s v="Arturo"/>
    <n v="4.3"/>
  </r>
  <r>
    <n v="7"/>
    <d v="2016-01-03T00:00:00"/>
    <x v="6"/>
    <x v="1"/>
    <s v="Oficinas"/>
    <n v="64"/>
    <s v="Alquiler"/>
    <n v="15565.44"/>
    <n v="443171"/>
    <n v="354536.8"/>
    <n v="73068.760000000009"/>
    <s v="Arturo"/>
    <n v="3.6"/>
  </r>
  <r>
    <n v="8"/>
    <d v="2016-01-03T00:00:00"/>
    <x v="7"/>
    <x v="0"/>
    <s v="Departamento"/>
    <n v="231"/>
    <s v="Venta"/>
    <n v="85596"/>
    <n v="2194960"/>
    <n v="1755968"/>
    <n v="353396"/>
    <s v="Iván"/>
    <n v="4.9000000000000004"/>
  </r>
  <r>
    <n v="9"/>
    <d v="2016-01-04T00:00:00"/>
    <x v="8"/>
    <x v="2"/>
    <s v="Terreno"/>
    <n v="102"/>
    <s v="Venta"/>
    <n v="40358.199999999997"/>
    <n v="1060865"/>
    <n v="848692"/>
    <n v="171814.8"/>
    <s v="Iván"/>
    <n v="4.5"/>
  </r>
  <r>
    <n v="10"/>
    <d v="2016-01-04T00:00:00"/>
    <x v="9"/>
    <x v="3"/>
    <s v="Departamento"/>
    <n v="293"/>
    <s v="Venta"/>
    <n v="80843.72"/>
    <n v="2079253"/>
    <n v="1663402.4"/>
    <n v="335006.88000000012"/>
    <s v="Carlos"/>
    <n v="4.5"/>
  </r>
  <r>
    <n v="11"/>
    <d v="2016-01-04T00:00:00"/>
    <x v="10"/>
    <x v="1"/>
    <s v="Terreno"/>
    <n v="117"/>
    <s v="Alquiler"/>
    <n v="23982.720000000001"/>
    <n v="663553"/>
    <n v="530842.4"/>
    <n v="108727.87999999998"/>
    <s v="Arturo"/>
    <n v="5"/>
  </r>
  <r>
    <n v="12"/>
    <d v="2016-01-04T00:00:00"/>
    <x v="11"/>
    <x v="2"/>
    <s v="Local Comercial"/>
    <n v="182"/>
    <s v="Venta"/>
    <n v="39357.120000000003"/>
    <n v="1035813"/>
    <n v="828650.4"/>
    <n v="167805.47999999998"/>
    <s v="Romina"/>
    <n v="4.9000000000000004"/>
  </r>
  <r>
    <n v="13"/>
    <d v="2016-01-04T00:00:00"/>
    <x v="12"/>
    <x v="2"/>
    <s v="Departamento"/>
    <n v="293"/>
    <s v="Venta"/>
    <n v="116495"/>
    <n v="2973785"/>
    <n v="2379028"/>
    <n v="478262"/>
    <s v="Iván"/>
    <n v="4.0999999999999996"/>
  </r>
  <r>
    <n v="14"/>
    <d v="2016-01-04T00:00:00"/>
    <x v="13"/>
    <x v="3"/>
    <s v="Oficinas"/>
    <n v="61"/>
    <s v="Alquiler"/>
    <n v="25992"/>
    <n v="701185"/>
    <n v="560948"/>
    <n v="114245"/>
    <s v="Romina"/>
    <n v="3.7"/>
  </r>
  <r>
    <n v="15"/>
    <d v="2016-01-04T00:00:00"/>
    <x v="14"/>
    <x v="2"/>
    <s v="Local Comercial"/>
    <n v="172"/>
    <s v="Venta"/>
    <n v="31930.44"/>
    <n v="856821"/>
    <n v="685456.8"/>
    <n v="139433.75999999995"/>
    <s v="Arturo"/>
    <n v="4.0999999999999996"/>
  </r>
  <r>
    <n v="16"/>
    <d v="2016-01-05T00:00:00"/>
    <x v="15"/>
    <x v="1"/>
    <s v="Oficinas"/>
    <n v="172"/>
    <s v="Venta"/>
    <n v="36282.400000000001"/>
    <n v="974445"/>
    <n v="779556"/>
    <n v="158606.6"/>
    <s v="Romina"/>
    <n v="3.7"/>
  </r>
  <r>
    <n v="17"/>
    <d v="2016-01-05T00:00:00"/>
    <x v="16"/>
    <x v="1"/>
    <s v="Local Comercial"/>
    <n v="53"/>
    <s v="Alquiler"/>
    <n v="13357.84"/>
    <n v="395331"/>
    <n v="316264.8"/>
    <n v="65708.360000000015"/>
    <s v="Sabrina"/>
    <n v="4"/>
  </r>
  <r>
    <n v="18"/>
    <d v="2016-01-06T00:00:00"/>
    <x v="17"/>
    <x v="3"/>
    <s v="Casa"/>
    <n v="279"/>
    <s v="Venta"/>
    <n v="66426.2"/>
    <n v="1716090"/>
    <n v="1372872"/>
    <n v="276791.8"/>
    <s v="Romina"/>
    <n v="3.9"/>
  </r>
  <r>
    <n v="19"/>
    <d v="2016-01-07T00:00:00"/>
    <x v="18"/>
    <x v="1"/>
    <s v="Oficinas"/>
    <n v="52"/>
    <s v="Alquiler"/>
    <n v="17757.599999999999"/>
    <n v="509100"/>
    <n v="407280"/>
    <n v="84062.399999999994"/>
    <s v="Sabrina"/>
    <n v="3.7"/>
  </r>
  <r>
    <n v="20"/>
    <d v="2016-01-08T00:00:00"/>
    <x v="19"/>
    <x v="2"/>
    <s v="Depósito"/>
    <n v="145"/>
    <s v="Venta"/>
    <n v="45941.84"/>
    <n v="1205981"/>
    <n v="964784.8"/>
    <n v="195254.35999999996"/>
    <s v="Ángeles"/>
    <n v="4"/>
  </r>
  <r>
    <n v="21"/>
    <d v="2016-01-09T00:00:00"/>
    <x v="20"/>
    <x v="3"/>
    <s v="Depósito"/>
    <n v="221"/>
    <s v="Venta"/>
    <n v="80070.679999999993"/>
    <n v="2057477"/>
    <n v="1645981.6"/>
    <n v="331424.71999999991"/>
    <s v="Romina"/>
    <n v="4.4000000000000004"/>
  </r>
  <r>
    <n v="22"/>
    <d v="2016-01-09T00:00:00"/>
    <x v="21"/>
    <x v="1"/>
    <s v="Estacionamiento"/>
    <n v="113"/>
    <s v="Alquiler"/>
    <n v="27877.08"/>
    <n v="764037"/>
    <n v="611229.6"/>
    <n v="124930.32000000002"/>
    <s v="Arturo"/>
    <n v="4.4000000000000004"/>
  </r>
  <r>
    <n v="23"/>
    <d v="2016-01-10T00:00:00"/>
    <x v="22"/>
    <x v="1"/>
    <s v="Local Comercial"/>
    <n v="180"/>
    <s v="Venta"/>
    <n v="56584.160000000003"/>
    <n v="1475414"/>
    <n v="1180331.2"/>
    <n v="238498.64000000004"/>
    <s v="Sabrina"/>
    <n v="4.7"/>
  </r>
  <r>
    <n v="24"/>
    <d v="2016-01-10T00:00:00"/>
    <x v="23"/>
    <x v="2"/>
    <s v="Departamento"/>
    <n v="73"/>
    <s v="Alquiler"/>
    <n v="16283.6"/>
    <n v="463875"/>
    <n v="371100"/>
    <n v="76491.399999999994"/>
    <s v="Carlos"/>
    <n v="4"/>
  </r>
  <r>
    <n v="25"/>
    <d v="2016-01-10T00:00:00"/>
    <x v="24"/>
    <x v="1"/>
    <s v="Depósito"/>
    <n v="118"/>
    <s v="Venta"/>
    <n v="45976.36"/>
    <n v="1207169"/>
    <n v="965735.2"/>
    <n v="195457.44000000006"/>
    <s v="Iván"/>
    <n v="4.7"/>
  </r>
  <r>
    <n v="26"/>
    <d v="2016-01-10T00:00:00"/>
    <x v="25"/>
    <x v="2"/>
    <s v="Terreno"/>
    <n v="65"/>
    <s v="Alquiler"/>
    <n v="20899.2"/>
    <n v="586265"/>
    <n v="469012"/>
    <n v="96353.8"/>
    <s v="Iván"/>
    <n v="4.9000000000000004"/>
  </r>
  <r>
    <n v="27"/>
    <d v="2016-01-11T00:00:00"/>
    <x v="26"/>
    <x v="2"/>
    <s v="Depósito"/>
    <n v="65"/>
    <s v="Alquiler"/>
    <n v="25465.200000000001"/>
    <n v="695815"/>
    <n v="556652"/>
    <n v="113697.8"/>
    <s v="Arturo"/>
    <n v="4.3"/>
  </r>
  <r>
    <n v="28"/>
    <d v="2016-01-12T00:00:00"/>
    <x v="27"/>
    <x v="2"/>
    <s v="Terreno"/>
    <n v="182"/>
    <s v="Venta"/>
    <n v="65473.4"/>
    <n v="1697045"/>
    <n v="1357636"/>
    <n v="273935.59999999998"/>
    <s v="Carlos"/>
    <n v="4.5"/>
  </r>
  <r>
    <n v="29"/>
    <d v="2016-01-12T00:00:00"/>
    <x v="28"/>
    <x v="0"/>
    <s v="Casa"/>
    <n v="86"/>
    <s v="Alquiler"/>
    <n v="29011.84"/>
    <n v="790056"/>
    <n v="632044.80000000005"/>
    <n v="128999.35999999996"/>
    <s v="Sabrina"/>
    <n v="4.5999999999999996"/>
  </r>
  <r>
    <n v="30"/>
    <d v="2016-01-12T00:00:00"/>
    <x v="29"/>
    <x v="2"/>
    <s v="Estacionamiento"/>
    <n v="196"/>
    <s v="Venta"/>
    <n v="36883.879999999997"/>
    <n v="975557"/>
    <n v="780445.6"/>
    <n v="158227.52000000002"/>
    <s v="Romina"/>
    <n v="4.9000000000000004"/>
  </r>
  <r>
    <n v="31"/>
    <d v="2016-01-13T00:00:00"/>
    <x v="30"/>
    <x v="2"/>
    <s v="Terreno"/>
    <n v="138"/>
    <s v="Venta"/>
    <n v="55199.96"/>
    <n v="1441859"/>
    <n v="1153487.2"/>
    <n v="233171.84000000005"/>
    <s v="Iván"/>
    <n v="4.5"/>
  </r>
  <r>
    <n v="32"/>
    <d v="2016-01-13T00:00:00"/>
    <x v="31"/>
    <x v="1"/>
    <s v="Departamento"/>
    <n v="87"/>
    <s v="Alquiler"/>
    <n v="23922.92"/>
    <n v="663833"/>
    <n v="531066.4"/>
    <n v="108843.67999999998"/>
    <s v="Ángeles"/>
    <n v="4.4000000000000004"/>
  </r>
  <r>
    <n v="33"/>
    <d v="2016-01-15T00:00:00"/>
    <x v="32"/>
    <x v="1"/>
    <s v="Departamento"/>
    <n v="178"/>
    <s v="Venta"/>
    <n v="59444.4"/>
    <n v="1540595"/>
    <n v="1232476"/>
    <n v="248674.6"/>
    <s v="Ángeles"/>
    <n v="3.7"/>
  </r>
  <r>
    <n v="34"/>
    <d v="2016-01-15T00:00:00"/>
    <x v="33"/>
    <x v="3"/>
    <s v="Departamento"/>
    <n v="276"/>
    <s v="Venta"/>
    <n v="98320.88"/>
    <n v="2519682"/>
    <n v="2015745.6"/>
    <n v="405615.5199999999"/>
    <s v="Ángeles"/>
    <n v="4.8"/>
  </r>
  <r>
    <n v="35"/>
    <d v="2016-01-15T00:00:00"/>
    <x v="34"/>
    <x v="3"/>
    <s v="Terreno"/>
    <n v="254"/>
    <s v="Venta"/>
    <n v="71120.84"/>
    <n v="1836256"/>
    <n v="1469004.8"/>
    <n v="296130.36"/>
    <s v="Sabrina"/>
    <n v="4.3"/>
  </r>
  <r>
    <n v="36"/>
    <d v="2016-01-16T00:00:00"/>
    <x v="35"/>
    <x v="2"/>
    <s v="Local Comercial"/>
    <n v="134"/>
    <s v="Venta"/>
    <n v="41183.599999999999"/>
    <n v="1090825"/>
    <n v="872660"/>
    <n v="176981.4"/>
    <s v="Sabrina"/>
    <n v="4"/>
  </r>
  <r>
    <n v="37"/>
    <d v="2016-01-16T00:00:00"/>
    <x v="36"/>
    <x v="3"/>
    <s v="Depósito"/>
    <n v="222"/>
    <s v="Venta"/>
    <n v="45395.88"/>
    <n v="1197057"/>
    <n v="957645.6"/>
    <n v="194015.52000000002"/>
    <s v="Arturo"/>
    <n v="4.7"/>
  </r>
  <r>
    <n v="38"/>
    <d v="2016-01-17T00:00:00"/>
    <x v="37"/>
    <x v="2"/>
    <s v="Oficinas"/>
    <n v="293"/>
    <s v="Venta"/>
    <n v="58986"/>
    <n v="1529285"/>
    <n v="1223428"/>
    <n v="246871"/>
    <s v="Carlos"/>
    <n v="4.8"/>
  </r>
  <r>
    <n v="39"/>
    <d v="2016-01-18T00:00:00"/>
    <x v="38"/>
    <x v="2"/>
    <s v="Terreno"/>
    <n v="211"/>
    <s v="Venta"/>
    <n v="45281.2"/>
    <n v="1191465"/>
    <n v="953172"/>
    <n v="193011.8"/>
    <s v="Carlos"/>
    <n v="4.2"/>
  </r>
  <r>
    <n v="40"/>
    <d v="2016-01-18T00:00:00"/>
    <x v="39"/>
    <x v="0"/>
    <s v="Terreno"/>
    <n v="176"/>
    <s v="Venta"/>
    <n v="41447.360000000001"/>
    <n v="1094269"/>
    <n v="875415.2"/>
    <n v="177406.44000000006"/>
    <s v="Iván"/>
    <n v="4.8"/>
  </r>
  <r>
    <n v="41"/>
    <d v="2016-01-18T00:00:00"/>
    <x v="40"/>
    <x v="1"/>
    <s v="Depósito"/>
    <n v="224"/>
    <s v="Venta"/>
    <n v="55647.4"/>
    <n v="1458345"/>
    <n v="1166676"/>
    <n v="236021.6"/>
    <s v="Iván"/>
    <n v="3.6"/>
  </r>
  <r>
    <n v="42"/>
    <d v="2016-01-19T00:00:00"/>
    <x v="41"/>
    <x v="3"/>
    <s v="Departamento"/>
    <n v="162"/>
    <s v="Venta"/>
    <n v="56193.68"/>
    <n v="1463477"/>
    <n v="1170781.6000000001"/>
    <n v="236501.71999999991"/>
    <s v="Iván"/>
    <n v="2.4"/>
  </r>
  <r>
    <n v="43"/>
    <d v="2016-01-19T00:00:00"/>
    <x v="42"/>
    <x v="2"/>
    <s v="Depósito"/>
    <n v="69"/>
    <s v="Alquiler"/>
    <n v="22336.639999999999"/>
    <n v="616201"/>
    <n v="492960.8"/>
    <n v="100903.56000000001"/>
    <s v="Ángeles"/>
    <n v="3.9"/>
  </r>
  <r>
    <n v="44"/>
    <d v="2016-01-19T00:00:00"/>
    <x v="43"/>
    <x v="2"/>
    <s v="Oficinas"/>
    <n v="274"/>
    <s v="Venta"/>
    <n v="60862.48"/>
    <n v="1573547"/>
    <n v="1258837.6000000001"/>
    <n v="253846.9199999999"/>
    <s v="Ángeles"/>
    <n v="3.9"/>
  </r>
  <r>
    <n v="45"/>
    <d v="2016-01-20T00:00:00"/>
    <x v="44"/>
    <x v="1"/>
    <s v="Local Comercial"/>
    <n v="284"/>
    <s v="Venta"/>
    <n v="113132.32"/>
    <n v="2887543"/>
    <n v="2310034.4"/>
    <n v="464376.28000000009"/>
    <s v="Carlos"/>
    <n v="3.9"/>
  </r>
  <r>
    <n v="46"/>
    <d v="2016-01-20T00:00:00"/>
    <x v="45"/>
    <x v="2"/>
    <s v="Departamento"/>
    <n v="219"/>
    <s v="Venta"/>
    <n v="50869.919999999998"/>
    <n v="1330533"/>
    <n v="1064426.3999999999"/>
    <n v="215236.68000000011"/>
    <s v="Romina"/>
    <n v="4.2"/>
  </r>
  <r>
    <n v="47"/>
    <d v="2016-01-20T00:00:00"/>
    <x v="46"/>
    <x v="0"/>
    <s v="Terreno"/>
    <n v="47"/>
    <s v="Alquiler"/>
    <n v="8993.7199999999993"/>
    <n v="285903"/>
    <n v="228722.4"/>
    <n v="48186.880000000005"/>
    <s v="Sabrina"/>
    <n v="4.5999999999999996"/>
  </r>
  <r>
    <n v="48"/>
    <d v="2016-01-20T00:00:00"/>
    <x v="47"/>
    <x v="2"/>
    <s v="Departamento"/>
    <n v="279"/>
    <s v="Venta"/>
    <n v="57506.52"/>
    <n v="1493973"/>
    <n v="1195178.3999999999"/>
    <n v="241288.0800000001"/>
    <s v="Iván"/>
    <n v="4.5999999999999996"/>
  </r>
  <r>
    <n v="49"/>
    <d v="2016-01-20T00:00:00"/>
    <x v="48"/>
    <x v="1"/>
    <s v="Terreno"/>
    <n v="36"/>
    <s v="Alquiler"/>
    <n v="11870.2"/>
    <n v="358165"/>
    <n v="286532"/>
    <n v="59762.8"/>
    <s v="Iván"/>
    <n v="4.5999999999999996"/>
  </r>
  <r>
    <n v="50"/>
    <d v="2016-01-20T00:00:00"/>
    <x v="49"/>
    <x v="0"/>
    <s v="Terreno"/>
    <n v="228"/>
    <s v="Venta"/>
    <n v="37468"/>
    <n v="994110"/>
    <n v="795288"/>
    <n v="161354"/>
    <s v="Romina"/>
    <n v="5"/>
  </r>
  <r>
    <n v="51"/>
    <d v="2016-01-20T00:00:00"/>
    <x v="50"/>
    <x v="0"/>
    <s v="Estacionamiento"/>
    <n v="84"/>
    <s v="Alquiler"/>
    <n v="21612.799999999999"/>
    <n v="605105"/>
    <n v="484084"/>
    <n v="99408.2"/>
    <s v="Carlos"/>
    <n v="4.4000000000000004"/>
  </r>
  <r>
    <n v="52"/>
    <d v="2016-01-22T00:00:00"/>
    <x v="51"/>
    <x v="3"/>
    <s v="Oficinas"/>
    <n v="200"/>
    <s v="Venta"/>
    <n v="63061.56"/>
    <n v="1642049"/>
    <n v="1313639.2"/>
    <n v="265348.24000000005"/>
    <s v="Ángeles"/>
    <n v="4.7"/>
  </r>
  <r>
    <n v="53"/>
    <d v="2016-01-22T00:00:00"/>
    <x v="52"/>
    <x v="0"/>
    <s v="Departamento"/>
    <n v="153"/>
    <s v="Venta"/>
    <n v="56501.919999999998"/>
    <n v="1475233"/>
    <n v="1180186.3999999999"/>
    <n v="238544.68000000011"/>
    <s v="Romina"/>
    <n v="4.3"/>
  </r>
  <r>
    <n v="54"/>
    <d v="2016-01-22T00:00:00"/>
    <x v="53"/>
    <x v="3"/>
    <s v="Oficinas"/>
    <n v="64"/>
    <s v="Alquiler"/>
    <n v="26463.84"/>
    <n v="723481"/>
    <n v="578784.80000000005"/>
    <n v="118232.35999999996"/>
    <s v="Sabrina"/>
    <n v="4"/>
  </r>
  <r>
    <n v="55"/>
    <d v="2016-01-22T00:00:00"/>
    <x v="36"/>
    <x v="1"/>
    <s v="Estacionamiento"/>
    <n v="120"/>
    <s v="Venta"/>
    <n v="38497.360000000001"/>
    <n v="1019719"/>
    <n v="815775.2"/>
    <n v="165446.44000000006"/>
    <s v="Romina"/>
    <n v="3.8"/>
  </r>
  <r>
    <n v="56"/>
    <d v="2016-01-23T00:00:00"/>
    <x v="54"/>
    <x v="3"/>
    <s v="Local Comercial"/>
    <n v="47"/>
    <s v="Alquiler"/>
    <n v="8607.7999999999993"/>
    <n v="275705"/>
    <n v="220564"/>
    <n v="46533.2"/>
    <s v="Ángeles"/>
    <n v="3.8"/>
  </r>
  <r>
    <n v="57"/>
    <d v="2016-01-23T00:00:00"/>
    <x v="55"/>
    <x v="0"/>
    <s v="Terreno"/>
    <n v="50"/>
    <s v="Alquiler"/>
    <n v="19847.2"/>
    <n v="549215"/>
    <n v="439372"/>
    <n v="89995.8"/>
    <s v="Romina"/>
    <n v="3.9"/>
  </r>
  <r>
    <n v="58"/>
    <d v="2016-01-24T00:00:00"/>
    <x v="56"/>
    <x v="3"/>
    <s v="Oficinas"/>
    <n v="270"/>
    <s v="Venta"/>
    <n v="90790.04"/>
    <n v="2324111"/>
    <n v="1859288.8"/>
    <n v="374032.16"/>
    <s v="Ángeles"/>
    <n v="4.4000000000000004"/>
  </r>
  <r>
    <n v="59"/>
    <d v="2016-01-24T00:00:00"/>
    <x v="57"/>
    <x v="0"/>
    <s v="Casa"/>
    <n v="159"/>
    <s v="Venta"/>
    <n v="53992.639999999999"/>
    <n v="1410301"/>
    <n v="1128240.8"/>
    <n v="228067.55999999994"/>
    <s v="Carlos"/>
    <n v="4.3"/>
  </r>
  <r>
    <n v="60"/>
    <d v="2016-01-24T00:00:00"/>
    <x v="58"/>
    <x v="3"/>
    <s v="Oficinas"/>
    <n v="263"/>
    <s v="Venta"/>
    <n v="75571.600000000006"/>
    <n v="1956725"/>
    <n v="1565380"/>
    <n v="315773.40000000002"/>
    <s v="Iván"/>
    <n v="4.0999999999999996"/>
  </r>
  <r>
    <n v="61"/>
    <d v="2016-01-24T00:00:00"/>
    <x v="59"/>
    <x v="2"/>
    <s v="Oficinas"/>
    <n v="115"/>
    <s v="Venta"/>
    <n v="44484.6"/>
    <n v="1177325"/>
    <n v="941860"/>
    <n v="190980.4"/>
    <s v="Romina"/>
    <n v="4.2"/>
  </r>
  <r>
    <n v="62"/>
    <d v="2016-01-24T00:00:00"/>
    <x v="60"/>
    <x v="0"/>
    <s v="Depósito"/>
    <n v="172"/>
    <s v="Venta"/>
    <n v="44562.52"/>
    <n v="1179423"/>
    <n v="943538.4"/>
    <n v="191322.08"/>
    <s v="Carlos"/>
    <n v="4.7"/>
  </r>
  <r>
    <n v="63"/>
    <d v="2016-01-25T00:00:00"/>
    <x v="61"/>
    <x v="3"/>
    <s v="Depósito"/>
    <n v="141"/>
    <s v="Alquiler"/>
    <n v="28629.759999999998"/>
    <n v="774629"/>
    <n v="619703.19999999995"/>
    <n v="126296.04000000005"/>
    <s v="Sabrina"/>
    <n v="3.7"/>
  </r>
  <r>
    <n v="64"/>
    <d v="2016-01-26T00:00:00"/>
    <x v="62"/>
    <x v="1"/>
    <s v="Departamento"/>
    <n v="51"/>
    <s v="Alquiler"/>
    <n v="19242.400000000001"/>
    <n v="545495"/>
    <n v="436396"/>
    <n v="89856.6"/>
    <s v="Ángeles"/>
    <n v="3.8"/>
  </r>
  <r>
    <n v="65"/>
    <d v="2016-01-26T00:00:00"/>
    <x v="63"/>
    <x v="0"/>
    <s v="Departamento"/>
    <n v="141"/>
    <s v="Venta"/>
    <n v="56279.28"/>
    <n v="1473317"/>
    <n v="1178653.6000000001"/>
    <n v="238384.11999999991"/>
    <s v="Sabrina"/>
    <n v="3.6"/>
  </r>
  <r>
    <n v="66"/>
    <d v="2016-01-27T00:00:00"/>
    <x v="64"/>
    <x v="3"/>
    <s v="Oficinas"/>
    <n v="269"/>
    <s v="Venta"/>
    <n v="83733.960000000006"/>
    <n v="2155909"/>
    <n v="1724727.2"/>
    <n v="347447.84"/>
    <s v="Arturo"/>
    <n v="3.9"/>
  </r>
  <r>
    <n v="67"/>
    <d v="2016-01-27T00:00:00"/>
    <x v="65"/>
    <x v="3"/>
    <s v="Oficinas"/>
    <n v="213"/>
    <s v="Venta"/>
    <n v="36981.08"/>
    <n v="985412"/>
    <n v="788329.6"/>
    <n v="160101.32"/>
    <s v="Iván"/>
    <n v="4.4000000000000004"/>
  </r>
  <r>
    <n v="68"/>
    <d v="2016-01-27T00:00:00"/>
    <x v="58"/>
    <x v="1"/>
    <s v="Local Comercial"/>
    <n v="63"/>
    <s v="Alquiler"/>
    <n v="14207.68"/>
    <n v="413477"/>
    <n v="330781.59999999998"/>
    <n v="68487.72000000003"/>
    <s v="Sabrina"/>
    <n v="4.9000000000000004"/>
  </r>
  <r>
    <n v="69"/>
    <d v="2016-01-27T00:00:00"/>
    <x v="66"/>
    <x v="2"/>
    <s v="Terreno"/>
    <n v="243"/>
    <s v="Venta"/>
    <n v="87263.32"/>
    <n v="2248893"/>
    <n v="1799114.4"/>
    <n v="362515.28000000009"/>
    <s v="Ángeles"/>
    <n v="3.7"/>
  </r>
  <r>
    <n v="70"/>
    <d v="2016-01-28T00:00:00"/>
    <x v="67"/>
    <x v="3"/>
    <s v="Casa"/>
    <n v="174"/>
    <s v="Venta"/>
    <n v="65107.8"/>
    <n v="1684180"/>
    <n v="1347344"/>
    <n v="271728.2"/>
    <s v="Ángeles"/>
    <n v="4.8"/>
  </r>
  <r>
    <n v="71"/>
    <d v="2016-01-28T00:00:00"/>
    <x v="33"/>
    <x v="0"/>
    <s v="Terreno"/>
    <n v="228"/>
    <s v="Venta"/>
    <n v="76433"/>
    <n v="1976410"/>
    <n v="1581128"/>
    <n v="318849"/>
    <s v="Romina"/>
    <n v="3.7"/>
  </r>
  <r>
    <n v="72"/>
    <d v="2016-01-28T00:00:00"/>
    <x v="65"/>
    <x v="2"/>
    <s v="Depósito"/>
    <n v="212"/>
    <s v="Venta"/>
    <n v="58162.080000000002"/>
    <n v="1515437"/>
    <n v="1212349.6000000001"/>
    <n v="244925.31999999989"/>
    <s v="Romina"/>
    <n v="4"/>
  </r>
  <r>
    <n v="73"/>
    <d v="2016-01-28T00:00:00"/>
    <x v="68"/>
    <x v="3"/>
    <s v="Estacionamiento"/>
    <n v="58"/>
    <s v="Alquiler"/>
    <n v="11813.76"/>
    <n v="356529"/>
    <n v="285223.2"/>
    <n v="59492.039999999986"/>
    <s v="Carlos"/>
    <n v="3.6"/>
  </r>
  <r>
    <n v="74"/>
    <d v="2016-01-29T00:00:00"/>
    <x v="69"/>
    <x v="3"/>
    <s v="Local Comercial"/>
    <n v="226"/>
    <s v="Venta"/>
    <n v="43313.2"/>
    <n v="1134540"/>
    <n v="907632"/>
    <n v="183594.8"/>
    <s v="Carlos"/>
    <n v="3.9"/>
  </r>
  <r>
    <n v="75"/>
    <d v="2016-01-29T00:00:00"/>
    <x v="70"/>
    <x v="0"/>
    <s v="Departamento"/>
    <n v="38"/>
    <s v="Alquiler"/>
    <n v="6345.48"/>
    <n v="224347"/>
    <n v="179477.6"/>
    <n v="38523.919999999998"/>
    <s v="Iván"/>
    <n v="4.3"/>
  </r>
  <r>
    <n v="76"/>
    <d v="2016-01-29T00:00:00"/>
    <x v="8"/>
    <x v="0"/>
    <s v="Casa"/>
    <n v="231"/>
    <s v="Venta"/>
    <n v="69513.240000000005"/>
    <n v="1793591"/>
    <n v="1434872.8"/>
    <n v="289204.95999999996"/>
    <s v="Arturo"/>
    <n v="4.9000000000000004"/>
  </r>
  <r>
    <n v="77"/>
    <d v="2016-01-30T00:00:00"/>
    <x v="71"/>
    <x v="3"/>
    <s v="Terreno"/>
    <n v="108"/>
    <s v="Venta"/>
    <n v="43324.68"/>
    <n v="1141477"/>
    <n v="913181.6"/>
    <n v="184970.72000000003"/>
    <s v="Arturo"/>
    <n v="4.5"/>
  </r>
  <r>
    <n v="78"/>
    <d v="2016-01-31T00:00:00"/>
    <x v="72"/>
    <x v="3"/>
    <s v="Oficinas"/>
    <n v="82"/>
    <s v="Alquiler"/>
    <n v="16901.400000000001"/>
    <n v="484970"/>
    <n v="387976"/>
    <n v="80092.600000000006"/>
    <s v="Ángeles"/>
    <n v="4"/>
  </r>
  <r>
    <n v="79"/>
    <d v="2016-01-31T00:00:00"/>
    <x v="73"/>
    <x v="3"/>
    <s v="Estacionamiento"/>
    <n v="291"/>
    <s v="Venta"/>
    <n v="99806.36"/>
    <n v="2556969"/>
    <n v="2045575.2"/>
    <n v="411587.44000000006"/>
    <s v="Romina"/>
    <n v="4.8"/>
  </r>
  <r>
    <n v="80"/>
    <d v="2016-01-31T00:00:00"/>
    <x v="74"/>
    <x v="3"/>
    <s v="Depósito"/>
    <n v="212"/>
    <s v="Venta"/>
    <n v="52797.279999999999"/>
    <n v="1375592"/>
    <n v="1100473.6000000001"/>
    <n v="222321.11999999991"/>
    <s v="Romina"/>
    <n v="4.9000000000000004"/>
  </r>
  <r>
    <n v="81"/>
    <d v="2016-02-01T00:00:00"/>
    <x v="75"/>
    <x v="2"/>
    <s v="Departamento"/>
    <n v="231"/>
    <s v="Venta"/>
    <n v="71665.759999999995"/>
    <n v="1848729"/>
    <n v="1478983.2"/>
    <n v="298080.04000000004"/>
    <s v="Arturo"/>
    <n v="4.7"/>
  </r>
  <r>
    <n v="82"/>
    <d v="2016-02-02T00:00:00"/>
    <x v="76"/>
    <x v="1"/>
    <s v="Local Comercial"/>
    <n v="111"/>
    <s v="Venta"/>
    <n v="41923.24"/>
    <n v="1106216"/>
    <n v="884972.8"/>
    <n v="179319.95999999996"/>
    <s v="Arturo"/>
    <n v="4.3"/>
  </r>
  <r>
    <n v="83"/>
    <d v="2016-02-02T00:00:00"/>
    <x v="77"/>
    <x v="3"/>
    <s v="Casa"/>
    <n v="53"/>
    <s v="Alquiler"/>
    <n v="17924.88"/>
    <n v="507557"/>
    <n v="406045.6"/>
    <n v="83586.520000000019"/>
    <s v="Ángeles"/>
    <n v="3.8"/>
  </r>
  <r>
    <n v="84"/>
    <d v="2016-02-02T00:00:00"/>
    <x v="78"/>
    <x v="2"/>
    <s v="Casa"/>
    <n v="88"/>
    <s v="Alquiler"/>
    <n v="17618.599999999999"/>
    <n v="507425"/>
    <n v="405940"/>
    <n v="83866.399999999994"/>
    <s v="Romina"/>
    <n v="4.5999999999999996"/>
  </r>
  <r>
    <n v="85"/>
    <d v="2016-02-02T00:00:00"/>
    <x v="79"/>
    <x v="1"/>
    <s v="Departamento"/>
    <n v="123"/>
    <s v="Venta"/>
    <n v="36015.879999999997"/>
    <n v="961807"/>
    <n v="769445.6"/>
    <n v="156345.52000000002"/>
    <s v="Carlos"/>
    <n v="4.7"/>
  </r>
  <r>
    <n v="86"/>
    <d v="2016-02-03T00:00:00"/>
    <x v="80"/>
    <x v="0"/>
    <s v="Local Comercial"/>
    <n v="271"/>
    <s v="Venta"/>
    <n v="84745"/>
    <n v="2178185"/>
    <n v="1742548"/>
    <n v="350892"/>
    <s v="Iván"/>
    <n v="3.9"/>
  </r>
  <r>
    <n v="87"/>
    <d v="2016-02-03T00:00:00"/>
    <x v="81"/>
    <x v="1"/>
    <s v="Terreno"/>
    <n v="88"/>
    <s v="Venta"/>
    <n v="30523"/>
    <n v="815360"/>
    <n v="652288"/>
    <n v="132549"/>
    <s v="Sabrina"/>
    <n v="4.4000000000000004"/>
  </r>
  <r>
    <n v="88"/>
    <d v="2016-02-03T00:00:00"/>
    <x v="82"/>
    <x v="3"/>
    <s v="Terreno"/>
    <n v="52"/>
    <s v="Alquiler"/>
    <n v="15609.84"/>
    <n v="457681"/>
    <n v="366144.8"/>
    <n v="75926.360000000015"/>
    <s v="Arturo"/>
    <n v="4.3"/>
  </r>
  <r>
    <n v="89"/>
    <d v="2016-02-04T00:00:00"/>
    <x v="83"/>
    <x v="1"/>
    <s v="Estacionamiento"/>
    <n v="45"/>
    <s v="Alquiler"/>
    <n v="8051.64"/>
    <n v="256201"/>
    <n v="204960.8"/>
    <n v="43188.560000000012"/>
    <s v="Iván"/>
    <n v="4.9000000000000004"/>
  </r>
  <r>
    <n v="90"/>
    <d v="2016-02-04T00:00:00"/>
    <x v="84"/>
    <x v="0"/>
    <s v="Terreno"/>
    <n v="289"/>
    <s v="Venta"/>
    <n v="106547.64"/>
    <n v="2722301"/>
    <n v="2177840.7999999998"/>
    <n v="437912.56000000017"/>
    <s v="Arturo"/>
    <n v="3.6"/>
  </r>
  <r>
    <n v="91"/>
    <d v="2016-02-04T00:00:00"/>
    <x v="43"/>
    <x v="2"/>
    <s v="Casa"/>
    <n v="117"/>
    <s v="Alquiler"/>
    <n v="28230.36"/>
    <n v="760094"/>
    <n v="608075.19999999995"/>
    <n v="123788.44000000005"/>
    <s v="Carlos"/>
    <n v="4.8"/>
  </r>
  <r>
    <n v="92"/>
    <d v="2016-02-05T00:00:00"/>
    <x v="85"/>
    <x v="0"/>
    <s v="Departamento"/>
    <n v="42"/>
    <s v="Alquiler"/>
    <n v="14718.28"/>
    <n v="424517"/>
    <n v="339613.6"/>
    <n v="70185.120000000024"/>
    <s v="Iván"/>
    <n v="4.5"/>
  </r>
  <r>
    <n v="93"/>
    <d v="2016-02-05T00:00:00"/>
    <x v="86"/>
    <x v="2"/>
    <s v="Oficinas"/>
    <n v="128"/>
    <s v="Venta"/>
    <n v="36040.800000000003"/>
    <n v="958505"/>
    <n v="766804"/>
    <n v="155660.20000000001"/>
    <s v="Carlos"/>
    <n v="4.5"/>
  </r>
  <r>
    <n v="94"/>
    <d v="2016-02-06T00:00:00"/>
    <x v="87"/>
    <x v="0"/>
    <s v="Estacionamiento"/>
    <n v="171"/>
    <s v="Venta"/>
    <n v="37446.32"/>
    <n v="1001843"/>
    <n v="801474.4"/>
    <n v="162922.27999999997"/>
    <s v="Sabrina"/>
    <n v="4.8"/>
  </r>
  <r>
    <n v="95"/>
    <d v="2016-02-06T00:00:00"/>
    <x v="24"/>
    <x v="1"/>
    <s v="Departamento"/>
    <n v="64"/>
    <s v="Alquiler"/>
    <n v="25665.64"/>
    <n v="700301"/>
    <n v="560240.80000000005"/>
    <n v="114394.55999999995"/>
    <s v="Carlos"/>
    <n v="4.2"/>
  </r>
  <r>
    <n v="96"/>
    <d v="2016-02-07T00:00:00"/>
    <x v="88"/>
    <x v="0"/>
    <s v="Oficinas"/>
    <n v="98"/>
    <s v="Alquiler"/>
    <n v="28174.240000000002"/>
    <n v="765416"/>
    <n v="612332.80000000005"/>
    <n v="124908.95999999995"/>
    <s v="Iván"/>
    <n v="3.9"/>
  </r>
  <r>
    <n v="97"/>
    <d v="2016-02-07T00:00:00"/>
    <x v="89"/>
    <x v="3"/>
    <s v="Casa"/>
    <n v="91"/>
    <s v="Alquiler"/>
    <n v="24226.44"/>
    <n v="662021"/>
    <n v="529616.80000000005"/>
    <n v="108177.75999999995"/>
    <s v="Iván"/>
    <n v="4.5"/>
  </r>
  <r>
    <n v="98"/>
    <d v="2016-02-07T00:00:00"/>
    <x v="90"/>
    <x v="1"/>
    <s v="Oficinas"/>
    <n v="220"/>
    <s v="Venta"/>
    <n v="57855.28"/>
    <n v="1504267"/>
    <n v="1203413.6000000001"/>
    <n v="242998.11999999991"/>
    <s v="Romina"/>
    <n v="3.6"/>
  </r>
  <r>
    <n v="99"/>
    <d v="2016-02-07T00:00:00"/>
    <x v="91"/>
    <x v="1"/>
    <s v="Estacionamiento"/>
    <n v="248"/>
    <s v="Venta"/>
    <n v="81589.440000000002"/>
    <n v="2103721"/>
    <n v="1682976.8"/>
    <n v="339154.75999999995"/>
    <s v="Ángeles"/>
    <n v="4.0999999999999996"/>
  </r>
  <r>
    <n v="100"/>
    <d v="2016-02-08T00:00:00"/>
    <x v="92"/>
    <x v="1"/>
    <s v="Terreno"/>
    <n v="120"/>
    <s v="Alquiler"/>
    <n v="20301"/>
    <n v="567860"/>
    <n v="454288"/>
    <n v="93271"/>
    <s v="Iván"/>
    <n v="4.3"/>
  </r>
  <r>
    <n v="101"/>
    <d v="2016-02-08T00:00:00"/>
    <x v="83"/>
    <x v="0"/>
    <s v="Local Comercial"/>
    <n v="158"/>
    <s v="Alquiler"/>
    <n v="27427.759999999998"/>
    <n v="747179"/>
    <n v="597743.19999999995"/>
    <n v="122008.04000000005"/>
    <s v="Ángeles"/>
    <n v="4.5999999999999996"/>
  </r>
  <r>
    <n v="102"/>
    <d v="2016-02-08T00:00:00"/>
    <x v="24"/>
    <x v="3"/>
    <s v="Departamento"/>
    <n v="41"/>
    <s v="Alquiler"/>
    <n v="16934.400000000001"/>
    <n v="474920"/>
    <n v="379936"/>
    <n v="78049.600000000006"/>
    <s v="Sabrina"/>
    <n v="4.5"/>
  </r>
  <r>
    <n v="103"/>
    <d v="2016-02-08T00:00:00"/>
    <x v="93"/>
    <x v="2"/>
    <s v="Departamento"/>
    <n v="252"/>
    <s v="Venta"/>
    <n v="46562.6"/>
    <n v="1224575"/>
    <n v="979660"/>
    <n v="198352.4"/>
    <s v="Ángeles"/>
    <n v="4.2"/>
  </r>
  <r>
    <n v="104"/>
    <d v="2016-02-09T00:00:00"/>
    <x v="94"/>
    <x v="1"/>
    <s v="Depósito"/>
    <n v="100"/>
    <s v="Alquiler"/>
    <n v="27226"/>
    <n v="735885"/>
    <n v="588708"/>
    <n v="119951"/>
    <s v="Sabrina"/>
    <n v="4.5"/>
  </r>
  <r>
    <n v="105"/>
    <d v="2016-02-10T00:00:00"/>
    <x v="95"/>
    <x v="1"/>
    <s v="Casa"/>
    <n v="232"/>
    <s v="Venta"/>
    <n v="73257.84"/>
    <n v="1890981"/>
    <n v="1512784.8"/>
    <n v="304938.36"/>
    <s v="Sabrina"/>
    <n v="4.3"/>
  </r>
  <r>
    <n v="106"/>
    <d v="2016-02-10T00:00:00"/>
    <x v="96"/>
    <x v="0"/>
    <s v="Local Comercial"/>
    <n v="295"/>
    <s v="Venta"/>
    <n v="83406"/>
    <n v="2142185"/>
    <n v="1713748"/>
    <n v="345031"/>
    <s v="Arturo"/>
    <n v="4.7"/>
  </r>
  <r>
    <n v="107"/>
    <d v="2016-02-10T00:00:00"/>
    <x v="97"/>
    <x v="0"/>
    <s v="Depósito"/>
    <n v="215"/>
    <s v="Venta"/>
    <n v="70463.72"/>
    <n v="1827803"/>
    <n v="1462242.4"/>
    <n v="295096.88000000012"/>
    <s v="Iván"/>
    <n v="3.8"/>
  </r>
  <r>
    <n v="108"/>
    <d v="2016-02-12T00:00:00"/>
    <x v="98"/>
    <x v="3"/>
    <s v="Terreno"/>
    <n v="181"/>
    <s v="Venta"/>
    <n v="70520.88"/>
    <n v="1818782"/>
    <n v="1455025.6"/>
    <n v="293235.5199999999"/>
    <s v="Carlos"/>
    <n v="1"/>
  </r>
  <r>
    <n v="109"/>
    <d v="2016-02-12T00:00:00"/>
    <x v="99"/>
    <x v="3"/>
    <s v="Estacionamiento"/>
    <n v="295"/>
    <s v="Venta"/>
    <n v="60389"/>
    <n v="1564685"/>
    <n v="1251748"/>
    <n v="252548"/>
    <s v="Arturo"/>
    <n v="5"/>
  </r>
  <r>
    <n v="110"/>
    <d v="2016-02-12T00:00:00"/>
    <x v="98"/>
    <x v="1"/>
    <s v="Departamento"/>
    <n v="201"/>
    <s v="Venta"/>
    <n v="62651.68"/>
    <n v="1624127"/>
    <n v="1299301.6000000001"/>
    <n v="262173.71999999991"/>
    <s v="Sabrina"/>
    <n v="5"/>
  </r>
  <r>
    <n v="111"/>
    <d v="2016-02-13T00:00:00"/>
    <x v="100"/>
    <x v="1"/>
    <s v="Oficinas"/>
    <n v="159"/>
    <s v="Venta"/>
    <n v="37318.639999999999"/>
    <n v="991151"/>
    <n v="792920.8"/>
    <n v="160911.55999999994"/>
    <s v="Carlos"/>
    <n v="4.2"/>
  </r>
  <r>
    <n v="112"/>
    <d v="2016-02-13T00:00:00"/>
    <x v="42"/>
    <x v="0"/>
    <s v="Departamento"/>
    <n v="155"/>
    <s v="Venta"/>
    <n v="41449"/>
    <n v="1101285"/>
    <n v="881028"/>
    <n v="178808"/>
    <s v="Arturo"/>
    <n v="4.0999999999999996"/>
  </r>
  <r>
    <n v="113"/>
    <d v="2016-02-13T00:00:00"/>
    <x v="44"/>
    <x v="1"/>
    <s v="Terreno"/>
    <n v="84"/>
    <s v="Venta"/>
    <n v="34612.639999999999"/>
    <n v="923726"/>
    <n v="738980.8"/>
    <n v="150132.55999999994"/>
    <s v="Sabrina"/>
    <n v="3.7"/>
  </r>
  <r>
    <n v="114"/>
    <d v="2016-02-14T00:00:00"/>
    <x v="48"/>
    <x v="2"/>
    <s v="Estacionamiento"/>
    <n v="100"/>
    <s v="Venta"/>
    <n v="31351.96"/>
    <n v="843284"/>
    <n v="674627.2"/>
    <n v="137304.84000000005"/>
    <s v="Carlos"/>
    <n v="4.5999999999999996"/>
  </r>
  <r>
    <n v="115"/>
    <d v="2016-02-14T00:00:00"/>
    <x v="101"/>
    <x v="3"/>
    <s v="Local Comercial"/>
    <n v="50"/>
    <s v="Alquiler"/>
    <n v="16659"/>
    <n v="475235"/>
    <n v="380188"/>
    <n v="78388"/>
    <s v="Romina"/>
    <n v="4.7"/>
  </r>
  <r>
    <n v="116"/>
    <d v="2016-02-15T00:00:00"/>
    <x v="102"/>
    <x v="0"/>
    <s v="Depósito"/>
    <n v="100"/>
    <s v="Venta"/>
    <n v="38172.36"/>
    <n v="1010144"/>
    <n v="808115.19999999995"/>
    <n v="163856.44000000006"/>
    <s v="Iván"/>
    <n v="4.5"/>
  </r>
  <r>
    <n v="117"/>
    <d v="2016-02-15T00:00:00"/>
    <x v="51"/>
    <x v="2"/>
    <s v="Estacionamiento"/>
    <n v="271"/>
    <s v="Venta"/>
    <n v="68225.320000000007"/>
    <n v="1760493"/>
    <n v="1408394.4"/>
    <n v="283873.28000000009"/>
    <s v="Carlos"/>
    <n v="4.3"/>
  </r>
  <r>
    <n v="118"/>
    <d v="2016-02-15T00:00:00"/>
    <x v="103"/>
    <x v="0"/>
    <s v="Terreno"/>
    <n v="246"/>
    <s v="Venta"/>
    <n v="81051.039999999994"/>
    <n v="2083761"/>
    <n v="1667008.8"/>
    <n v="335701.16"/>
    <s v="Sabrina"/>
    <n v="4.4000000000000004"/>
  </r>
  <r>
    <n v="119"/>
    <d v="2016-02-16T00:00:00"/>
    <x v="47"/>
    <x v="2"/>
    <s v="Local Comercial"/>
    <n v="47"/>
    <s v="Alquiler"/>
    <n v="11550.56"/>
    <n v="344474"/>
    <n v="275579.2"/>
    <n v="57344.239999999991"/>
    <s v="Arturo"/>
    <n v="5"/>
  </r>
  <r>
    <n v="120"/>
    <d v="2016-02-16T00:00:00"/>
    <x v="97"/>
    <x v="1"/>
    <s v="Estacionamiento"/>
    <n v="168"/>
    <s v="Venta"/>
    <n v="37970.120000000003"/>
    <n v="1010363"/>
    <n v="808290.4"/>
    <n v="164102.47999999998"/>
    <s v="Iván"/>
    <n v="4.2"/>
  </r>
  <r>
    <n v="121"/>
    <d v="2016-02-17T00:00:00"/>
    <x v="104"/>
    <x v="2"/>
    <s v="Terreno"/>
    <n v="146"/>
    <s v="Alquiler"/>
    <n v="26654.560000000001"/>
    <n v="725349"/>
    <n v="580279.19999999995"/>
    <n v="118415.24000000005"/>
    <s v="Iván"/>
    <n v="3.7"/>
  </r>
  <r>
    <n v="122"/>
    <d v="2016-02-17T00:00:00"/>
    <x v="88"/>
    <x v="1"/>
    <s v="Terreno"/>
    <n v="267"/>
    <s v="Venta"/>
    <n v="54611.4"/>
    <n v="1422395"/>
    <n v="1137916"/>
    <n v="229867.6"/>
    <s v="Arturo"/>
    <n v="4.9000000000000004"/>
  </r>
  <r>
    <n v="123"/>
    <d v="2016-02-17T00:00:00"/>
    <x v="105"/>
    <x v="2"/>
    <s v="Departamento"/>
    <n v="174"/>
    <s v="Venta"/>
    <n v="57657.24"/>
    <n v="1497841"/>
    <n v="1198272.8"/>
    <n v="241910.95999999996"/>
    <s v="Arturo"/>
    <n v="3.6"/>
  </r>
  <r>
    <n v="124"/>
    <d v="2016-02-18T00:00:00"/>
    <x v="5"/>
    <x v="1"/>
    <s v="Local Comercial"/>
    <n v="209"/>
    <s v="Venta"/>
    <n v="36047.120000000003"/>
    <n v="962713"/>
    <n v="770170.4"/>
    <n v="156495.47999999998"/>
    <s v="Carlos"/>
    <n v="3.7"/>
  </r>
  <r>
    <n v="125"/>
    <d v="2016-02-19T00:00:00"/>
    <x v="106"/>
    <x v="2"/>
    <s v="Local Comercial"/>
    <n v="113"/>
    <s v="Venta"/>
    <n v="41763.68"/>
    <n v="1103677"/>
    <n v="882941.6"/>
    <n v="178971.72000000003"/>
    <s v="Romina"/>
    <n v="3.6"/>
  </r>
  <r>
    <n v="126"/>
    <d v="2016-02-19T00:00:00"/>
    <x v="107"/>
    <x v="3"/>
    <s v="Departamento"/>
    <n v="187"/>
    <s v="Venta"/>
    <n v="54220.28"/>
    <n v="1409617"/>
    <n v="1127693.6000000001"/>
    <n v="227703.11999999991"/>
    <s v="Ángeles"/>
    <n v="4.8"/>
  </r>
  <r>
    <n v="127"/>
    <d v="2016-02-20T00:00:00"/>
    <x v="77"/>
    <x v="0"/>
    <s v="Local Comercial"/>
    <n v="132"/>
    <s v="Venta"/>
    <n v="42537.760000000002"/>
    <n v="1123604"/>
    <n v="898883.2"/>
    <n v="182183.04000000004"/>
    <s v="Iván"/>
    <n v="4.4000000000000004"/>
  </r>
  <r>
    <n v="128"/>
    <d v="2016-02-20T00:00:00"/>
    <x v="102"/>
    <x v="3"/>
    <s v="Estacionamiento"/>
    <n v="127"/>
    <s v="Venta"/>
    <n v="48531.6"/>
    <n v="1266675"/>
    <n v="1013340"/>
    <n v="204803.4"/>
    <s v="Sabrina"/>
    <n v="4.2"/>
  </r>
  <r>
    <n v="129"/>
    <d v="2016-02-21T00:00:00"/>
    <x v="80"/>
    <x v="3"/>
    <s v="Depósito"/>
    <n v="199"/>
    <s v="Venta"/>
    <n v="53936.04"/>
    <n v="1400411"/>
    <n v="1120328.8"/>
    <n v="226146.15999999995"/>
    <s v="Romina"/>
    <n v="4.0999999999999996"/>
  </r>
  <r>
    <n v="130"/>
    <d v="2016-02-21T00:00:00"/>
    <x v="108"/>
    <x v="2"/>
    <s v="Casa"/>
    <n v="212"/>
    <s v="Venta"/>
    <n v="54612.84"/>
    <n v="1425581"/>
    <n v="1140464.8"/>
    <n v="230503.35999999996"/>
    <s v="Sabrina"/>
    <n v="4.5"/>
  </r>
  <r>
    <n v="131"/>
    <d v="2016-02-21T00:00:00"/>
    <x v="68"/>
    <x v="1"/>
    <s v="Casa"/>
    <n v="50"/>
    <s v="Alquiler"/>
    <n v="18334.8"/>
    <n v="513830"/>
    <n v="411064"/>
    <n v="84431.2"/>
    <s v="Romina"/>
    <n v="4.3"/>
  </r>
  <r>
    <n v="132"/>
    <d v="2016-02-21T00:00:00"/>
    <x v="109"/>
    <x v="2"/>
    <s v="Estacionamiento"/>
    <n v="185"/>
    <s v="Venta"/>
    <n v="50064.2"/>
    <n v="1305115"/>
    <n v="1044092"/>
    <n v="210958.8"/>
    <s v="Iván"/>
    <n v="5"/>
  </r>
  <r>
    <n v="133"/>
    <d v="2016-02-22T00:00:00"/>
    <x v="110"/>
    <x v="1"/>
    <s v="Casa"/>
    <n v="55"/>
    <s v="Alquiler"/>
    <n v="14827.56"/>
    <n v="428449"/>
    <n v="342759.2"/>
    <n v="70862.239999999991"/>
    <s v="Arturo"/>
    <n v="4.2"/>
  </r>
  <r>
    <n v="134"/>
    <d v="2016-02-22T00:00:00"/>
    <x v="111"/>
    <x v="2"/>
    <s v="Depósito"/>
    <n v="269"/>
    <s v="Venta"/>
    <n v="69682"/>
    <n v="1801710"/>
    <n v="1441368"/>
    <n v="290660"/>
    <s v="Carlos"/>
    <n v="3.9"/>
  </r>
  <r>
    <n v="135"/>
    <d v="2016-02-22T00:00:00"/>
    <x v="74"/>
    <x v="3"/>
    <s v="Oficinas"/>
    <n v="40"/>
    <s v="Alquiler"/>
    <n v="8584.2000000000007"/>
    <n v="265940"/>
    <n v="212752"/>
    <n v="44603.8"/>
    <s v="Iván"/>
    <n v="3.8"/>
  </r>
  <r>
    <n v="136"/>
    <d v="2016-02-23T00:00:00"/>
    <x v="112"/>
    <x v="3"/>
    <s v="Casa"/>
    <n v="98"/>
    <s v="Alquiler"/>
    <n v="24150.400000000001"/>
    <n v="660920"/>
    <n v="528736"/>
    <n v="108033.60000000001"/>
    <s v="Carlos"/>
    <n v="4.4000000000000004"/>
  </r>
  <r>
    <n v="137"/>
    <d v="2016-02-23T00:00:00"/>
    <x v="113"/>
    <x v="1"/>
    <s v="Departamento"/>
    <n v="113"/>
    <s v="Alquiler"/>
    <n v="26342.16"/>
    <n v="722639"/>
    <n v="578111.19999999995"/>
    <n v="118185.64000000004"/>
    <s v="Arturo"/>
    <n v="5"/>
  </r>
  <r>
    <n v="138"/>
    <d v="2016-02-24T00:00:00"/>
    <x v="8"/>
    <x v="1"/>
    <s v="Terreno"/>
    <n v="85"/>
    <s v="Alquiler"/>
    <n v="26129.200000000001"/>
    <n v="714965"/>
    <n v="571972"/>
    <n v="116863.8"/>
    <s v="Sabrina"/>
    <n v="3.8"/>
  </r>
  <r>
    <n v="139"/>
    <d v="2016-02-26T00:00:00"/>
    <x v="42"/>
    <x v="1"/>
    <s v="Casa"/>
    <n v="57"/>
    <s v="Alquiler"/>
    <n v="20568"/>
    <n v="570410"/>
    <n v="456328"/>
    <n v="93514"/>
    <s v="Carlos"/>
    <n v="3.8"/>
  </r>
  <r>
    <n v="140"/>
    <d v="2016-02-26T00:00:00"/>
    <x v="114"/>
    <x v="1"/>
    <s v="Local Comercial"/>
    <n v="216"/>
    <s v="Venta"/>
    <n v="42099.360000000001"/>
    <n v="1112519"/>
    <n v="890015.2"/>
    <n v="180404.44000000006"/>
    <s v="Ángeles"/>
    <n v="4.4000000000000004"/>
  </r>
  <r>
    <n v="141"/>
    <d v="2016-02-27T00:00:00"/>
    <x v="34"/>
    <x v="0"/>
    <s v="Terreno"/>
    <n v="40"/>
    <s v="Alquiler"/>
    <n v="17521.080000000002"/>
    <n v="491962"/>
    <n v="393569.6"/>
    <n v="80871.320000000022"/>
    <s v="Carlos"/>
    <n v="3.9"/>
  </r>
  <r>
    <n v="142"/>
    <d v="2016-02-27T00:00:00"/>
    <x v="40"/>
    <x v="0"/>
    <s v="Terreno"/>
    <n v="118"/>
    <s v="Venta"/>
    <n v="44538.239999999998"/>
    <n v="1164641"/>
    <n v="931712.8"/>
    <n v="188389.95999999996"/>
    <s v="Arturo"/>
    <n v="3.9"/>
  </r>
  <r>
    <n v="143"/>
    <d v="2016-02-27T00:00:00"/>
    <x v="8"/>
    <x v="2"/>
    <s v="Estacionamiento"/>
    <n v="128"/>
    <s v="Venta"/>
    <n v="51434.8"/>
    <n v="1347005"/>
    <n v="1077604"/>
    <n v="217966.2"/>
    <s v="Ángeles"/>
    <n v="4.7"/>
  </r>
  <r>
    <n v="144"/>
    <d v="2016-02-28T00:00:00"/>
    <x v="57"/>
    <x v="1"/>
    <s v="Estacionamiento"/>
    <n v="117"/>
    <s v="Venta"/>
    <n v="30400.799999999999"/>
    <n v="819355"/>
    <n v="655484"/>
    <n v="133470.20000000001"/>
    <s v="Arturo"/>
    <n v="4.5"/>
  </r>
  <r>
    <n v="145"/>
    <d v="2016-02-28T00:00:00"/>
    <x v="115"/>
    <x v="3"/>
    <s v="Terreno"/>
    <n v="44"/>
    <s v="Alquiler"/>
    <n v="11959"/>
    <n v="352035"/>
    <n v="281628"/>
    <n v="58448"/>
    <s v="Arturo"/>
    <n v="4.2"/>
  </r>
  <r>
    <n v="146"/>
    <d v="2016-02-28T00:00:00"/>
    <x v="116"/>
    <x v="1"/>
    <s v="Departamento"/>
    <n v="268"/>
    <s v="Venta"/>
    <n v="79970.8"/>
    <n v="2065455"/>
    <n v="1652364"/>
    <n v="333120.2"/>
    <s v="Sabrina"/>
    <n v="4.0999999999999996"/>
  </r>
  <r>
    <n v="147"/>
    <d v="2016-02-28T00:00:00"/>
    <x v="117"/>
    <x v="1"/>
    <s v="Estacionamiento"/>
    <n v="70"/>
    <s v="Alquiler"/>
    <n v="28631.52"/>
    <n v="770873"/>
    <n v="616698.4"/>
    <n v="125543.07999999997"/>
    <s v="Carlos"/>
    <n v="4.7"/>
  </r>
  <r>
    <n v="148"/>
    <d v="2016-02-28T00:00:00"/>
    <x v="53"/>
    <x v="1"/>
    <s v="Depósito"/>
    <n v="105"/>
    <s v="Venta"/>
    <n v="30565.64"/>
    <n v="815726"/>
    <n v="652580.80000000005"/>
    <n v="132579.55999999994"/>
    <s v="Ángeles"/>
    <n v="5"/>
  </r>
  <r>
    <n v="149"/>
    <d v="2016-02-29T00:00:00"/>
    <x v="118"/>
    <x v="0"/>
    <s v="Estacionamiento"/>
    <n v="244"/>
    <s v="Venta"/>
    <n v="58548.24"/>
    <n v="1528991"/>
    <n v="1223192.8"/>
    <n v="247249.95999999996"/>
    <s v="Sabrina"/>
    <n v="4.7"/>
  </r>
  <r>
    <n v="150"/>
    <d v="2016-03-01T00:00:00"/>
    <x v="119"/>
    <x v="3"/>
    <s v="Depósito"/>
    <n v="208"/>
    <s v="Venta"/>
    <n v="71234.64"/>
    <n v="1837001"/>
    <n v="1469600.8"/>
    <n v="296165.55999999994"/>
    <s v="Iván"/>
    <n v="4.8"/>
  </r>
  <r>
    <n v="151"/>
    <d v="2016-03-01T00:00:00"/>
    <x v="120"/>
    <x v="0"/>
    <s v="Depósito"/>
    <n v="122"/>
    <s v="Venta"/>
    <n v="49433.16"/>
    <n v="1296389"/>
    <n v="1037111.2"/>
    <n v="209844.64000000004"/>
    <s v="Sabrina"/>
    <n v="4.4000000000000004"/>
  </r>
  <r>
    <n v="152"/>
    <d v="2016-03-02T00:00:00"/>
    <x v="121"/>
    <x v="3"/>
    <s v="Estacionamiento"/>
    <n v="168"/>
    <s v="Venta"/>
    <n v="41340.92"/>
    <n v="1100133"/>
    <n v="880106.4"/>
    <n v="178685.68"/>
    <s v="Ángeles"/>
    <n v="4.8"/>
  </r>
  <r>
    <n v="153"/>
    <d v="2016-03-02T00:00:00"/>
    <x v="122"/>
    <x v="3"/>
    <s v="Terreno"/>
    <n v="64"/>
    <s v="Alquiler"/>
    <n v="16415.240000000002"/>
    <n v="471141"/>
    <n v="376912.8"/>
    <n v="77812.960000000006"/>
    <s v="Ángeles"/>
    <n v="4.2"/>
  </r>
  <r>
    <n v="154"/>
    <d v="2016-03-02T00:00:00"/>
    <x v="123"/>
    <x v="3"/>
    <s v="Local Comercial"/>
    <n v="48"/>
    <s v="Alquiler"/>
    <n v="19244.96"/>
    <n v="545409"/>
    <n v="436327.2"/>
    <n v="89836.84"/>
    <s v="Arturo"/>
    <n v="4.5999999999999996"/>
  </r>
  <r>
    <n v="155"/>
    <d v="2016-03-03T00:00:00"/>
    <x v="120"/>
    <x v="3"/>
    <s v="Oficinas"/>
    <n v="182"/>
    <s v="Venta"/>
    <n v="55185.8"/>
    <n v="1440080"/>
    <n v="1152064"/>
    <n v="232830.2"/>
    <s v="Arturo"/>
    <n v="4.5999999999999996"/>
  </r>
  <r>
    <n v="156"/>
    <d v="2016-03-03T00:00:00"/>
    <x v="124"/>
    <x v="2"/>
    <s v="Departamento"/>
    <n v="281"/>
    <s v="Venta"/>
    <n v="61773.279999999999"/>
    <n v="1597917"/>
    <n v="1278333.6000000001"/>
    <n v="257810.11999999991"/>
    <s v="Arturo"/>
    <n v="4.2"/>
  </r>
  <r>
    <n v="157"/>
    <d v="2016-03-03T00:00:00"/>
    <x v="120"/>
    <x v="0"/>
    <s v="Departamento"/>
    <n v="197"/>
    <s v="Venta"/>
    <n v="74470.28"/>
    <n v="1928417"/>
    <n v="1542733.6"/>
    <n v="311213.11999999988"/>
    <s v="Ángeles"/>
    <n v="4.5999999999999996"/>
  </r>
  <r>
    <n v="158"/>
    <d v="2016-03-03T00:00:00"/>
    <x v="82"/>
    <x v="3"/>
    <s v="Estacionamiento"/>
    <n v="97"/>
    <s v="Alquiler"/>
    <n v="28173"/>
    <n v="768185"/>
    <n v="614548"/>
    <n v="125464"/>
    <s v="Sabrina"/>
    <n v="4.7"/>
  </r>
  <r>
    <n v="159"/>
    <d v="2016-03-04T00:00:00"/>
    <x v="125"/>
    <x v="0"/>
    <s v="Casa"/>
    <n v="99"/>
    <s v="Alquiler"/>
    <n v="21833.119999999999"/>
    <n v="599663"/>
    <n v="479730.4"/>
    <n v="98099.479999999981"/>
    <s v="Arturo"/>
    <n v="3.7"/>
  </r>
  <r>
    <n v="160"/>
    <d v="2016-03-04T00:00:00"/>
    <x v="126"/>
    <x v="3"/>
    <s v="Oficinas"/>
    <n v="207"/>
    <s v="Venta"/>
    <n v="34131.120000000003"/>
    <n v="911713"/>
    <n v="729370.4"/>
    <n v="148211.47999999998"/>
    <s v="Ángeles"/>
    <n v="3.7"/>
  </r>
  <r>
    <n v="161"/>
    <d v="2016-03-04T00:00:00"/>
    <x v="127"/>
    <x v="2"/>
    <s v="Oficinas"/>
    <n v="158"/>
    <s v="Venta"/>
    <n v="51576.2"/>
    <n v="1341965"/>
    <n v="1073572"/>
    <n v="216816.8"/>
    <s v="Iván"/>
    <n v="4.2"/>
  </r>
  <r>
    <n v="162"/>
    <d v="2016-03-05T00:00:00"/>
    <x v="128"/>
    <x v="3"/>
    <s v="Estacionamiento"/>
    <n v="245"/>
    <s v="Venta"/>
    <n v="53298"/>
    <n v="1398160"/>
    <n v="1118528"/>
    <n v="226334"/>
    <s v="Iván"/>
    <n v="4"/>
  </r>
  <r>
    <n v="163"/>
    <d v="2016-03-05T00:00:00"/>
    <x v="108"/>
    <x v="2"/>
    <s v="Depósito"/>
    <n v="259"/>
    <s v="Venta"/>
    <n v="45682.6"/>
    <n v="1197575"/>
    <n v="958060"/>
    <n v="193832.4"/>
    <s v="Romina"/>
    <n v="4.9000000000000004"/>
  </r>
  <r>
    <n v="164"/>
    <d v="2016-03-05T00:00:00"/>
    <x v="129"/>
    <x v="0"/>
    <s v="Casa"/>
    <n v="280"/>
    <s v="Venta"/>
    <n v="55167.24"/>
    <n v="1432166"/>
    <n v="1145732.8"/>
    <n v="231265.95999999996"/>
    <s v="Romina"/>
    <n v="4.8"/>
  </r>
  <r>
    <n v="165"/>
    <d v="2016-03-05T00:00:00"/>
    <x v="130"/>
    <x v="3"/>
    <s v="Depósito"/>
    <n v="97"/>
    <s v="Venta"/>
    <n v="39055.160000000003"/>
    <n v="1037589"/>
    <n v="830071.2"/>
    <n v="168462.64000000004"/>
    <s v="Sabrina"/>
    <n v="3.7"/>
  </r>
  <r>
    <n v="166"/>
    <d v="2016-03-06T00:00:00"/>
    <x v="127"/>
    <x v="3"/>
    <s v="Terreno"/>
    <n v="247"/>
    <s v="Venta"/>
    <n v="90162"/>
    <n v="2311985"/>
    <n v="1849588"/>
    <n v="372235"/>
    <s v="Sabrina"/>
    <n v="4.8"/>
  </r>
  <r>
    <n v="167"/>
    <d v="2016-03-06T00:00:00"/>
    <x v="38"/>
    <x v="1"/>
    <s v="Terreno"/>
    <n v="165"/>
    <s v="Venta"/>
    <n v="53933.36"/>
    <n v="1407244"/>
    <n v="1125795.2"/>
    <n v="227515.44000000006"/>
    <s v="Sabrina"/>
    <n v="4"/>
  </r>
  <r>
    <n v="168"/>
    <d v="2016-03-06T00:00:00"/>
    <x v="65"/>
    <x v="2"/>
    <s v="Oficinas"/>
    <n v="218"/>
    <s v="Venta"/>
    <n v="72895.399999999994"/>
    <n v="1878520"/>
    <n v="1502816"/>
    <n v="302808.59999999998"/>
    <s v="Carlos"/>
    <n v="4.3"/>
  </r>
  <r>
    <n v="169"/>
    <d v="2016-03-07T00:00:00"/>
    <x v="94"/>
    <x v="3"/>
    <s v="Departamento"/>
    <n v="283"/>
    <s v="Venta"/>
    <n v="82592.12"/>
    <n v="2116563"/>
    <n v="1693250.4"/>
    <n v="340720.4800000001"/>
    <s v="Iván"/>
    <n v="4.8"/>
  </r>
  <r>
    <n v="170"/>
    <d v="2016-03-08T00:00:00"/>
    <x v="111"/>
    <x v="1"/>
    <s v="Casa"/>
    <n v="67"/>
    <s v="Alquiler"/>
    <n v="23126.44"/>
    <n v="633771"/>
    <n v="507016.8"/>
    <n v="103627.76000000001"/>
    <s v="Carlos"/>
    <n v="4"/>
  </r>
  <r>
    <n v="171"/>
    <d v="2016-03-08T00:00:00"/>
    <x v="49"/>
    <x v="0"/>
    <s v="Depósito"/>
    <n v="140"/>
    <s v="Venta"/>
    <n v="53713.599999999999"/>
    <n v="1395125"/>
    <n v="1116100"/>
    <n v="225311.4"/>
    <s v="Carlos"/>
    <n v="4.2"/>
  </r>
  <r>
    <n v="172"/>
    <d v="2016-03-08T00:00:00"/>
    <x v="131"/>
    <x v="0"/>
    <s v="Terreno"/>
    <n v="104"/>
    <s v="Alquiler"/>
    <n v="21682.080000000002"/>
    <n v="594737"/>
    <n v="475789.6"/>
    <n v="97265.320000000022"/>
    <s v="Ángeles"/>
    <n v="5"/>
  </r>
  <r>
    <n v="173"/>
    <d v="2016-03-09T00:00:00"/>
    <x v="132"/>
    <x v="2"/>
    <s v="Terreno"/>
    <n v="265"/>
    <s v="Venta"/>
    <n v="95282.04"/>
    <n v="2436961"/>
    <n v="1949568.8"/>
    <n v="392110.16"/>
    <s v="Carlos"/>
    <n v="4.2"/>
  </r>
  <r>
    <n v="174"/>
    <d v="2016-03-09T00:00:00"/>
    <x v="106"/>
    <x v="3"/>
    <s v="Depósito"/>
    <n v="137"/>
    <s v="Venta"/>
    <n v="44191.64"/>
    <n v="1167901"/>
    <n v="934320.8"/>
    <n v="189388.55999999994"/>
    <s v="Carlos"/>
    <n v="4.9000000000000004"/>
  </r>
  <r>
    <n v="175"/>
    <d v="2016-03-10T00:00:00"/>
    <x v="106"/>
    <x v="3"/>
    <s v="Estacionamiento"/>
    <n v="49"/>
    <s v="Alquiler"/>
    <n v="16023.44"/>
    <n v="453421"/>
    <n v="362736.8"/>
    <n v="74660.760000000009"/>
    <s v="Romina"/>
    <n v="4.5"/>
  </r>
  <r>
    <n v="176"/>
    <d v="2016-03-10T00:00:00"/>
    <x v="133"/>
    <x v="1"/>
    <s v="Depósito"/>
    <n v="190"/>
    <s v="Venta"/>
    <n v="65677.399999999994"/>
    <n v="1695320"/>
    <n v="1356256"/>
    <n v="273386.59999999998"/>
    <s v="Iván"/>
    <n v="4.7"/>
  </r>
  <r>
    <n v="177"/>
    <d v="2016-03-11T00:00:00"/>
    <x v="134"/>
    <x v="1"/>
    <s v="Oficinas"/>
    <n v="145"/>
    <s v="Venta"/>
    <n v="56013.48"/>
    <n v="1467497"/>
    <n v="1173997.6000000001"/>
    <n v="237485.9199999999"/>
    <s v="Iván"/>
    <n v="4.5"/>
  </r>
  <r>
    <n v="178"/>
    <d v="2016-03-11T00:00:00"/>
    <x v="135"/>
    <x v="3"/>
    <s v="Departamento"/>
    <n v="114"/>
    <s v="Alquiler"/>
    <n v="19508"/>
    <n v="549785"/>
    <n v="439828"/>
    <n v="90449"/>
    <s v="Ángeles"/>
    <n v="3.7"/>
  </r>
  <r>
    <n v="179"/>
    <d v="2016-03-12T00:00:00"/>
    <x v="136"/>
    <x v="3"/>
    <s v="Estacionamiento"/>
    <n v="152"/>
    <s v="Venta"/>
    <n v="33050.120000000003"/>
    <n v="884813"/>
    <n v="707850.4"/>
    <n v="143912.47999999998"/>
    <s v="Iván"/>
    <n v="4.0999999999999996"/>
  </r>
  <r>
    <n v="180"/>
    <d v="2016-03-12T00:00:00"/>
    <x v="137"/>
    <x v="1"/>
    <s v="Estacionamiento"/>
    <n v="195"/>
    <s v="Venta"/>
    <n v="73899.12"/>
    <n v="1911413"/>
    <n v="1529130.4"/>
    <n v="308383.4800000001"/>
    <s v="Iván"/>
    <n v="3.6"/>
  </r>
  <r>
    <n v="181"/>
    <d v="2016-03-12T00:00:00"/>
    <x v="46"/>
    <x v="3"/>
    <s v="Casa"/>
    <n v="37"/>
    <s v="Alquiler"/>
    <n v="14011.36"/>
    <n v="404069"/>
    <n v="323255.2"/>
    <n v="66802.439999999988"/>
    <s v="Carlos"/>
    <n v="4.4000000000000004"/>
  </r>
  <r>
    <n v="182"/>
    <d v="2016-03-13T00:00:00"/>
    <x v="106"/>
    <x v="0"/>
    <s v="Terreno"/>
    <n v="155"/>
    <s v="Venta"/>
    <n v="52205.16"/>
    <n v="1359539"/>
    <n v="1087631.2"/>
    <n v="219702.64000000004"/>
    <s v="Carlos"/>
    <n v="4.5999999999999996"/>
  </r>
  <r>
    <n v="183"/>
    <d v="2016-03-14T00:00:00"/>
    <x v="138"/>
    <x v="1"/>
    <s v="Oficinas"/>
    <n v="228"/>
    <s v="Venta"/>
    <n v="56772.88"/>
    <n v="1483007"/>
    <n v="1186405.6000000001"/>
    <n v="239828.5199999999"/>
    <s v="Romina"/>
    <n v="5"/>
  </r>
  <r>
    <n v="184"/>
    <d v="2016-03-14T00:00:00"/>
    <x v="139"/>
    <x v="2"/>
    <s v="Estacionamiento"/>
    <n v="268"/>
    <s v="Venta"/>
    <n v="57182.68"/>
    <n v="1484477"/>
    <n v="1187581.6000000001"/>
    <n v="239712.71999999991"/>
    <s v="Arturo"/>
    <n v="5"/>
  </r>
  <r>
    <n v="185"/>
    <d v="2016-03-15T00:00:00"/>
    <x v="140"/>
    <x v="3"/>
    <s v="Casa"/>
    <n v="262"/>
    <s v="Venta"/>
    <n v="83708.2"/>
    <n v="2146415"/>
    <n v="1717132"/>
    <n v="345574.8"/>
    <s v="Ángeles"/>
    <n v="4.5"/>
  </r>
  <r>
    <n v="186"/>
    <d v="2016-03-16T00:00:00"/>
    <x v="86"/>
    <x v="2"/>
    <s v="Local Comercial"/>
    <n v="81"/>
    <s v="Venta"/>
    <n v="29990.720000000001"/>
    <n v="816353"/>
    <n v="653082.4"/>
    <n v="133279.87999999998"/>
    <s v="Iván"/>
    <n v="4.5999999999999996"/>
  </r>
  <r>
    <n v="187"/>
    <d v="2016-03-16T00:00:00"/>
    <x v="141"/>
    <x v="3"/>
    <s v="Casa"/>
    <n v="88"/>
    <s v="Venta"/>
    <n v="36053.199999999997"/>
    <n v="955515"/>
    <n v="764412"/>
    <n v="155049.79999999999"/>
    <s v="Ángeles"/>
    <n v="3.7"/>
  </r>
  <r>
    <n v="188"/>
    <d v="2016-03-16T00:00:00"/>
    <x v="142"/>
    <x v="2"/>
    <s v="Depósito"/>
    <n v="56"/>
    <s v="Alquiler"/>
    <n v="20284.560000000001"/>
    <n v="573749"/>
    <n v="458999.2"/>
    <n v="94465.239999999991"/>
    <s v="Romina"/>
    <n v="4"/>
  </r>
  <r>
    <n v="189"/>
    <d v="2016-03-17T00:00:00"/>
    <x v="143"/>
    <x v="0"/>
    <s v="Departamento"/>
    <n v="157"/>
    <s v="Venta"/>
    <n v="49724"/>
    <n v="1298085"/>
    <n v="1038468"/>
    <n v="209893"/>
    <s v="Iván"/>
    <n v="4.2"/>
  </r>
  <r>
    <n v="190"/>
    <d v="2016-03-17T00:00:00"/>
    <x v="143"/>
    <x v="0"/>
    <s v="Casa"/>
    <n v="92"/>
    <s v="Alquiler"/>
    <n v="16877.400000000001"/>
    <n v="484695"/>
    <n v="387756"/>
    <n v="80061.600000000006"/>
    <s v="Arturo"/>
    <n v="4.5"/>
  </r>
  <r>
    <n v="191"/>
    <d v="2016-03-18T00:00:00"/>
    <x v="126"/>
    <x v="1"/>
    <s v="Departamento"/>
    <n v="64"/>
    <s v="Alquiler"/>
    <n v="16313"/>
    <n v="467810"/>
    <n v="374248"/>
    <n v="77249"/>
    <s v="Romina"/>
    <n v="5"/>
  </r>
  <r>
    <n v="192"/>
    <d v="2016-03-18T00:00:00"/>
    <x v="144"/>
    <x v="2"/>
    <s v="Local Comercial"/>
    <n v="50"/>
    <s v="Alquiler"/>
    <n v="21216.639999999999"/>
    <n v="590101"/>
    <n v="472080.8"/>
    <n v="96803.560000000012"/>
    <s v="Arturo"/>
    <n v="4.4000000000000004"/>
  </r>
  <r>
    <n v="193"/>
    <d v="2016-03-18T00:00:00"/>
    <x v="145"/>
    <x v="0"/>
    <s v="Local Comercial"/>
    <n v="52"/>
    <s v="Alquiler"/>
    <n v="17442.04"/>
    <n v="490136"/>
    <n v="392108.79999999999"/>
    <n v="80585.16"/>
    <s v="Ángeles"/>
    <n v="4.4000000000000004"/>
  </r>
  <r>
    <n v="194"/>
    <d v="2016-03-19T00:00:00"/>
    <x v="76"/>
    <x v="1"/>
    <s v="Departamento"/>
    <n v="111"/>
    <s v="Venta"/>
    <n v="38886.800000000003"/>
    <n v="1023380"/>
    <n v="818704"/>
    <n v="165789.20000000001"/>
    <s v="Arturo"/>
    <n v="5"/>
  </r>
  <r>
    <n v="195"/>
    <d v="2016-03-19T00:00:00"/>
    <x v="146"/>
    <x v="2"/>
    <s v="Depósito"/>
    <n v="58"/>
    <s v="Alquiler"/>
    <n v="8896.08"/>
    <n v="287337"/>
    <n v="229869.6"/>
    <n v="48571.319999999992"/>
    <s v="Romina"/>
    <n v="4.9000000000000004"/>
  </r>
  <r>
    <n v="196"/>
    <d v="2016-03-20T00:00:00"/>
    <x v="147"/>
    <x v="1"/>
    <s v="Terreno"/>
    <n v="278"/>
    <s v="Venta"/>
    <n v="52863.68"/>
    <n v="1373202"/>
    <n v="1098561.6000000001"/>
    <n v="221776.71999999991"/>
    <s v="Romina"/>
    <n v="4.9000000000000004"/>
  </r>
  <r>
    <n v="197"/>
    <d v="2016-03-20T00:00:00"/>
    <x v="148"/>
    <x v="2"/>
    <s v="Oficinas"/>
    <n v="81"/>
    <s v="Alquiler"/>
    <n v="19989.52"/>
    <n v="556223"/>
    <n v="444978.4"/>
    <n v="91255.079999999973"/>
    <s v="Romina"/>
    <n v="4"/>
  </r>
  <r>
    <n v="198"/>
    <d v="2016-03-21T00:00:00"/>
    <x v="70"/>
    <x v="1"/>
    <s v="Estacionamiento"/>
    <n v="171"/>
    <s v="Alquiler"/>
    <n v="27653.279999999999"/>
    <n v="757367"/>
    <n v="605893.6"/>
    <n v="123820.12000000002"/>
    <s v="Arturo"/>
    <n v="4.8"/>
  </r>
  <r>
    <n v="199"/>
    <d v="2016-03-21T00:00:00"/>
    <x v="149"/>
    <x v="0"/>
    <s v="Casa"/>
    <n v="172"/>
    <s v="Venta"/>
    <n v="32520.720000000001"/>
    <n v="878828"/>
    <n v="703062.4"/>
    <n v="143244.87999999998"/>
    <s v="Ángeles"/>
    <n v="4.7"/>
  </r>
  <r>
    <n v="200"/>
    <d v="2016-03-22T00:00:00"/>
    <x v="51"/>
    <x v="2"/>
    <s v="Local Comercial"/>
    <n v="278"/>
    <s v="Venta"/>
    <n v="83143.72"/>
    <n v="2144828"/>
    <n v="1715862.4"/>
    <n v="345821.88000000012"/>
    <s v="Arturo"/>
    <n v="4.2"/>
  </r>
  <r>
    <n v="201"/>
    <d v="2016-03-22T00:00:00"/>
    <x v="150"/>
    <x v="1"/>
    <s v="Depósito"/>
    <n v="240"/>
    <s v="Venta"/>
    <n v="41292.400000000001"/>
    <n v="1087470"/>
    <n v="869976"/>
    <n v="176201.60000000001"/>
    <s v="Arturo"/>
    <n v="4.3"/>
  </r>
  <r>
    <n v="202"/>
    <d v="2016-03-22T00:00:00"/>
    <x v="151"/>
    <x v="2"/>
    <s v="Local Comercial"/>
    <n v="49"/>
    <s v="Alquiler"/>
    <n v="10953.88"/>
    <n v="334757"/>
    <n v="267805.59999999998"/>
    <n v="55997.520000000026"/>
    <s v="Ángeles"/>
    <n v="5"/>
  </r>
  <r>
    <n v="203"/>
    <d v="2016-03-22T00:00:00"/>
    <x v="152"/>
    <x v="1"/>
    <s v="Estacionamiento"/>
    <n v="164"/>
    <s v="Venta"/>
    <n v="35372.92"/>
    <n v="939283"/>
    <n v="751426.4"/>
    <n v="152483.68"/>
    <s v="Sabrina"/>
    <n v="4.3"/>
  </r>
  <r>
    <n v="204"/>
    <d v="2016-03-23T00:00:00"/>
    <x v="150"/>
    <x v="0"/>
    <s v="Terreno"/>
    <n v="100"/>
    <s v="Alquiler"/>
    <n v="26783.200000000001"/>
    <n v="728665"/>
    <n v="582932"/>
    <n v="118949.8"/>
    <s v="Sabrina"/>
    <n v="4"/>
  </r>
  <r>
    <n v="205"/>
    <d v="2016-03-23T00:00:00"/>
    <x v="109"/>
    <x v="2"/>
    <s v="Oficinas"/>
    <n v="269"/>
    <s v="Venta"/>
    <n v="78979.679999999993"/>
    <n v="2038877"/>
    <n v="1631101.6"/>
    <n v="328795.71999999991"/>
    <s v="Sabrina"/>
    <n v="4.3"/>
  </r>
  <r>
    <n v="206"/>
    <d v="2016-03-23T00:00:00"/>
    <x v="153"/>
    <x v="0"/>
    <s v="Local Comercial"/>
    <n v="246"/>
    <s v="Venta"/>
    <n v="89129"/>
    <n v="2289985"/>
    <n v="1831988"/>
    <n v="368868"/>
    <s v="Carlos"/>
    <n v="4.2"/>
  </r>
  <r>
    <n v="207"/>
    <d v="2016-03-23T00:00:00"/>
    <x v="19"/>
    <x v="2"/>
    <s v="Estacionamiento"/>
    <n v="127"/>
    <s v="Venta"/>
    <n v="52697.96"/>
    <n v="1374609"/>
    <n v="1099687.2"/>
    <n v="222223.84000000005"/>
    <s v="Sabrina"/>
    <n v="3.7"/>
  </r>
  <r>
    <n v="208"/>
    <d v="2016-03-23T00:00:00"/>
    <x v="83"/>
    <x v="2"/>
    <s v="Departamento"/>
    <n v="150"/>
    <s v="Venta"/>
    <n v="53758.2"/>
    <n v="1406165"/>
    <n v="1124932"/>
    <n v="227474.8"/>
    <s v="Arturo"/>
    <n v="4.4000000000000004"/>
  </r>
  <r>
    <n v="209"/>
    <d v="2016-03-24T00:00:00"/>
    <x v="154"/>
    <x v="0"/>
    <s v="Local Comercial"/>
    <n v="164"/>
    <s v="Venta"/>
    <n v="64956.92"/>
    <n v="1680433"/>
    <n v="1344346.4"/>
    <n v="271129.68000000011"/>
    <s v="Ángeles"/>
    <n v="3.6"/>
  </r>
  <r>
    <n v="210"/>
    <d v="2016-03-24T00:00:00"/>
    <x v="155"/>
    <x v="0"/>
    <s v="Depósito"/>
    <n v="199"/>
    <s v="Venta"/>
    <n v="50673.760000000002"/>
    <n v="1334079"/>
    <n v="1067263.2"/>
    <n v="216142.04000000004"/>
    <s v="Romina"/>
    <n v="4.4000000000000004"/>
  </r>
  <r>
    <n v="211"/>
    <d v="2016-03-25T00:00:00"/>
    <x v="46"/>
    <x v="1"/>
    <s v="Terreno"/>
    <n v="266"/>
    <s v="Venta"/>
    <n v="84361.84"/>
    <n v="2170731"/>
    <n v="1736584.8"/>
    <n v="349784.36"/>
    <s v="Romina"/>
    <n v="4.2"/>
  </r>
  <r>
    <n v="212"/>
    <d v="2016-03-25T00:00:00"/>
    <x v="143"/>
    <x v="0"/>
    <s v="Oficinas"/>
    <n v="57"/>
    <s v="Alquiler"/>
    <n v="18483.240000000002"/>
    <n v="528641"/>
    <n v="422912.8"/>
    <n v="87244.96"/>
    <s v="Romina"/>
    <n v="4.2"/>
  </r>
  <r>
    <n v="213"/>
    <d v="2016-03-26T00:00:00"/>
    <x v="113"/>
    <x v="1"/>
    <s v="Estacionamiento"/>
    <n v="218"/>
    <s v="Venta"/>
    <n v="76186.720000000001"/>
    <n v="1969003"/>
    <n v="1575202.4"/>
    <n v="317613.88000000012"/>
    <s v="Arturo"/>
    <n v="4"/>
  </r>
  <r>
    <n v="214"/>
    <d v="2016-03-26T00:00:00"/>
    <x v="156"/>
    <x v="1"/>
    <s v="Terreno"/>
    <n v="156"/>
    <s v="Venta"/>
    <n v="54527.44"/>
    <n v="1421496"/>
    <n v="1137196.8"/>
    <n v="229771.75999999995"/>
    <s v="Romina"/>
    <n v="4.5"/>
  </r>
  <r>
    <n v="215"/>
    <d v="2016-03-27T00:00:00"/>
    <x v="122"/>
    <x v="1"/>
    <s v="Depósito"/>
    <n v="211"/>
    <s v="Venta"/>
    <n v="47852.32"/>
    <n v="1255643"/>
    <n v="1004514.4"/>
    <n v="203276.27999999997"/>
    <s v="Arturo"/>
    <n v="4.3"/>
  </r>
  <r>
    <n v="216"/>
    <d v="2016-03-27T00:00:00"/>
    <x v="95"/>
    <x v="1"/>
    <s v="Terreno"/>
    <n v="258"/>
    <s v="Venta"/>
    <n v="58742.68"/>
    <n v="1531377"/>
    <n v="1225101.6000000001"/>
    <n v="247532.71999999991"/>
    <s v="Ángeles"/>
    <n v="4.0999999999999996"/>
  </r>
  <r>
    <n v="217"/>
    <d v="2016-03-28T00:00:00"/>
    <x v="157"/>
    <x v="3"/>
    <s v="Depósito"/>
    <n v="212"/>
    <s v="Venta"/>
    <n v="54946"/>
    <n v="1435085"/>
    <n v="1148068"/>
    <n v="232071"/>
    <s v="Sabrina"/>
    <n v="4.2"/>
  </r>
  <r>
    <n v="218"/>
    <d v="2016-03-29T00:00:00"/>
    <x v="34"/>
    <x v="0"/>
    <s v="Oficinas"/>
    <n v="60"/>
    <s v="Alquiler"/>
    <n v="17354.400000000001"/>
    <n v="497920"/>
    <n v="398336"/>
    <n v="82229.600000000006"/>
    <s v="Romina"/>
    <n v="4.5999999999999996"/>
  </r>
  <r>
    <n v="219"/>
    <d v="2016-03-29T00:00:00"/>
    <x v="158"/>
    <x v="0"/>
    <s v="Oficinas"/>
    <n v="43"/>
    <s v="Alquiler"/>
    <n v="12957.24"/>
    <n v="387741"/>
    <n v="310192.8"/>
    <n v="64590.960000000014"/>
    <s v="Sabrina"/>
    <n v="3.8"/>
  </r>
  <r>
    <n v="220"/>
    <d v="2016-03-30T00:00:00"/>
    <x v="159"/>
    <x v="2"/>
    <s v="Local Comercial"/>
    <n v="204"/>
    <s v="Venta"/>
    <n v="41001.32"/>
    <n v="1078768"/>
    <n v="863014.40000000002"/>
    <n v="174752.27999999997"/>
    <s v="Iván"/>
    <n v="4.3"/>
  </r>
  <r>
    <n v="221"/>
    <d v="2016-03-30T00:00:00"/>
    <x v="140"/>
    <x v="0"/>
    <s v="Departamento"/>
    <n v="49"/>
    <s v="Alquiler"/>
    <n v="18215"/>
    <n v="511085"/>
    <n v="408868"/>
    <n v="84002"/>
    <s v="Arturo"/>
    <n v="4.2"/>
  </r>
  <r>
    <n v="222"/>
    <d v="2016-03-30T00:00:00"/>
    <x v="120"/>
    <x v="1"/>
    <s v="Local Comercial"/>
    <n v="79"/>
    <s v="Alquiler"/>
    <n v="15896.4"/>
    <n v="457145"/>
    <n v="365716"/>
    <n v="75532.600000000006"/>
    <s v="Ángeles"/>
    <n v="3.6"/>
  </r>
  <r>
    <n v="223"/>
    <d v="2016-03-31T00:00:00"/>
    <x v="160"/>
    <x v="3"/>
    <s v="Estacionamiento"/>
    <n v="57"/>
    <s v="Alquiler"/>
    <n v="18892.96"/>
    <n v="526409"/>
    <n v="421127.2"/>
    <n v="86388.84"/>
    <s v="Sabrina"/>
    <n v="4.2"/>
  </r>
  <r>
    <n v="224"/>
    <d v="2016-03-31T00:00:00"/>
    <x v="161"/>
    <x v="2"/>
    <s v="Oficinas"/>
    <n v="185"/>
    <s v="Venta"/>
    <n v="40467"/>
    <n v="1068485"/>
    <n v="854788"/>
    <n v="173230"/>
    <s v="Sabrina"/>
    <n v="4.3"/>
  </r>
  <r>
    <n v="225"/>
    <d v="2016-04-01T00:00:00"/>
    <x v="162"/>
    <x v="0"/>
    <s v="Terreno"/>
    <n v="149"/>
    <s v="Venta"/>
    <n v="41786.800000000003"/>
    <n v="1105805"/>
    <n v="884644"/>
    <n v="179374.2"/>
    <s v="Iván"/>
    <n v="4.4000000000000004"/>
  </r>
  <r>
    <n v="226"/>
    <d v="2016-04-01T00:00:00"/>
    <x v="163"/>
    <x v="1"/>
    <s v="Terreno"/>
    <n v="177"/>
    <s v="Venta"/>
    <n v="44181.279999999999"/>
    <n v="1169617"/>
    <n v="935693.6"/>
    <n v="189742.12000000002"/>
    <s v="Carlos"/>
    <n v="4.4000000000000004"/>
  </r>
  <r>
    <n v="227"/>
    <d v="2016-04-01T00:00:00"/>
    <x v="160"/>
    <x v="1"/>
    <s v="Local Comercial"/>
    <n v="173"/>
    <s v="Venta"/>
    <n v="66100.600000000006"/>
    <n v="1707450"/>
    <n v="1365960"/>
    <n v="275389.40000000002"/>
    <s v="Sabrina"/>
    <n v="4"/>
  </r>
  <r>
    <n v="228"/>
    <d v="2016-04-01T00:00:00"/>
    <x v="164"/>
    <x v="0"/>
    <s v="Local Comercial"/>
    <n v="204"/>
    <s v="Venta"/>
    <n v="79750.759999999995"/>
    <n v="2047104"/>
    <n v="1637683.2"/>
    <n v="329670.04000000004"/>
    <s v="Iván"/>
    <n v="3.8"/>
  </r>
  <r>
    <n v="229"/>
    <d v="2016-04-01T00:00:00"/>
    <x v="165"/>
    <x v="0"/>
    <s v="Oficinas"/>
    <n v="114"/>
    <s v="Alquiler"/>
    <n v="28784.240000000002"/>
    <n v="775691"/>
    <n v="620552.80000000005"/>
    <n v="126353.95999999995"/>
    <s v="Romina"/>
    <n v="4.4000000000000004"/>
  </r>
  <r>
    <n v="230"/>
    <d v="2016-04-02T00:00:00"/>
    <x v="166"/>
    <x v="1"/>
    <s v="Departamento"/>
    <n v="182"/>
    <s v="Venta"/>
    <n v="54325.64"/>
    <n v="1418651"/>
    <n v="1134920.8"/>
    <n v="229404.55999999994"/>
    <s v="Arturo"/>
    <n v="4.9000000000000004"/>
  </r>
  <r>
    <n v="231"/>
    <d v="2016-04-03T00:00:00"/>
    <x v="167"/>
    <x v="2"/>
    <s v="Estacionamiento"/>
    <n v="140"/>
    <s v="Alquiler"/>
    <n v="26005.040000000001"/>
    <n v="702436"/>
    <n v="561948.80000000005"/>
    <n v="114482.15999999995"/>
    <s v="Arturo"/>
    <n v="5"/>
  </r>
  <r>
    <n v="232"/>
    <d v="2016-04-03T00:00:00"/>
    <x v="157"/>
    <x v="2"/>
    <s v="Local Comercial"/>
    <n v="208"/>
    <s v="Venta"/>
    <n v="58200.92"/>
    <n v="1516033"/>
    <n v="1212826.3999999999"/>
    <n v="245005.68000000011"/>
    <s v="Ángeles"/>
    <n v="4.2"/>
  </r>
  <r>
    <n v="233"/>
    <d v="2016-04-03T00:00:00"/>
    <x v="74"/>
    <x v="2"/>
    <s v="Estacionamiento"/>
    <n v="239"/>
    <s v="Venta"/>
    <n v="53278.92"/>
    <n v="1398833"/>
    <n v="1119066.3999999999"/>
    <n v="226487.68000000011"/>
    <s v="Carlos"/>
    <n v="5"/>
  </r>
  <r>
    <n v="234"/>
    <d v="2016-04-03T00:00:00"/>
    <x v="168"/>
    <x v="1"/>
    <s v="Terreno"/>
    <n v="226"/>
    <s v="Venta"/>
    <n v="67818"/>
    <n v="1759185"/>
    <n v="1407348"/>
    <n v="284019"/>
    <s v="Romina"/>
    <n v="5"/>
  </r>
  <r>
    <n v="235"/>
    <d v="2016-04-03T00:00:00"/>
    <x v="169"/>
    <x v="3"/>
    <s v="Terreno"/>
    <n v="120"/>
    <s v="Venta"/>
    <n v="32747.32"/>
    <n v="884843"/>
    <n v="707874.4"/>
    <n v="144221.27999999997"/>
    <s v="Arturo"/>
    <n v="4.5"/>
  </r>
  <r>
    <n v="236"/>
    <d v="2016-04-03T00:00:00"/>
    <x v="156"/>
    <x v="1"/>
    <s v="Depósito"/>
    <n v="223"/>
    <s v="Venta"/>
    <n v="83489.440000000002"/>
    <n v="2140771"/>
    <n v="1712616.8"/>
    <n v="344664.75999999995"/>
    <s v="Romina"/>
    <n v="4"/>
  </r>
  <r>
    <n v="237"/>
    <d v="2016-04-05T00:00:00"/>
    <x v="145"/>
    <x v="3"/>
    <s v="Casa"/>
    <n v="259"/>
    <s v="Venta"/>
    <n v="69196"/>
    <n v="1785335"/>
    <n v="1428268"/>
    <n v="287871"/>
    <s v="Arturo"/>
    <n v="5"/>
  </r>
  <r>
    <n v="238"/>
    <d v="2016-04-05T00:00:00"/>
    <x v="90"/>
    <x v="1"/>
    <s v="Estacionamiento"/>
    <n v="166"/>
    <s v="Venta"/>
    <n v="38803.800000000003"/>
    <n v="1032005"/>
    <n v="825604"/>
    <n v="167597.20000000001"/>
    <s v="Iván"/>
    <n v="4.8"/>
  </r>
  <r>
    <n v="239"/>
    <d v="2016-04-05T00:00:00"/>
    <x v="44"/>
    <x v="0"/>
    <s v="Depósito"/>
    <n v="262"/>
    <s v="Venta"/>
    <n v="92697.279999999999"/>
    <n v="2374517"/>
    <n v="1899613.6"/>
    <n v="382206.11999999988"/>
    <s v="Arturo"/>
    <n v="4.7"/>
  </r>
  <r>
    <n v="240"/>
    <d v="2016-04-06T00:00:00"/>
    <x v="170"/>
    <x v="0"/>
    <s v="Terreno"/>
    <n v="158"/>
    <s v="Venta"/>
    <n v="51263.64"/>
    <n v="1335201"/>
    <n v="1068160.8"/>
    <n v="215776.55999999994"/>
    <s v="Sabrina"/>
    <n v="4.7"/>
  </r>
  <r>
    <n v="241"/>
    <d v="2016-04-06T00:00:00"/>
    <x v="171"/>
    <x v="2"/>
    <s v="Depósito"/>
    <n v="256"/>
    <s v="Venta"/>
    <n v="80904.399999999994"/>
    <n v="2075145"/>
    <n v="1660116"/>
    <n v="334124.59999999998"/>
    <s v="Romina"/>
    <n v="4.5999999999999996"/>
  </r>
  <r>
    <n v="242"/>
    <d v="2016-04-07T00:00:00"/>
    <x v="128"/>
    <x v="3"/>
    <s v="Casa"/>
    <n v="63"/>
    <s v="Alquiler"/>
    <n v="25640.400000000001"/>
    <n v="693020"/>
    <n v="554416"/>
    <n v="112963.6"/>
    <s v="Iván"/>
    <n v="5"/>
  </r>
  <r>
    <n v="243"/>
    <d v="2016-04-07T00:00:00"/>
    <x v="172"/>
    <x v="3"/>
    <s v="Oficinas"/>
    <n v="294"/>
    <s v="Venta"/>
    <n v="73978.84"/>
    <n v="1907031"/>
    <n v="1525624.8"/>
    <n v="307427.36"/>
    <s v="Sabrina"/>
    <n v="3.6"/>
  </r>
  <r>
    <n v="244"/>
    <d v="2016-04-07T00:00:00"/>
    <x v="91"/>
    <x v="2"/>
    <s v="Oficinas"/>
    <n v="278"/>
    <s v="Venta"/>
    <n v="56228.04"/>
    <n v="1467561"/>
    <n v="1174048.8"/>
    <n v="237284.15999999995"/>
    <s v="Ángeles"/>
    <n v="4.5999999999999996"/>
  </r>
  <r>
    <n v="245"/>
    <d v="2016-04-08T00:00:00"/>
    <x v="28"/>
    <x v="0"/>
    <s v="Casa"/>
    <n v="233"/>
    <s v="Venta"/>
    <n v="46211.88"/>
    <n v="1213082"/>
    <n v="970465.6"/>
    <n v="196404.52000000002"/>
    <s v="Carlos"/>
    <n v="4.3"/>
  </r>
  <r>
    <n v="246"/>
    <d v="2016-04-09T00:00:00"/>
    <x v="173"/>
    <x v="2"/>
    <s v="Casa"/>
    <n v="284"/>
    <s v="Venta"/>
    <n v="76267.08"/>
    <n v="1972587"/>
    <n v="1578069.6"/>
    <n v="318250.31999999989"/>
    <s v="Iván"/>
    <n v="5"/>
  </r>
  <r>
    <n v="247"/>
    <d v="2016-04-09T00:00:00"/>
    <x v="174"/>
    <x v="1"/>
    <s v="Terreno"/>
    <n v="154"/>
    <s v="Venta"/>
    <n v="62586.080000000002"/>
    <n v="1619012"/>
    <n v="1295209.6000000001"/>
    <n v="261216.31999999989"/>
    <s v="Iván"/>
    <n v="4"/>
  </r>
  <r>
    <n v="248"/>
    <d v="2016-04-09T00:00:00"/>
    <x v="175"/>
    <x v="2"/>
    <s v="Depósito"/>
    <n v="131"/>
    <s v="Venta"/>
    <n v="33712.800000000003"/>
    <n v="909605"/>
    <n v="727684"/>
    <n v="148208.20000000001"/>
    <s v="Arturo"/>
    <n v="4.7"/>
  </r>
  <r>
    <n v="249"/>
    <d v="2016-04-09T00:00:00"/>
    <x v="97"/>
    <x v="1"/>
    <s v="Terreno"/>
    <n v="218"/>
    <s v="Venta"/>
    <n v="80057.039999999994"/>
    <n v="2062886"/>
    <n v="1650308.8"/>
    <n v="332520.15999999997"/>
    <s v="Carlos"/>
    <n v="5"/>
  </r>
  <r>
    <n v="250"/>
    <d v="2016-04-09T00:00:00"/>
    <x v="90"/>
    <x v="2"/>
    <s v="Oficinas"/>
    <n v="169"/>
    <s v="Alquiler"/>
    <n v="29269"/>
    <n v="783560"/>
    <n v="626848"/>
    <n v="127443"/>
    <s v="Arturo"/>
    <n v="4.7"/>
  </r>
  <r>
    <n v="251"/>
    <d v="2016-04-09T00:00:00"/>
    <x v="176"/>
    <x v="3"/>
    <s v="Depósito"/>
    <n v="118"/>
    <s v="Venta"/>
    <n v="44468.28"/>
    <n v="1167117"/>
    <n v="933693.6"/>
    <n v="188955.12000000002"/>
    <s v="Arturo"/>
    <n v="4.7"/>
  </r>
  <r>
    <n v="252"/>
    <d v="2016-04-09T00:00:00"/>
    <x v="65"/>
    <x v="3"/>
    <s v="Depósito"/>
    <n v="164"/>
    <s v="Venta"/>
    <n v="64193.599999999999"/>
    <n v="1658525"/>
    <n v="1326820"/>
    <n v="267511.40000000002"/>
    <s v="Ángeles"/>
    <n v="4.5999999999999996"/>
  </r>
  <r>
    <n v="253"/>
    <d v="2016-04-10T00:00:00"/>
    <x v="177"/>
    <x v="0"/>
    <s v="Terreno"/>
    <n v="99"/>
    <s v="Alquiler"/>
    <n v="21671.24"/>
    <n v="603691"/>
    <n v="482952.8"/>
    <n v="99066.96"/>
    <s v="Ángeles"/>
    <n v="4.3"/>
  </r>
  <r>
    <n v="254"/>
    <d v="2016-04-10T00:00:00"/>
    <x v="45"/>
    <x v="2"/>
    <s v="Terreno"/>
    <n v="62"/>
    <s v="Alquiler"/>
    <n v="14284.56"/>
    <n v="416174"/>
    <n v="332939.2"/>
    <n v="68950.239999999991"/>
    <s v="Arturo"/>
    <n v="3.8"/>
  </r>
  <r>
    <n v="255"/>
    <d v="2016-04-10T00:00:00"/>
    <x v="178"/>
    <x v="3"/>
    <s v="Local Comercial"/>
    <n v="43"/>
    <s v="Alquiler"/>
    <n v="16273.44"/>
    <n v="461021"/>
    <n v="368816.8"/>
    <n v="75930.760000000009"/>
    <s v="Arturo"/>
    <n v="4.4000000000000004"/>
  </r>
  <r>
    <n v="256"/>
    <d v="2016-04-10T00:00:00"/>
    <x v="74"/>
    <x v="3"/>
    <s v="Casa"/>
    <n v="233"/>
    <s v="Venta"/>
    <n v="63975.16"/>
    <n v="1656789"/>
    <n v="1325431.2"/>
    <n v="267382.64"/>
    <s v="Romina"/>
    <n v="4"/>
  </r>
  <r>
    <n v="257"/>
    <d v="2016-04-11T00:00:00"/>
    <x v="179"/>
    <x v="1"/>
    <s v="Terreno"/>
    <n v="256"/>
    <s v="Venta"/>
    <n v="48147.88"/>
    <n v="1257182"/>
    <n v="1005745.6"/>
    <n v="203288.52000000002"/>
    <s v="Romina"/>
    <n v="4.5"/>
  </r>
  <r>
    <n v="258"/>
    <d v="2016-04-11T00:00:00"/>
    <x v="121"/>
    <x v="3"/>
    <s v="Terreno"/>
    <n v="235"/>
    <s v="Venta"/>
    <n v="43189.919999999998"/>
    <n v="1136133"/>
    <n v="908906.4"/>
    <n v="184036.68"/>
    <s v="Ángeles"/>
    <n v="4.9000000000000004"/>
  </r>
  <r>
    <n v="259"/>
    <d v="2016-04-11T00:00:00"/>
    <x v="180"/>
    <x v="2"/>
    <s v="Estacionamiento"/>
    <n v="135"/>
    <s v="Venta"/>
    <n v="46707.48"/>
    <n v="1219697"/>
    <n v="975757.6"/>
    <n v="197231.92"/>
    <s v="Sabrina"/>
    <n v="5"/>
  </r>
  <r>
    <n v="260"/>
    <d v="2016-04-12T00:00:00"/>
    <x v="174"/>
    <x v="1"/>
    <s v="Terreno"/>
    <n v="253"/>
    <s v="Venta"/>
    <n v="68978.559999999998"/>
    <n v="1786499"/>
    <n v="1429199.2"/>
    <n v="288321.24000000005"/>
    <s v="Sabrina"/>
    <n v="4.5"/>
  </r>
  <r>
    <n v="261"/>
    <d v="2016-04-12T00:00:00"/>
    <x v="181"/>
    <x v="1"/>
    <s v="Terreno"/>
    <n v="196"/>
    <s v="Venta"/>
    <n v="43106.32"/>
    <n v="1143593"/>
    <n v="914874.4"/>
    <n v="185612.27999999997"/>
    <s v="Carlos"/>
    <n v="4.9000000000000004"/>
  </r>
  <r>
    <n v="262"/>
    <d v="2016-04-12T00:00:00"/>
    <x v="76"/>
    <x v="2"/>
    <s v="Departamento"/>
    <n v="175"/>
    <s v="Venta"/>
    <n v="57078.16"/>
    <n v="1486114"/>
    <n v="1188891.2"/>
    <n v="240144.64000000004"/>
    <s v="Sabrina"/>
    <n v="4.4000000000000004"/>
  </r>
  <r>
    <n v="263"/>
    <d v="2016-04-13T00:00:00"/>
    <x v="182"/>
    <x v="3"/>
    <s v="Oficinas"/>
    <n v="237"/>
    <s v="Venta"/>
    <n v="39442.519999999997"/>
    <n v="1043473"/>
    <n v="834778.4"/>
    <n v="169252.08"/>
    <s v="Ángeles"/>
    <n v="4.5"/>
  </r>
  <r>
    <n v="264"/>
    <d v="2016-04-14T00:00:00"/>
    <x v="183"/>
    <x v="0"/>
    <s v="Casa"/>
    <n v="253"/>
    <s v="Venta"/>
    <n v="69716.479999999996"/>
    <n v="1807397"/>
    <n v="1445917.6"/>
    <n v="291762.91999999993"/>
    <s v="Iván"/>
    <n v="4"/>
  </r>
  <r>
    <n v="265"/>
    <d v="2016-04-14T00:00:00"/>
    <x v="15"/>
    <x v="2"/>
    <s v="Casa"/>
    <n v="102"/>
    <s v="Venta"/>
    <n v="35880.199999999997"/>
    <n v="963740"/>
    <n v="770992"/>
    <n v="156867.79999999999"/>
    <s v="Sabrina"/>
    <n v="4.4000000000000004"/>
  </r>
  <r>
    <n v="266"/>
    <d v="2016-04-14T00:00:00"/>
    <x v="184"/>
    <x v="3"/>
    <s v="Casa"/>
    <n v="209"/>
    <s v="Venta"/>
    <n v="44217.68"/>
    <n v="1162277"/>
    <n v="929821.6"/>
    <n v="188237.72000000003"/>
    <s v="Iván"/>
    <n v="4.8"/>
  </r>
  <r>
    <n v="267"/>
    <d v="2016-04-14T00:00:00"/>
    <x v="83"/>
    <x v="0"/>
    <s v="Departamento"/>
    <n v="199"/>
    <s v="Venta"/>
    <n v="50679.64"/>
    <n v="1327601"/>
    <n v="1062080.8"/>
    <n v="214840.55999999994"/>
    <s v="Romina"/>
    <n v="4.3"/>
  </r>
  <r>
    <n v="268"/>
    <d v="2016-04-15T00:00:00"/>
    <x v="185"/>
    <x v="3"/>
    <s v="Oficinas"/>
    <n v="146"/>
    <s v="Venta"/>
    <n v="38041"/>
    <n v="1004735"/>
    <n v="803788"/>
    <n v="162906"/>
    <s v="Ángeles"/>
    <n v="4.4000000000000004"/>
  </r>
  <r>
    <n v="269"/>
    <d v="2016-04-15T00:00:00"/>
    <x v="134"/>
    <x v="3"/>
    <s v="Local Comercial"/>
    <n v="49"/>
    <s v="Alquiler"/>
    <n v="17219.52"/>
    <n v="483373"/>
    <n v="386698.4"/>
    <n v="79455.079999999973"/>
    <s v="Ángeles"/>
    <n v="4.7"/>
  </r>
  <r>
    <n v="270"/>
    <d v="2016-04-15T00:00:00"/>
    <x v="7"/>
    <x v="2"/>
    <s v="Oficinas"/>
    <n v="220"/>
    <s v="Venta"/>
    <n v="53099.24"/>
    <n v="1379391"/>
    <n v="1103512.8"/>
    <n v="222778.95999999996"/>
    <s v="Carlos"/>
    <n v="4"/>
  </r>
  <r>
    <n v="271"/>
    <d v="2016-04-15T00:00:00"/>
    <x v="44"/>
    <x v="3"/>
    <s v="Terreno"/>
    <n v="233"/>
    <s v="Venta"/>
    <n v="42665.24"/>
    <n v="1129766"/>
    <n v="903812.8"/>
    <n v="183287.95999999996"/>
    <s v="Iván"/>
    <n v="3.8"/>
  </r>
  <r>
    <n v="272"/>
    <d v="2016-04-15T00:00:00"/>
    <x v="123"/>
    <x v="2"/>
    <s v="Depósito"/>
    <n v="267"/>
    <s v="Venta"/>
    <n v="95272.4"/>
    <n v="2445695"/>
    <n v="1956556"/>
    <n v="393866.6"/>
    <s v="Romina"/>
    <n v="4.0999999999999996"/>
  </r>
  <r>
    <n v="273"/>
    <d v="2016-04-15T00:00:00"/>
    <x v="186"/>
    <x v="3"/>
    <s v="Terreno"/>
    <n v="115"/>
    <s v="Alquiler"/>
    <n v="28180.2"/>
    <n v="759365"/>
    <n v="607492"/>
    <n v="123692.8"/>
    <s v="Carlos"/>
    <n v="3.9"/>
  </r>
  <r>
    <n v="274"/>
    <d v="2016-04-15T00:00:00"/>
    <x v="187"/>
    <x v="3"/>
    <s v="Depósito"/>
    <n v="110"/>
    <s v="Venta"/>
    <n v="43113.2"/>
    <n v="1139365"/>
    <n v="911492"/>
    <n v="184759.8"/>
    <s v="Iván"/>
    <n v="4.8"/>
  </r>
  <r>
    <n v="275"/>
    <d v="2016-04-16T00:00:00"/>
    <x v="41"/>
    <x v="3"/>
    <s v="Departamento"/>
    <n v="189"/>
    <s v="Venta"/>
    <n v="42112.959999999999"/>
    <n v="1115934"/>
    <n v="892747.2"/>
    <n v="181073.84000000005"/>
    <s v="Arturo"/>
    <n v="4.5999999999999996"/>
  </r>
  <r>
    <n v="276"/>
    <d v="2016-04-17T00:00:00"/>
    <x v="75"/>
    <x v="0"/>
    <s v="Terreno"/>
    <n v="106"/>
    <s v="Venta"/>
    <n v="40527"/>
    <n v="1075985"/>
    <n v="860788"/>
    <n v="174670"/>
    <s v="Arturo"/>
    <n v="4.2"/>
  </r>
  <r>
    <n v="277"/>
    <d v="2016-04-17T00:00:00"/>
    <x v="188"/>
    <x v="3"/>
    <s v="Departamento"/>
    <n v="206"/>
    <s v="Venta"/>
    <n v="80651.44"/>
    <n v="2075071"/>
    <n v="1660056.8"/>
    <n v="334362.75999999995"/>
    <s v="Iván"/>
    <n v="5"/>
  </r>
  <r>
    <n v="278"/>
    <d v="2016-04-17T00:00:00"/>
    <x v="106"/>
    <x v="1"/>
    <s v="Oficinas"/>
    <n v="118"/>
    <s v="Venta"/>
    <n v="32910"/>
    <n v="890235"/>
    <n v="712188"/>
    <n v="145137"/>
    <s v="Romina"/>
    <n v="4.5"/>
  </r>
  <r>
    <n v="279"/>
    <d v="2016-04-18T00:00:00"/>
    <x v="180"/>
    <x v="1"/>
    <s v="Depósito"/>
    <n v="240"/>
    <s v="Venta"/>
    <n v="55905.24"/>
    <n v="1451441"/>
    <n v="1161152.8"/>
    <n v="234382.95999999996"/>
    <s v="Ángeles"/>
    <n v="4.5"/>
  </r>
  <r>
    <n v="280"/>
    <d v="2016-04-18T00:00:00"/>
    <x v="106"/>
    <x v="3"/>
    <s v="Oficinas"/>
    <n v="148"/>
    <s v="Venta"/>
    <n v="34629.160000000003"/>
    <n v="918289"/>
    <n v="734631.2"/>
    <n v="149028.64000000004"/>
    <s v="Arturo"/>
    <n v="4.8"/>
  </r>
  <r>
    <n v="281"/>
    <d v="2016-04-18T00:00:00"/>
    <x v="189"/>
    <x v="0"/>
    <s v="Departamento"/>
    <n v="253"/>
    <s v="Venta"/>
    <n v="42255.12"/>
    <n v="1117763"/>
    <n v="894210.4"/>
    <n v="181297.47999999998"/>
    <s v="Romina"/>
    <n v="4.3"/>
  </r>
  <r>
    <n v="282"/>
    <d v="2016-04-18T00:00:00"/>
    <x v="8"/>
    <x v="1"/>
    <s v="Terreno"/>
    <n v="282"/>
    <s v="Venta"/>
    <n v="100710.2"/>
    <n v="2570990"/>
    <n v="2056792"/>
    <n v="413487.8"/>
    <s v="Iván"/>
    <n v="4.9000000000000004"/>
  </r>
  <r>
    <n v="283"/>
    <d v="2016-04-18T00:00:00"/>
    <x v="73"/>
    <x v="3"/>
    <s v="Departamento"/>
    <n v="130"/>
    <s v="Venta"/>
    <n v="52706.92"/>
    <n v="1372783"/>
    <n v="1098226.3999999999"/>
    <n v="221849.68000000011"/>
    <s v="Arturo"/>
    <n v="4.5999999999999996"/>
  </r>
  <r>
    <n v="284"/>
    <d v="2016-04-19T00:00:00"/>
    <x v="190"/>
    <x v="3"/>
    <s v="Oficinas"/>
    <n v="256"/>
    <s v="Venta"/>
    <n v="95465.919999999998"/>
    <n v="2441383"/>
    <n v="1953106.4"/>
    <n v="392810.68000000011"/>
    <s v="Sabrina"/>
    <n v="3.6"/>
  </r>
  <r>
    <n v="285"/>
    <d v="2016-04-19T00:00:00"/>
    <x v="191"/>
    <x v="1"/>
    <s v="Local Comercial"/>
    <n v="140"/>
    <s v="Alquiler"/>
    <n v="27432.48"/>
    <n v="749197"/>
    <n v="599357.6"/>
    <n v="122406.92000000003"/>
    <s v="Iván"/>
    <n v="4.2"/>
  </r>
  <r>
    <n v="286"/>
    <d v="2016-04-19T00:00:00"/>
    <x v="192"/>
    <x v="1"/>
    <s v="Depósito"/>
    <n v="59"/>
    <s v="Alquiler"/>
    <n v="19808.8"/>
    <n v="560255"/>
    <n v="448204"/>
    <n v="92242.2"/>
    <s v="Iván"/>
    <n v="4.0999999999999996"/>
  </r>
  <r>
    <n v="287"/>
    <d v="2016-04-19T00:00:00"/>
    <x v="39"/>
    <x v="2"/>
    <s v="Estacionamiento"/>
    <n v="220"/>
    <s v="Venta"/>
    <n v="53345"/>
    <n v="1397285"/>
    <n v="1117828"/>
    <n v="226112"/>
    <s v="Iván"/>
    <n v="4.4000000000000004"/>
  </r>
  <r>
    <n v="288"/>
    <d v="2016-04-19T00:00:00"/>
    <x v="113"/>
    <x v="0"/>
    <s v="Local Comercial"/>
    <n v="173"/>
    <s v="Venta"/>
    <n v="35733.760000000002"/>
    <n v="960779"/>
    <n v="768623.2"/>
    <n v="156422.04000000004"/>
    <s v="Sabrina"/>
    <n v="4.9000000000000004"/>
  </r>
  <r>
    <n v="289"/>
    <d v="2016-04-20T00:00:00"/>
    <x v="193"/>
    <x v="2"/>
    <s v="Depósito"/>
    <n v="157"/>
    <s v="Venta"/>
    <n v="34682.36"/>
    <n v="931844"/>
    <n v="745475.2"/>
    <n v="151686.44000000006"/>
    <s v="Arturo"/>
    <n v="4.8"/>
  </r>
  <r>
    <n v="290"/>
    <d v="2016-04-20T00:00:00"/>
    <x v="194"/>
    <x v="3"/>
    <s v="Casa"/>
    <n v="223"/>
    <s v="Venta"/>
    <n v="56584.72"/>
    <n v="1474303"/>
    <n v="1179442.3999999999"/>
    <n v="238275.88000000009"/>
    <s v="Iván"/>
    <n v="3.9"/>
  </r>
  <r>
    <n v="291"/>
    <d v="2016-04-21T00:00:00"/>
    <x v="195"/>
    <x v="3"/>
    <s v="Casa"/>
    <n v="292"/>
    <s v="Venta"/>
    <n v="74018"/>
    <n v="1914160"/>
    <n v="1531328"/>
    <n v="308814"/>
    <s v="Arturo"/>
    <n v="4.7"/>
  </r>
  <r>
    <n v="292"/>
    <d v="2016-04-21T00:00:00"/>
    <x v="132"/>
    <x v="2"/>
    <s v="Terreno"/>
    <n v="51"/>
    <s v="Alquiler"/>
    <n v="9206.76"/>
    <n v="294929"/>
    <n v="235943.2"/>
    <n v="49779.039999999986"/>
    <s v="Arturo"/>
    <n v="4.2"/>
  </r>
  <r>
    <n v="293"/>
    <d v="2016-04-22T00:00:00"/>
    <x v="179"/>
    <x v="1"/>
    <s v="Estacionamiento"/>
    <n v="79"/>
    <s v="Alquiler"/>
    <n v="16184.72"/>
    <n v="466903"/>
    <n v="373522.4"/>
    <n v="77195.879999999976"/>
    <s v="Sabrina"/>
    <n v="4.7"/>
  </r>
  <r>
    <n v="294"/>
    <d v="2016-04-22T00:00:00"/>
    <x v="196"/>
    <x v="2"/>
    <s v="Terreno"/>
    <n v="82"/>
    <s v="Alquiler"/>
    <n v="22570.400000000001"/>
    <n v="626445"/>
    <n v="501156"/>
    <n v="102718.6"/>
    <s v="Romina"/>
    <n v="4.4000000000000004"/>
  </r>
  <r>
    <n v="295"/>
    <d v="2016-04-22T00:00:00"/>
    <x v="15"/>
    <x v="3"/>
    <s v="Depósito"/>
    <n v="127"/>
    <s v="Venta"/>
    <n v="30256.799999999999"/>
    <n v="823180"/>
    <n v="658544"/>
    <n v="134379.20000000001"/>
    <s v="Sabrina"/>
    <n v="4.8"/>
  </r>
  <r>
    <n v="296"/>
    <d v="2016-04-22T00:00:00"/>
    <x v="158"/>
    <x v="3"/>
    <s v="Departamento"/>
    <n v="232"/>
    <s v="Venta"/>
    <n v="69849.2"/>
    <n v="1810265"/>
    <n v="1448212"/>
    <n v="292203.8"/>
    <s v="Arturo"/>
    <n v="4.0999999999999996"/>
  </r>
  <r>
    <n v="297"/>
    <d v="2016-04-23T00:00:00"/>
    <x v="78"/>
    <x v="0"/>
    <s v="Oficinas"/>
    <n v="281"/>
    <s v="Venta"/>
    <n v="107234.44"/>
    <n v="2735621"/>
    <n v="2188496.7999999998"/>
    <n v="439889.76000000018"/>
    <s v="Arturo"/>
    <n v="4.5"/>
  </r>
  <r>
    <n v="298"/>
    <d v="2016-04-23T00:00:00"/>
    <x v="108"/>
    <x v="3"/>
    <s v="Departamento"/>
    <n v="101"/>
    <s v="Alquiler"/>
    <n v="23240.84"/>
    <n v="637081"/>
    <n v="509664.8"/>
    <n v="104175.36000000002"/>
    <s v="Sabrina"/>
    <n v="3.6"/>
  </r>
  <r>
    <n v="299"/>
    <d v="2016-04-23T00:00:00"/>
    <x v="197"/>
    <x v="2"/>
    <s v="Terreno"/>
    <n v="42"/>
    <s v="Alquiler"/>
    <n v="11188.8"/>
    <n v="343655"/>
    <n v="274924"/>
    <n v="57542.2"/>
    <s v="Carlos"/>
    <n v="4"/>
  </r>
  <r>
    <n v="300"/>
    <d v="2016-04-23T00:00:00"/>
    <x v="198"/>
    <x v="3"/>
    <s v="Terreno"/>
    <n v="79"/>
    <s v="Alquiler"/>
    <n v="26615.200000000001"/>
    <n v="719715"/>
    <n v="575772"/>
    <n v="117327.8"/>
    <s v="Romina"/>
    <n v="4.7"/>
  </r>
  <r>
    <n v="301"/>
    <d v="2016-04-24T00:00:00"/>
    <x v="118"/>
    <x v="2"/>
    <s v="Depósito"/>
    <n v="172"/>
    <s v="Venta"/>
    <n v="57277.04"/>
    <n v="1494661"/>
    <n v="1195728.8"/>
    <n v="241655.15999999995"/>
    <s v="Romina"/>
    <n v="4"/>
  </r>
  <r>
    <n v="302"/>
    <d v="2016-04-24T00:00:00"/>
    <x v="199"/>
    <x v="1"/>
    <s v="Casa"/>
    <n v="207"/>
    <s v="Venta"/>
    <n v="46078.76"/>
    <n v="1208379"/>
    <n v="966703.2"/>
    <n v="195597.04000000004"/>
    <s v="Arturo"/>
    <n v="3.6"/>
  </r>
  <r>
    <n v="303"/>
    <d v="2016-04-25T00:00:00"/>
    <x v="133"/>
    <x v="0"/>
    <s v="Casa"/>
    <n v="203"/>
    <s v="Venta"/>
    <n v="68116.84"/>
    <n v="1764706"/>
    <n v="1411764.8"/>
    <n v="284824.36"/>
    <s v="Romina"/>
    <n v="4.9000000000000004"/>
  </r>
  <r>
    <n v="304"/>
    <d v="2016-04-26T00:00:00"/>
    <x v="200"/>
    <x v="3"/>
    <s v="Oficinas"/>
    <n v="292"/>
    <s v="Venta"/>
    <n v="103592.64"/>
    <n v="2649051"/>
    <n v="2119240.7999999998"/>
    <n v="426217.56000000017"/>
    <s v="Arturo"/>
    <n v="3.8"/>
  </r>
  <r>
    <n v="305"/>
    <d v="2016-04-27T00:00:00"/>
    <x v="201"/>
    <x v="1"/>
    <s v="Local Comercial"/>
    <n v="245"/>
    <s v="Venta"/>
    <n v="45120.2"/>
    <n v="1186865"/>
    <n v="949492"/>
    <n v="192252.79999999999"/>
    <s v="Carlos"/>
    <n v="3.7"/>
  </r>
  <r>
    <n v="306"/>
    <d v="2016-04-27T00:00:00"/>
    <x v="202"/>
    <x v="1"/>
    <s v="Oficinas"/>
    <n v="137"/>
    <s v="Venta"/>
    <n v="41165.480000000003"/>
    <n v="1092397"/>
    <n v="873917.6"/>
    <n v="177313.92000000001"/>
    <s v="Iván"/>
    <n v="4.9000000000000004"/>
  </r>
  <r>
    <n v="307"/>
    <d v="2016-04-27T00:00:00"/>
    <x v="203"/>
    <x v="1"/>
    <s v="Departamento"/>
    <n v="193"/>
    <s v="Venta"/>
    <n v="65192.639999999999"/>
    <n v="1682101"/>
    <n v="1345680.8"/>
    <n v="271227.55999999994"/>
    <s v="Romina"/>
    <n v="5"/>
  </r>
  <r>
    <n v="308"/>
    <d v="2016-04-28T00:00:00"/>
    <x v="204"/>
    <x v="2"/>
    <s v="Departamento"/>
    <n v="221"/>
    <s v="Venta"/>
    <n v="59640.639999999999"/>
    <n v="1557701"/>
    <n v="1246160.8"/>
    <n v="251899.55999999994"/>
    <s v="Romina"/>
    <n v="3.8"/>
  </r>
  <r>
    <n v="309"/>
    <d v="2016-04-28T00:00:00"/>
    <x v="61"/>
    <x v="0"/>
    <s v="Terreno"/>
    <n v="232"/>
    <s v="Venta"/>
    <n v="69823.679999999993"/>
    <n v="1800002"/>
    <n v="1440001.6"/>
    <n v="290176.71999999991"/>
    <s v="Sabrina"/>
    <n v="3.8"/>
  </r>
  <r>
    <n v="310"/>
    <d v="2016-04-28T00:00:00"/>
    <x v="40"/>
    <x v="2"/>
    <s v="Oficinas"/>
    <n v="117"/>
    <s v="Venta"/>
    <n v="30612.68"/>
    <n v="829277"/>
    <n v="663421.6"/>
    <n v="135242.72000000003"/>
    <s v="Arturo"/>
    <n v="4.5999999999999996"/>
  </r>
  <r>
    <n v="311"/>
    <d v="2016-04-28T00:00:00"/>
    <x v="205"/>
    <x v="2"/>
    <s v="Terreno"/>
    <n v="58"/>
    <s v="Alquiler"/>
    <n v="23214"/>
    <n v="641910"/>
    <n v="513528"/>
    <n v="105168"/>
    <s v="Romina"/>
    <n v="4.7"/>
  </r>
  <r>
    <n v="312"/>
    <d v="2016-04-29T00:00:00"/>
    <x v="206"/>
    <x v="0"/>
    <s v="Departamento"/>
    <n v="186"/>
    <s v="Venta"/>
    <n v="62262.36"/>
    <n v="1615769"/>
    <n v="1292615.2"/>
    <n v="260891.44000000006"/>
    <s v="Sabrina"/>
    <n v="4.0999999999999996"/>
  </r>
  <r>
    <n v="313"/>
    <d v="2016-04-30T00:00:00"/>
    <x v="121"/>
    <x v="2"/>
    <s v="Depósito"/>
    <n v="87"/>
    <s v="Alquiler"/>
    <n v="15044.64"/>
    <n v="427876"/>
    <n v="342300.8"/>
    <n v="70530.560000000012"/>
    <s v="Sabrina"/>
    <n v="3.6"/>
  </r>
  <r>
    <n v="314"/>
    <d v="2016-04-30T00:00:00"/>
    <x v="207"/>
    <x v="2"/>
    <s v="Casa"/>
    <n v="226"/>
    <s v="Venta"/>
    <n v="54317"/>
    <n v="1423385"/>
    <n v="1138708"/>
    <n v="230360"/>
    <s v="Carlos"/>
    <n v="4.7"/>
  </r>
  <r>
    <n v="315"/>
    <d v="2016-05-01T00:00:00"/>
    <x v="186"/>
    <x v="2"/>
    <s v="Oficinas"/>
    <n v="244"/>
    <s v="Venta"/>
    <n v="96946.84"/>
    <n v="2476456"/>
    <n v="1981164.8"/>
    <n v="398344.36"/>
    <s v="Carlos"/>
    <n v="3.7"/>
  </r>
  <r>
    <n v="316"/>
    <d v="2016-05-02T00:00:00"/>
    <x v="208"/>
    <x v="0"/>
    <s v="Terreno"/>
    <n v="258"/>
    <s v="Venta"/>
    <n v="101872.44"/>
    <n v="2607596"/>
    <n v="2086076.8"/>
    <n v="419646.75999999995"/>
    <s v="Romina"/>
    <n v="4.9000000000000004"/>
  </r>
  <r>
    <n v="317"/>
    <d v="2016-05-02T00:00:00"/>
    <x v="156"/>
    <x v="0"/>
    <s v="Local Comercial"/>
    <n v="246"/>
    <s v="Venta"/>
    <n v="69014.679999999993"/>
    <n v="1791477"/>
    <n v="1433181.6"/>
    <n v="289280.71999999991"/>
    <s v="Iván"/>
    <n v="3.6"/>
  </r>
  <r>
    <n v="318"/>
    <d v="2016-05-02T00:00:00"/>
    <x v="75"/>
    <x v="3"/>
    <s v="Casa"/>
    <n v="39"/>
    <s v="Alquiler"/>
    <n v="16658.88"/>
    <n v="477257"/>
    <n v="381805.6"/>
    <n v="78792.520000000019"/>
    <s v="Iván"/>
    <n v="4.0999999999999996"/>
  </r>
  <r>
    <n v="319"/>
    <d v="2016-05-02T00:00:00"/>
    <x v="68"/>
    <x v="3"/>
    <s v="Local Comercial"/>
    <n v="118"/>
    <s v="Venta"/>
    <n v="37749.72"/>
    <n v="997853"/>
    <n v="798282.4"/>
    <n v="161820.87999999998"/>
    <s v="Sabrina"/>
    <n v="4.3"/>
  </r>
  <r>
    <n v="320"/>
    <d v="2016-05-02T00:00:00"/>
    <x v="29"/>
    <x v="0"/>
    <s v="Depósito"/>
    <n v="273"/>
    <s v="Venta"/>
    <n v="97060.36"/>
    <n v="2492644"/>
    <n v="1994115.2"/>
    <n v="401468.44000000006"/>
    <s v="Ángeles"/>
    <n v="4.9000000000000004"/>
  </r>
  <r>
    <n v="321"/>
    <d v="2016-05-03T00:00:00"/>
    <x v="209"/>
    <x v="0"/>
    <s v="Estacionamiento"/>
    <n v="187"/>
    <s v="Venta"/>
    <n v="38121.599999999999"/>
    <n v="1014225"/>
    <n v="811380"/>
    <n v="164723.4"/>
    <s v="Arturo"/>
    <n v="3.6"/>
  </r>
  <r>
    <n v="322"/>
    <d v="2016-05-03T00:00:00"/>
    <x v="150"/>
    <x v="3"/>
    <s v="Casa"/>
    <n v="35"/>
    <s v="Alquiler"/>
    <n v="9131.24"/>
    <n v="292391"/>
    <n v="233912.8"/>
    <n v="49346.960000000014"/>
    <s v="Ángeles"/>
    <n v="3.9"/>
  </r>
  <r>
    <n v="323"/>
    <d v="2016-05-03T00:00:00"/>
    <x v="65"/>
    <x v="2"/>
    <s v="Casa"/>
    <n v="232"/>
    <s v="Venta"/>
    <n v="62610.64"/>
    <n v="1628651"/>
    <n v="1302920.8"/>
    <n v="263119.55999999994"/>
    <s v="Ángeles"/>
    <n v="4.7"/>
  </r>
  <r>
    <n v="324"/>
    <d v="2016-05-04T00:00:00"/>
    <x v="34"/>
    <x v="3"/>
    <s v="Terreno"/>
    <n v="150"/>
    <s v="Venta"/>
    <n v="34262.400000000001"/>
    <n v="912545"/>
    <n v="730036"/>
    <n v="148246.6"/>
    <s v="Romina"/>
    <n v="3.6"/>
  </r>
  <r>
    <n v="325"/>
    <d v="2016-05-04T00:00:00"/>
    <x v="133"/>
    <x v="2"/>
    <s v="Estacionamiento"/>
    <n v="53"/>
    <s v="Alquiler"/>
    <n v="12299"/>
    <n v="368885"/>
    <n v="295108"/>
    <n v="61478"/>
    <s v="Carlos"/>
    <n v="4.8"/>
  </r>
  <r>
    <n v="326"/>
    <d v="2016-05-04T00:00:00"/>
    <x v="16"/>
    <x v="2"/>
    <s v="Depósito"/>
    <n v="176"/>
    <s v="Venta"/>
    <n v="47968.959999999999"/>
    <n v="1263709"/>
    <n v="1010967.2"/>
    <n v="204772.84000000005"/>
    <s v="Sabrina"/>
    <n v="3.9"/>
  </r>
  <r>
    <n v="327"/>
    <d v="2016-05-04T00:00:00"/>
    <x v="158"/>
    <x v="3"/>
    <s v="Terreno"/>
    <n v="176"/>
    <s v="Venta"/>
    <n v="40004.6"/>
    <n v="1058525"/>
    <n v="846820"/>
    <n v="171700.4"/>
    <s v="Iván"/>
    <n v="4.9000000000000004"/>
  </r>
  <r>
    <n v="328"/>
    <d v="2016-05-04T00:00:00"/>
    <x v="210"/>
    <x v="0"/>
    <s v="Estacionamiento"/>
    <n v="268"/>
    <s v="Venta"/>
    <n v="54076.72"/>
    <n v="1405853"/>
    <n v="1124682.3999999999"/>
    <n v="227093.88000000009"/>
    <s v="Iván"/>
    <n v="3.9"/>
  </r>
  <r>
    <n v="329"/>
    <d v="2016-05-04T00:00:00"/>
    <x v="211"/>
    <x v="3"/>
    <s v="Depósito"/>
    <n v="281"/>
    <s v="Venta"/>
    <n v="75709"/>
    <n v="1958810"/>
    <n v="1567048"/>
    <n v="316053"/>
    <s v="Ángeles"/>
    <n v="4.0999999999999996"/>
  </r>
  <r>
    <n v="330"/>
    <d v="2016-05-05T00:00:00"/>
    <x v="135"/>
    <x v="0"/>
    <s v="Departamento"/>
    <n v="122"/>
    <s v="Venta"/>
    <n v="46847"/>
    <n v="1225735"/>
    <n v="980588"/>
    <n v="198300"/>
    <s v="Arturo"/>
    <n v="3.8"/>
  </r>
  <r>
    <n v="331"/>
    <d v="2016-05-05T00:00:00"/>
    <x v="37"/>
    <x v="3"/>
    <s v="Terreno"/>
    <n v="201"/>
    <s v="Venta"/>
    <n v="38520.199999999997"/>
    <n v="1026840"/>
    <n v="821472"/>
    <n v="166847.79999999999"/>
    <s v="Sabrina"/>
    <n v="3.9"/>
  </r>
  <r>
    <n v="332"/>
    <d v="2016-05-06T00:00:00"/>
    <x v="172"/>
    <x v="2"/>
    <s v="Casa"/>
    <n v="135"/>
    <s v="Venta"/>
    <n v="34013.199999999997"/>
    <n v="914165"/>
    <n v="731332"/>
    <n v="148819.79999999999"/>
    <s v="Sabrina"/>
    <n v="4.4000000000000004"/>
  </r>
  <r>
    <n v="333"/>
    <d v="2016-05-06T00:00:00"/>
    <x v="106"/>
    <x v="1"/>
    <s v="Terreno"/>
    <n v="105"/>
    <s v="Venta"/>
    <n v="31403"/>
    <n v="839485"/>
    <n v="671588"/>
    <n v="136494"/>
    <s v="Iván"/>
    <n v="4.7"/>
  </r>
  <r>
    <n v="334"/>
    <d v="2016-05-07T00:00:00"/>
    <x v="176"/>
    <x v="1"/>
    <s v="Departamento"/>
    <n v="236"/>
    <s v="Venta"/>
    <n v="83781.64"/>
    <n v="2147451"/>
    <n v="1717960.8"/>
    <n v="345708.55999999994"/>
    <s v="Arturo"/>
    <n v="4.5"/>
  </r>
  <r>
    <n v="335"/>
    <d v="2016-05-07T00:00:00"/>
    <x v="212"/>
    <x v="0"/>
    <s v="Departamento"/>
    <n v="142"/>
    <s v="Alquiler"/>
    <n v="24269.8"/>
    <n v="671405"/>
    <n v="537124"/>
    <n v="110011.2"/>
    <s v="Carlos"/>
    <n v="3.6"/>
  </r>
  <r>
    <n v="336"/>
    <d v="2016-05-07T00:00:00"/>
    <x v="213"/>
    <x v="2"/>
    <s v="Oficinas"/>
    <n v="221"/>
    <s v="Venta"/>
    <n v="54704.44"/>
    <n v="1430946"/>
    <n v="1144756.8"/>
    <n v="231484.75999999995"/>
    <s v="Ángeles"/>
    <n v="4.5999999999999996"/>
  </r>
  <r>
    <n v="337"/>
    <d v="2016-05-08T00:00:00"/>
    <x v="214"/>
    <x v="0"/>
    <s v="Local Comercial"/>
    <n v="99"/>
    <s v="Alquiler"/>
    <n v="15480.4"/>
    <n v="450095"/>
    <n v="360076"/>
    <n v="74538.600000000006"/>
    <s v="Arturo"/>
    <n v="4.8"/>
  </r>
  <r>
    <n v="338"/>
    <d v="2016-05-08T00:00:00"/>
    <x v="213"/>
    <x v="0"/>
    <s v="Departamento"/>
    <n v="37"/>
    <s v="Alquiler"/>
    <n v="13541.44"/>
    <n v="398146"/>
    <n v="318516.8"/>
    <n v="66087.760000000009"/>
    <s v="Romina"/>
    <n v="4.0999999999999996"/>
  </r>
  <r>
    <n v="339"/>
    <d v="2016-05-09T00:00:00"/>
    <x v="68"/>
    <x v="1"/>
    <s v="Estacionamiento"/>
    <n v="68"/>
    <s v="Alquiler"/>
    <n v="26363"/>
    <n v="719660"/>
    <n v="575728"/>
    <n v="117569"/>
    <s v="Carlos"/>
    <n v="4.5"/>
  </r>
  <r>
    <n v="340"/>
    <d v="2016-05-10T00:00:00"/>
    <x v="23"/>
    <x v="3"/>
    <s v="Local Comercial"/>
    <n v="93"/>
    <s v="Venta"/>
    <n v="30447.32"/>
    <n v="820268"/>
    <n v="656214.4"/>
    <n v="133606.27999999997"/>
    <s v="Iván"/>
    <n v="4"/>
  </r>
  <r>
    <n v="341"/>
    <d v="2016-05-10T00:00:00"/>
    <x v="169"/>
    <x v="3"/>
    <s v="Terreno"/>
    <n v="225"/>
    <s v="Venta"/>
    <n v="79040.88"/>
    <n v="2027182"/>
    <n v="1621745.6"/>
    <n v="326395.5199999999"/>
    <s v="Arturo"/>
    <n v="4.2"/>
  </r>
  <r>
    <n v="342"/>
    <d v="2016-05-10T00:00:00"/>
    <x v="56"/>
    <x v="3"/>
    <s v="Estacionamiento"/>
    <n v="252"/>
    <s v="Venta"/>
    <n v="78608.12"/>
    <n v="2028713"/>
    <n v="1622970.4"/>
    <n v="327134.4800000001"/>
    <s v="Arturo"/>
    <n v="4"/>
  </r>
  <r>
    <n v="343"/>
    <d v="2016-05-10T00:00:00"/>
    <x v="164"/>
    <x v="1"/>
    <s v="Casa"/>
    <n v="172"/>
    <s v="Venta"/>
    <n v="46372"/>
    <n v="1214585"/>
    <n v="971668"/>
    <n v="196545"/>
    <s v="Sabrina"/>
    <n v="4.5999999999999996"/>
  </r>
  <r>
    <n v="344"/>
    <d v="2016-05-10T00:00:00"/>
    <x v="215"/>
    <x v="3"/>
    <s v="Oficinas"/>
    <n v="139"/>
    <s v="Venta"/>
    <n v="42505.64"/>
    <n v="1119951"/>
    <n v="895960.8"/>
    <n v="181484.55999999994"/>
    <s v="Iván"/>
    <n v="4.2"/>
  </r>
  <r>
    <n v="345"/>
    <d v="2016-05-11T00:00:00"/>
    <x v="216"/>
    <x v="1"/>
    <s v="Terreno"/>
    <n v="124"/>
    <s v="Venta"/>
    <n v="49856.800000000003"/>
    <n v="1299980"/>
    <n v="1039984"/>
    <n v="210139.2"/>
    <s v="Iván"/>
    <n v="4"/>
  </r>
  <r>
    <n v="346"/>
    <d v="2016-05-11T00:00:00"/>
    <x v="26"/>
    <x v="2"/>
    <s v="Local Comercial"/>
    <n v="197"/>
    <s v="Venta"/>
    <n v="51596.04"/>
    <n v="1357161"/>
    <n v="1085728.8"/>
    <n v="219836.15999999995"/>
    <s v="Arturo"/>
    <n v="4.2"/>
  </r>
  <r>
    <n v="347"/>
    <d v="2016-05-11T00:00:00"/>
    <x v="217"/>
    <x v="3"/>
    <s v="Oficinas"/>
    <n v="166"/>
    <s v="Venta"/>
    <n v="33024.080000000002"/>
    <n v="888337"/>
    <n v="710669.6"/>
    <n v="144643.32"/>
    <s v="Romina"/>
    <n v="3.8"/>
  </r>
  <r>
    <n v="348"/>
    <d v="2016-05-11T00:00:00"/>
    <x v="168"/>
    <x v="2"/>
    <s v="Oficinas"/>
    <n v="183"/>
    <s v="Venta"/>
    <n v="61246.559999999998"/>
    <n v="1597374"/>
    <n v="1277899.2"/>
    <n v="258228.24000000005"/>
    <s v="Carlos"/>
    <n v="3.7"/>
  </r>
  <r>
    <n v="349"/>
    <d v="2016-05-12T00:00:00"/>
    <x v="33"/>
    <x v="1"/>
    <s v="Terreno"/>
    <n v="230"/>
    <s v="Venta"/>
    <n v="55004.08"/>
    <n v="1435337"/>
    <n v="1148269.6000000001"/>
    <n v="232063.31999999989"/>
    <s v="Ángeles"/>
    <n v="4.7"/>
  </r>
  <r>
    <n v="350"/>
    <d v="2016-05-13T00:00:00"/>
    <x v="154"/>
    <x v="3"/>
    <s v="Terreno"/>
    <n v="100"/>
    <s v="Alquiler"/>
    <n v="26309.200000000001"/>
    <n v="717315"/>
    <n v="573852"/>
    <n v="117153.8"/>
    <s v="Ángeles"/>
    <n v="4.7"/>
  </r>
  <r>
    <n v="351"/>
    <d v="2016-05-13T00:00:00"/>
    <x v="218"/>
    <x v="2"/>
    <s v="Estacionamiento"/>
    <n v="70"/>
    <s v="Alquiler"/>
    <n v="15725"/>
    <n v="455210"/>
    <n v="364168"/>
    <n v="75317"/>
    <s v="Arturo"/>
    <n v="3.7"/>
  </r>
  <r>
    <n v="352"/>
    <d v="2016-05-14T00:00:00"/>
    <x v="82"/>
    <x v="0"/>
    <s v="Depósito"/>
    <n v="237"/>
    <s v="Venta"/>
    <n v="81355"/>
    <n v="2097035"/>
    <n v="1677628"/>
    <n v="338052"/>
    <s v="Sabrina"/>
    <n v="4.7"/>
  </r>
  <r>
    <n v="353"/>
    <d v="2016-05-14T00:00:00"/>
    <x v="70"/>
    <x v="3"/>
    <s v="Local Comercial"/>
    <n v="253"/>
    <s v="Venta"/>
    <n v="78112.399999999994"/>
    <n v="2016670"/>
    <n v="1613336"/>
    <n v="325221.59999999998"/>
    <s v="Romina"/>
    <n v="4.2"/>
  </r>
  <r>
    <n v="354"/>
    <d v="2016-05-14T00:00:00"/>
    <x v="219"/>
    <x v="2"/>
    <s v="Casa"/>
    <n v="117"/>
    <s v="Venta"/>
    <n v="34247.040000000001"/>
    <n v="921961"/>
    <n v="737568.8"/>
    <n v="150145.15999999995"/>
    <s v="Romina"/>
    <n v="4.5999999999999996"/>
  </r>
  <r>
    <n v="355"/>
    <d v="2016-05-14T00:00:00"/>
    <x v="65"/>
    <x v="2"/>
    <s v="Departamento"/>
    <n v="205"/>
    <s v="Venta"/>
    <n v="46466.44"/>
    <n v="1218171"/>
    <n v="974536.8"/>
    <n v="197167.75999999995"/>
    <s v="Romina"/>
    <n v="4.9000000000000004"/>
  </r>
  <r>
    <n v="356"/>
    <d v="2016-05-14T00:00:00"/>
    <x v="220"/>
    <x v="0"/>
    <s v="Local Comercial"/>
    <n v="150"/>
    <s v="Venta"/>
    <n v="32617.200000000001"/>
    <n v="867315"/>
    <n v="693852"/>
    <n v="140845.79999999999"/>
    <s v="Sabrina"/>
    <n v="3.8"/>
  </r>
  <r>
    <n v="357"/>
    <d v="2016-05-15T00:00:00"/>
    <x v="19"/>
    <x v="0"/>
    <s v="Terreno"/>
    <n v="193"/>
    <s v="Venta"/>
    <n v="67273.759999999995"/>
    <n v="1744429"/>
    <n v="1395543.2"/>
    <n v="281612.04000000004"/>
    <s v="Arturo"/>
    <n v="5"/>
  </r>
  <r>
    <n v="358"/>
    <d v="2016-05-15T00:00:00"/>
    <x v="12"/>
    <x v="2"/>
    <s v="Local Comercial"/>
    <n v="124"/>
    <s v="Venta"/>
    <n v="46564.92"/>
    <n v="1216533"/>
    <n v="973226.4"/>
    <n v="196741.68"/>
    <s v="Carlos"/>
    <n v="3.9"/>
  </r>
  <r>
    <n v="359"/>
    <d v="2016-05-15T00:00:00"/>
    <x v="196"/>
    <x v="3"/>
    <s v="Local Comercial"/>
    <n v="127"/>
    <s v="Venta"/>
    <n v="46107.199999999997"/>
    <n v="1213115"/>
    <n v="970492"/>
    <n v="196515.8"/>
    <s v="Iván"/>
    <n v="3.6"/>
  </r>
  <r>
    <n v="360"/>
    <d v="2016-05-16T00:00:00"/>
    <x v="221"/>
    <x v="0"/>
    <s v="Local Comercial"/>
    <n v="150"/>
    <s v="Venta"/>
    <n v="34876.800000000003"/>
    <n v="932705"/>
    <n v="746164"/>
    <n v="151664.20000000001"/>
    <s v="Sabrina"/>
    <n v="4.7"/>
  </r>
  <r>
    <n v="361"/>
    <d v="2016-05-17T00:00:00"/>
    <x v="149"/>
    <x v="3"/>
    <s v="Departamento"/>
    <n v="288"/>
    <s v="Venta"/>
    <n v="59438"/>
    <n v="1542410"/>
    <n v="1233928"/>
    <n v="249044"/>
    <s v="Sabrina"/>
    <n v="3.9"/>
  </r>
  <r>
    <n v="362"/>
    <d v="2016-05-18T00:00:00"/>
    <x v="35"/>
    <x v="0"/>
    <s v="Oficinas"/>
    <n v="134"/>
    <s v="Alquiler"/>
    <n v="28314.799999999999"/>
    <n v="768980"/>
    <n v="615184"/>
    <n v="125481.2"/>
    <s v="Sabrina"/>
    <n v="5"/>
  </r>
  <r>
    <n v="363"/>
    <d v="2016-05-18T00:00:00"/>
    <x v="219"/>
    <x v="3"/>
    <s v="Terreno"/>
    <n v="62"/>
    <s v="Alquiler"/>
    <n v="14252.96"/>
    <n v="415109"/>
    <n v="332087.2"/>
    <n v="68768.84"/>
    <s v="Romina"/>
    <n v="3.9"/>
  </r>
  <r>
    <n v="364"/>
    <d v="2016-05-18T00:00:00"/>
    <x v="175"/>
    <x v="2"/>
    <s v="Departamento"/>
    <n v="261"/>
    <s v="Venta"/>
    <n v="49428.44"/>
    <n v="1293521"/>
    <n v="1034816.8"/>
    <n v="209275.75999999995"/>
    <s v="Sabrina"/>
    <n v="4.0999999999999996"/>
  </r>
  <r>
    <n v="365"/>
    <d v="2016-05-18T00:00:00"/>
    <x v="222"/>
    <x v="2"/>
    <s v="Local Comercial"/>
    <n v="132"/>
    <s v="Alquiler"/>
    <n v="25963.200000000001"/>
    <n v="709840"/>
    <n v="567872"/>
    <n v="116004.8"/>
    <s v="Ángeles"/>
    <n v="4.2"/>
  </r>
  <r>
    <n v="366"/>
    <d v="2016-05-18T00:00:00"/>
    <x v="223"/>
    <x v="0"/>
    <s v="Estacionamiento"/>
    <n v="130"/>
    <s v="Venta"/>
    <n v="37526.68"/>
    <n v="997677"/>
    <n v="798141.6"/>
    <n v="162008.72000000003"/>
    <s v="Iván"/>
    <n v="4.4000000000000004"/>
  </r>
  <r>
    <n v="367"/>
    <d v="2016-05-18T00:00:00"/>
    <x v="224"/>
    <x v="2"/>
    <s v="Local Comercial"/>
    <n v="73"/>
    <s v="Alquiler"/>
    <n v="18942.8"/>
    <n v="537705"/>
    <n v="430164"/>
    <n v="88598.2"/>
    <s v="Iván"/>
    <n v="4.7"/>
  </r>
  <r>
    <n v="368"/>
    <d v="2016-05-18T00:00:00"/>
    <x v="225"/>
    <x v="3"/>
    <s v="Terreno"/>
    <n v="73"/>
    <s v="Alquiler"/>
    <n v="13481.8"/>
    <n v="390805"/>
    <n v="312644"/>
    <n v="64679.199999999997"/>
    <s v="Romina"/>
    <n v="4.3"/>
  </r>
  <r>
    <n v="369"/>
    <d v="2016-05-19T00:00:00"/>
    <x v="226"/>
    <x v="3"/>
    <s v="Local Comercial"/>
    <n v="142"/>
    <s v="Venta"/>
    <n v="48434.559999999998"/>
    <n v="1274824"/>
    <n v="1019859.2"/>
    <n v="206530.24000000005"/>
    <s v="Sabrina"/>
    <n v="4.5"/>
  </r>
  <r>
    <n v="370"/>
    <d v="2016-05-19T00:00:00"/>
    <x v="76"/>
    <x v="0"/>
    <s v="Local Comercial"/>
    <n v="278"/>
    <s v="Venta"/>
    <n v="54102"/>
    <n v="1414460"/>
    <n v="1131568"/>
    <n v="228790"/>
    <s v="Iván"/>
    <n v="4.5999999999999996"/>
  </r>
  <r>
    <n v="371"/>
    <d v="2016-05-20T00:00:00"/>
    <x v="37"/>
    <x v="1"/>
    <s v="Depósito"/>
    <n v="226"/>
    <s v="Venta"/>
    <n v="43440.2"/>
    <n v="1146465"/>
    <n v="917172"/>
    <n v="185852.79999999999"/>
    <s v="Sabrina"/>
    <n v="5"/>
  </r>
  <r>
    <n v="372"/>
    <d v="2016-05-20T00:00:00"/>
    <x v="227"/>
    <x v="2"/>
    <s v="Depósito"/>
    <n v="160"/>
    <s v="Venta"/>
    <n v="52081.16"/>
    <n v="1354014"/>
    <n v="1083211.2"/>
    <n v="218721.64000000004"/>
    <s v="Sabrina"/>
    <n v="4.7"/>
  </r>
  <r>
    <n v="373"/>
    <d v="2016-05-21T00:00:00"/>
    <x v="228"/>
    <x v="3"/>
    <s v="Estacionamiento"/>
    <n v="127"/>
    <s v="Venta"/>
    <n v="31792.44"/>
    <n v="859296"/>
    <n v="687436.80000000005"/>
    <n v="140066.75999999995"/>
    <s v="Arturo"/>
    <n v="4.3"/>
  </r>
  <r>
    <n v="374"/>
    <d v="2016-05-21T00:00:00"/>
    <x v="49"/>
    <x v="0"/>
    <s v="Local Comercial"/>
    <n v="162"/>
    <s v="Venta"/>
    <n v="34986.480000000003"/>
    <n v="931772"/>
    <n v="745417.6"/>
    <n v="151367.92000000001"/>
    <s v="Iván"/>
    <n v="3.6"/>
  </r>
  <r>
    <n v="375"/>
    <d v="2016-05-22T00:00:00"/>
    <x v="229"/>
    <x v="2"/>
    <s v="Estacionamiento"/>
    <n v="227"/>
    <s v="Venta"/>
    <n v="55065.2"/>
    <n v="1435115"/>
    <n v="1148092"/>
    <n v="231957.8"/>
    <s v="Ángeles"/>
    <n v="4.3"/>
  </r>
  <r>
    <n v="376"/>
    <d v="2016-05-23T00:00:00"/>
    <x v="68"/>
    <x v="0"/>
    <s v="Terreno"/>
    <n v="243"/>
    <s v="Venta"/>
    <n v="47764.12"/>
    <n v="1246538"/>
    <n v="997230.4"/>
    <n v="201543.47999999998"/>
    <s v="Iván"/>
    <n v="4.5"/>
  </r>
  <r>
    <n v="377"/>
    <d v="2016-05-24T00:00:00"/>
    <x v="197"/>
    <x v="3"/>
    <s v="Local Comercial"/>
    <n v="100"/>
    <s v="Alquiler"/>
    <n v="20016.400000000001"/>
    <n v="561695"/>
    <n v="449356"/>
    <n v="92322.6"/>
    <s v="Arturo"/>
    <n v="4.4000000000000004"/>
  </r>
  <r>
    <n v="378"/>
    <d v="2016-05-24T00:00:00"/>
    <x v="159"/>
    <x v="1"/>
    <s v="Oficinas"/>
    <n v="276"/>
    <s v="Venta"/>
    <n v="66026"/>
    <n v="1716485"/>
    <n v="1373188"/>
    <n v="277271"/>
    <s v="Ángeles"/>
    <n v="4.5"/>
  </r>
  <r>
    <n v="379"/>
    <d v="2016-05-24T00:00:00"/>
    <x v="62"/>
    <x v="2"/>
    <s v="Estacionamiento"/>
    <n v="101"/>
    <s v="Venta"/>
    <n v="31652.32"/>
    <n v="849293"/>
    <n v="679434.4"/>
    <n v="138206.27999999997"/>
    <s v="Iván"/>
    <n v="5"/>
  </r>
  <r>
    <n v="380"/>
    <d v="2016-05-25T00:00:00"/>
    <x v="194"/>
    <x v="3"/>
    <s v="Departamento"/>
    <n v="265"/>
    <s v="Venta"/>
    <n v="102736.16"/>
    <n v="2623189"/>
    <n v="2098551.2000000002"/>
    <n v="421901.63999999978"/>
    <s v="Romina"/>
    <n v="4.9000000000000004"/>
  </r>
  <r>
    <n v="381"/>
    <d v="2016-05-25T00:00:00"/>
    <x v="230"/>
    <x v="2"/>
    <s v="Departamento"/>
    <n v="119"/>
    <s v="Venta"/>
    <n v="30416.36"/>
    <n v="812369"/>
    <n v="649895.19999999995"/>
    <n v="132057.44000000006"/>
    <s v="Carlos"/>
    <n v="4.8"/>
  </r>
  <r>
    <n v="382"/>
    <d v="2016-05-26T00:00:00"/>
    <x v="218"/>
    <x v="1"/>
    <s v="Estacionamiento"/>
    <n v="258"/>
    <s v="Venta"/>
    <n v="102376.36"/>
    <n v="2618669"/>
    <n v="2094935.2"/>
    <n v="421357.44000000006"/>
    <s v="Sabrina"/>
    <n v="3.6"/>
  </r>
  <r>
    <n v="383"/>
    <d v="2016-05-26T00:00:00"/>
    <x v="8"/>
    <x v="3"/>
    <s v="Estacionamiento"/>
    <n v="293"/>
    <s v="Venta"/>
    <n v="52196.639999999999"/>
    <n v="1367651"/>
    <n v="1094120.8"/>
    <n v="221333.55999999994"/>
    <s v="Carlos"/>
    <n v="4.2"/>
  </r>
  <r>
    <n v="384"/>
    <d v="2016-05-26T00:00:00"/>
    <x v="190"/>
    <x v="2"/>
    <s v="Local Comercial"/>
    <n v="196"/>
    <s v="Venta"/>
    <n v="71805"/>
    <n v="1859885"/>
    <n v="1487908"/>
    <n v="300172"/>
    <s v="Carlos"/>
    <n v="4.3"/>
  </r>
  <r>
    <n v="385"/>
    <d v="2016-05-26T00:00:00"/>
    <x v="231"/>
    <x v="3"/>
    <s v="Estacionamiento"/>
    <n v="194"/>
    <s v="Venta"/>
    <n v="69054.2"/>
    <n v="1782890"/>
    <n v="1426312"/>
    <n v="287523.8"/>
    <s v="Sabrina"/>
    <n v="4"/>
  </r>
  <r>
    <n v="386"/>
    <d v="2016-05-26T00:00:00"/>
    <x v="129"/>
    <x v="2"/>
    <s v="Casa"/>
    <n v="179"/>
    <s v="Venta"/>
    <n v="32525.4"/>
    <n v="867245"/>
    <n v="693796"/>
    <n v="140923.6"/>
    <s v="Arturo"/>
    <n v="4.5"/>
  </r>
  <r>
    <n v="387"/>
    <d v="2016-05-27T00:00:00"/>
    <x v="68"/>
    <x v="2"/>
    <s v="Estacionamiento"/>
    <n v="112"/>
    <s v="Alquiler"/>
    <n v="18306.88"/>
    <n v="522957"/>
    <n v="418365.6"/>
    <n v="86284.520000000019"/>
    <s v="Carlos"/>
    <n v="4.9000000000000004"/>
  </r>
  <r>
    <n v="388"/>
    <d v="2016-05-28T00:00:00"/>
    <x v="121"/>
    <x v="2"/>
    <s v="Oficinas"/>
    <n v="132"/>
    <s v="Venta"/>
    <n v="32345.08"/>
    <n v="871637"/>
    <n v="697309.6"/>
    <n v="141982.32"/>
    <s v="Iván"/>
    <n v="4"/>
  </r>
  <r>
    <n v="389"/>
    <d v="2016-05-29T00:00:00"/>
    <x v="95"/>
    <x v="2"/>
    <s v="Oficinas"/>
    <n v="192"/>
    <s v="Venta"/>
    <n v="34280.36"/>
    <n v="919269"/>
    <n v="735415.2"/>
    <n v="149573.44000000006"/>
    <s v="Sabrina"/>
    <n v="3.8"/>
  </r>
  <r>
    <n v="390"/>
    <d v="2016-05-30T00:00:00"/>
    <x v="141"/>
    <x v="0"/>
    <s v="Local Comercial"/>
    <n v="61"/>
    <s v="Alquiler"/>
    <n v="14925"/>
    <n v="425835"/>
    <n v="340668"/>
    <n v="70242"/>
    <s v="Sabrina"/>
    <n v="4.9000000000000004"/>
  </r>
  <r>
    <n v="391"/>
    <d v="2016-05-30T00:00:00"/>
    <x v="232"/>
    <x v="0"/>
    <s v="Casa"/>
    <n v="294"/>
    <s v="Venta"/>
    <n v="58274"/>
    <n v="1519985"/>
    <n v="1215988"/>
    <n v="245723"/>
    <s v="Romina"/>
    <n v="4.7"/>
  </r>
  <r>
    <n v="392"/>
    <d v="2016-05-30T00:00:00"/>
    <x v="198"/>
    <x v="0"/>
    <s v="Casa"/>
    <n v="197"/>
    <s v="Venta"/>
    <n v="61631"/>
    <n v="1596935"/>
    <n v="1277548"/>
    <n v="257756"/>
    <s v="Iván"/>
    <n v="4.9000000000000004"/>
  </r>
  <r>
    <n v="393"/>
    <d v="2016-05-31T00:00:00"/>
    <x v="178"/>
    <x v="2"/>
    <s v="Depósito"/>
    <n v="218"/>
    <s v="Venta"/>
    <n v="45744"/>
    <n v="1200860"/>
    <n v="960688"/>
    <n v="194428"/>
    <s v="Arturo"/>
    <n v="3.7"/>
  </r>
  <r>
    <n v="394"/>
    <d v="2016-05-31T00:00:00"/>
    <x v="210"/>
    <x v="0"/>
    <s v="Local Comercial"/>
    <n v="198"/>
    <s v="Venta"/>
    <n v="37222.68"/>
    <n v="983277"/>
    <n v="786621.6"/>
    <n v="159432.72000000003"/>
    <s v="Ángeles"/>
    <n v="4.3"/>
  </r>
  <r>
    <n v="395"/>
    <d v="2016-05-31T00:00:00"/>
    <x v="233"/>
    <x v="2"/>
    <s v="Local Comercial"/>
    <n v="187"/>
    <s v="Venta"/>
    <n v="45761.84"/>
    <n v="1195781"/>
    <n v="956624.8"/>
    <n v="193394.35999999996"/>
    <s v="Romina"/>
    <n v="4.4000000000000004"/>
  </r>
  <r>
    <n v="396"/>
    <d v="2016-05-31T00:00:00"/>
    <x v="234"/>
    <x v="2"/>
    <s v="Depósito"/>
    <n v="293"/>
    <s v="Venta"/>
    <n v="62939.76"/>
    <n v="1639029"/>
    <n v="1311223.2"/>
    <n v="264866.04000000004"/>
    <s v="Iván"/>
    <n v="3.8"/>
  </r>
  <r>
    <n v="397"/>
    <d v="2016-06-01T00:00:00"/>
    <x v="223"/>
    <x v="3"/>
    <s v="Casa"/>
    <n v="173"/>
    <s v="Venta"/>
    <n v="36134.839999999997"/>
    <n v="969806"/>
    <n v="775844.8"/>
    <n v="157826.35999999996"/>
    <s v="Carlos"/>
    <n v="4.5"/>
  </r>
  <r>
    <n v="398"/>
    <d v="2016-06-01T00:00:00"/>
    <x v="2"/>
    <x v="3"/>
    <s v="Estacionamiento"/>
    <n v="66"/>
    <s v="Alquiler"/>
    <n v="15928.96"/>
    <n v="464309"/>
    <n v="371447.2"/>
    <n v="76932.84"/>
    <s v="Sabrina"/>
    <n v="5"/>
  </r>
  <r>
    <n v="399"/>
    <d v="2016-06-01T00:00:00"/>
    <x v="192"/>
    <x v="3"/>
    <s v="Local Comercial"/>
    <n v="60"/>
    <s v="Alquiler"/>
    <n v="18366.400000000001"/>
    <n v="520345"/>
    <n v="416276"/>
    <n v="85702.6"/>
    <s v="Arturo"/>
    <n v="4.7"/>
  </r>
  <r>
    <n v="400"/>
    <d v="2016-06-01T00:00:00"/>
    <x v="176"/>
    <x v="3"/>
    <s v="Local Comercial"/>
    <n v="204"/>
    <s v="Venta"/>
    <n v="48059.8"/>
    <n v="1261605"/>
    <n v="1009284"/>
    <n v="204261.2"/>
    <s v="Romina"/>
    <n v="5"/>
  </r>
  <r>
    <n v="401"/>
    <d v="2016-06-02T00:00:00"/>
    <x v="235"/>
    <x v="0"/>
    <s v="Casa"/>
    <n v="267"/>
    <s v="Venta"/>
    <n v="106160"/>
    <n v="2719385"/>
    <n v="2175508"/>
    <n v="437717"/>
    <s v="Arturo"/>
    <n v="3.9"/>
  </r>
  <r>
    <n v="402"/>
    <d v="2016-06-02T00:00:00"/>
    <x v="236"/>
    <x v="3"/>
    <s v="Depósito"/>
    <n v="273"/>
    <s v="Venta"/>
    <n v="86860.52"/>
    <n v="2224623"/>
    <n v="1779698.4"/>
    <n v="358064.08000000007"/>
    <s v="Ángeles"/>
    <n v="4.5999999999999996"/>
  </r>
  <r>
    <n v="403"/>
    <d v="2016-06-02T00:00:00"/>
    <x v="237"/>
    <x v="0"/>
    <s v="Oficinas"/>
    <n v="87"/>
    <s v="Venta"/>
    <n v="30152.6"/>
    <n v="806525"/>
    <n v="645220"/>
    <n v="131152.4"/>
    <s v="Iván"/>
    <n v="4.2"/>
  </r>
  <r>
    <n v="404"/>
    <d v="2016-06-03T00:00:00"/>
    <x v="199"/>
    <x v="2"/>
    <s v="Departamento"/>
    <n v="69"/>
    <s v="Alquiler"/>
    <n v="27341.040000000001"/>
    <n v="739061"/>
    <n v="591248.80000000005"/>
    <n v="120471.15999999995"/>
    <s v="Romina"/>
    <n v="4.7"/>
  </r>
  <r>
    <n v="405"/>
    <d v="2016-06-03T00:00:00"/>
    <x v="238"/>
    <x v="2"/>
    <s v="Estacionamiento"/>
    <n v="217"/>
    <s v="Venta"/>
    <n v="71527.679999999993"/>
    <n v="1841477"/>
    <n v="1473181.6"/>
    <n v="296767.71999999991"/>
    <s v="Iván"/>
    <n v="4.0999999999999996"/>
  </r>
  <r>
    <n v="406"/>
    <d v="2016-06-03T00:00:00"/>
    <x v="239"/>
    <x v="1"/>
    <s v="Oficinas"/>
    <n v="201"/>
    <s v="Venta"/>
    <n v="74193"/>
    <n v="1920185"/>
    <n v="1536148"/>
    <n v="309844"/>
    <s v="Romina"/>
    <n v="4.8"/>
  </r>
  <r>
    <n v="407"/>
    <d v="2016-06-03T00:00:00"/>
    <x v="43"/>
    <x v="2"/>
    <s v="Departamento"/>
    <n v="159"/>
    <s v="Venta"/>
    <n v="54154.2"/>
    <n v="1419965"/>
    <n v="1135972"/>
    <n v="229838.8"/>
    <s v="Ángeles"/>
    <n v="5"/>
  </r>
  <r>
    <n v="408"/>
    <d v="2016-06-04T00:00:00"/>
    <x v="176"/>
    <x v="3"/>
    <s v="Casa"/>
    <n v="70"/>
    <s v="Alquiler"/>
    <n v="28376.52"/>
    <n v="766273"/>
    <n v="613018.4"/>
    <n v="124878.07999999997"/>
    <s v="Arturo"/>
    <n v="4.3"/>
  </r>
  <r>
    <n v="409"/>
    <d v="2016-06-04T00:00:00"/>
    <x v="240"/>
    <x v="0"/>
    <s v="Depósito"/>
    <n v="288"/>
    <s v="Venta"/>
    <n v="68848.56"/>
    <n v="1786574"/>
    <n v="1429259.2"/>
    <n v="288466.24000000005"/>
    <s v="Sabrina"/>
    <n v="3.8"/>
  </r>
  <r>
    <n v="410"/>
    <d v="2016-06-04T00:00:00"/>
    <x v="241"/>
    <x v="3"/>
    <s v="Estacionamiento"/>
    <n v="42"/>
    <s v="Alquiler"/>
    <n v="16620.080000000002"/>
    <n v="471737"/>
    <n v="377389.6"/>
    <n v="77727.320000000022"/>
    <s v="Sabrina"/>
    <n v="4.2"/>
  </r>
  <r>
    <n v="411"/>
    <d v="2016-06-05T00:00:00"/>
    <x v="73"/>
    <x v="3"/>
    <s v="Terreno"/>
    <n v="87"/>
    <s v="Alquiler"/>
    <n v="29010.799999999999"/>
    <n v="779255"/>
    <n v="623404"/>
    <n v="126840.2"/>
    <s v="Sabrina"/>
    <n v="4.3"/>
  </r>
  <r>
    <n v="412"/>
    <d v="2016-06-05T00:00:00"/>
    <x v="115"/>
    <x v="0"/>
    <s v="Departamento"/>
    <n v="141"/>
    <s v="Venta"/>
    <n v="49807.08"/>
    <n v="1305437"/>
    <n v="1044349.6"/>
    <n v="211280.32"/>
    <s v="Ángeles"/>
    <n v="5"/>
  </r>
  <r>
    <n v="413"/>
    <d v="2016-06-05T00:00:00"/>
    <x v="242"/>
    <x v="0"/>
    <s v="Departamento"/>
    <n v="184"/>
    <s v="Venta"/>
    <n v="60208.92"/>
    <n v="1563983"/>
    <n v="1251186.3999999999"/>
    <n v="252587.68000000011"/>
    <s v="Sabrina"/>
    <n v="3.7"/>
  </r>
  <r>
    <n v="414"/>
    <d v="2016-06-06T00:00:00"/>
    <x v="40"/>
    <x v="3"/>
    <s v="Oficinas"/>
    <n v="49"/>
    <s v="Alquiler"/>
    <n v="16219.28"/>
    <n v="461917"/>
    <n v="369533.6"/>
    <n v="76164.120000000024"/>
    <s v="Sabrina"/>
    <n v="4.5999999999999996"/>
  </r>
  <r>
    <n v="415"/>
    <d v="2016-06-06T00:00:00"/>
    <x v="243"/>
    <x v="2"/>
    <s v="Local Comercial"/>
    <n v="42"/>
    <s v="Alquiler"/>
    <n v="14743.36"/>
    <n v="423069"/>
    <n v="338455.2"/>
    <n v="69870.439999999988"/>
    <s v="Romina"/>
    <n v="5"/>
  </r>
  <r>
    <n v="416"/>
    <d v="2016-06-07T00:00:00"/>
    <x v="195"/>
    <x v="1"/>
    <s v="Terreno"/>
    <n v="195"/>
    <s v="Venta"/>
    <n v="50818.28"/>
    <n v="1324292"/>
    <n v="1059433.6000000001"/>
    <n v="214040.11999999991"/>
    <s v="Romina"/>
    <n v="4.0999999999999996"/>
  </r>
  <r>
    <n v="417"/>
    <d v="2016-06-07T00:00:00"/>
    <x v="203"/>
    <x v="1"/>
    <s v="Oficinas"/>
    <n v="247"/>
    <s v="Venta"/>
    <n v="54120.24"/>
    <n v="1417991"/>
    <n v="1134392.8"/>
    <n v="229477.95999999996"/>
    <s v="Sabrina"/>
    <n v="4.9000000000000004"/>
  </r>
  <r>
    <n v="418"/>
    <d v="2016-06-07T00:00:00"/>
    <x v="96"/>
    <x v="3"/>
    <s v="Oficinas"/>
    <n v="281"/>
    <s v="Venta"/>
    <n v="96921.56"/>
    <n v="2489474"/>
    <n v="1991579.2"/>
    <n v="400973.24000000005"/>
    <s v="Carlos"/>
    <n v="3.8"/>
  </r>
  <r>
    <n v="419"/>
    <d v="2016-06-07T00:00:00"/>
    <x v="104"/>
    <x v="3"/>
    <s v="Departamento"/>
    <n v="169"/>
    <s v="Venta"/>
    <n v="37028.080000000002"/>
    <n v="988787"/>
    <n v="791029.6"/>
    <n v="160729.32"/>
    <s v="Sabrina"/>
    <n v="4.4000000000000004"/>
  </r>
  <r>
    <n v="420"/>
    <d v="2016-06-08T00:00:00"/>
    <x v="244"/>
    <x v="0"/>
    <s v="Local Comercial"/>
    <n v="107"/>
    <s v="Venta"/>
    <n v="39996.400000000001"/>
    <n v="1055645"/>
    <n v="844516"/>
    <n v="171132.6"/>
    <s v="Romina"/>
    <n v="4"/>
  </r>
  <r>
    <n v="421"/>
    <d v="2016-06-09T00:00:00"/>
    <x v="245"/>
    <x v="1"/>
    <s v="Casa"/>
    <n v="130"/>
    <s v="Venta"/>
    <n v="47647.4"/>
    <n v="1246220"/>
    <n v="996976"/>
    <n v="201596.6"/>
    <s v="Arturo"/>
    <n v="4.8"/>
  </r>
  <r>
    <n v="422"/>
    <d v="2016-06-09T00:00:00"/>
    <x v="150"/>
    <x v="1"/>
    <s v="Oficinas"/>
    <n v="119"/>
    <s v="Alquiler"/>
    <n v="24485.32"/>
    <n v="673793"/>
    <n v="539034.4"/>
    <n v="110273.27999999997"/>
    <s v="Iván"/>
    <n v="3.6"/>
  </r>
  <r>
    <n v="423"/>
    <d v="2016-06-09T00:00:00"/>
    <x v="43"/>
    <x v="3"/>
    <s v="Oficinas"/>
    <n v="255"/>
    <s v="Venta"/>
    <n v="42870.2"/>
    <n v="1126665"/>
    <n v="901332"/>
    <n v="182462.8"/>
    <s v="Sabrina"/>
    <n v="4.5999999999999996"/>
  </r>
  <r>
    <n v="424"/>
    <d v="2016-06-09T00:00:00"/>
    <x v="246"/>
    <x v="1"/>
    <s v="Departamento"/>
    <n v="255"/>
    <s v="Venta"/>
    <n v="77078.2"/>
    <n v="1982240"/>
    <n v="1585792"/>
    <n v="319369.8"/>
    <s v="Iván"/>
    <n v="4"/>
  </r>
  <r>
    <n v="425"/>
    <d v="2016-06-09T00:00:00"/>
    <x v="247"/>
    <x v="3"/>
    <s v="Oficinas"/>
    <n v="170"/>
    <s v="Venta"/>
    <n v="43668.12"/>
    <n v="1154238"/>
    <n v="923390.4"/>
    <n v="187179.47999999998"/>
    <s v="Ángeles"/>
    <n v="3.6"/>
  </r>
  <r>
    <n v="426"/>
    <d v="2016-06-09T00:00:00"/>
    <x v="248"/>
    <x v="2"/>
    <s v="Local Comercial"/>
    <n v="202"/>
    <s v="Venta"/>
    <n v="41039.360000000001"/>
    <n v="1079144"/>
    <n v="863315.2"/>
    <n v="174789.44000000006"/>
    <s v="Iván"/>
    <n v="4.9000000000000004"/>
  </r>
  <r>
    <n v="427"/>
    <d v="2016-06-10T00:00:00"/>
    <x v="249"/>
    <x v="3"/>
    <s v="Departamento"/>
    <n v="78"/>
    <s v="Alquiler"/>
    <n v="22528.48"/>
    <n v="619847"/>
    <n v="495877.6"/>
    <n v="101440.92000000003"/>
    <s v="Romina"/>
    <n v="4.2"/>
  </r>
  <r>
    <n v="428"/>
    <d v="2016-06-10T00:00:00"/>
    <x v="102"/>
    <x v="1"/>
    <s v="Oficinas"/>
    <n v="45"/>
    <s v="Alquiler"/>
    <n v="12924.56"/>
    <n v="374849"/>
    <n v="299879.2"/>
    <n v="62045.239999999991"/>
    <s v="Romina"/>
    <n v="3.8"/>
  </r>
  <r>
    <n v="429"/>
    <d v="2016-06-11T00:00:00"/>
    <x v="169"/>
    <x v="1"/>
    <s v="Depósito"/>
    <n v="266"/>
    <s v="Venta"/>
    <n v="86396.72"/>
    <n v="2226978"/>
    <n v="1781582.4"/>
    <n v="358998.88000000012"/>
    <s v="Iván"/>
    <n v="3.6"/>
  </r>
  <r>
    <n v="430"/>
    <d v="2016-06-11T00:00:00"/>
    <x v="45"/>
    <x v="0"/>
    <s v="Oficinas"/>
    <n v="243"/>
    <s v="Venta"/>
    <n v="54511"/>
    <n v="1424660"/>
    <n v="1139728"/>
    <n v="230421"/>
    <s v="Sabrina"/>
    <n v="5"/>
  </r>
  <r>
    <n v="431"/>
    <d v="2016-06-11T00:00:00"/>
    <x v="119"/>
    <x v="0"/>
    <s v="Terreno"/>
    <n v="150"/>
    <s v="Venta"/>
    <n v="43567.64"/>
    <n v="1152926"/>
    <n v="922340.8"/>
    <n v="187017.55999999994"/>
    <s v="Iván"/>
    <n v="3.7"/>
  </r>
  <r>
    <n v="432"/>
    <d v="2016-06-12T00:00:00"/>
    <x v="216"/>
    <x v="0"/>
    <s v="Departamento"/>
    <n v="201"/>
    <s v="Venta"/>
    <n v="78368"/>
    <n v="2016785"/>
    <n v="1613428"/>
    <n v="324989"/>
    <s v="Carlos"/>
    <n v="5"/>
  </r>
  <r>
    <n v="433"/>
    <d v="2016-06-13T00:00:00"/>
    <x v="250"/>
    <x v="3"/>
    <s v="Local Comercial"/>
    <n v="141"/>
    <s v="Venta"/>
    <n v="33081.199999999997"/>
    <n v="888965"/>
    <n v="711172"/>
    <n v="144711.79999999999"/>
    <s v="Romina"/>
    <n v="4.7"/>
  </r>
  <r>
    <n v="434"/>
    <d v="2016-06-13T00:00:00"/>
    <x v="162"/>
    <x v="0"/>
    <s v="Depósito"/>
    <n v="242"/>
    <s v="Venta"/>
    <n v="74860.12"/>
    <n v="1935113"/>
    <n v="1548090.4"/>
    <n v="312162.4800000001"/>
    <s v="Carlos"/>
    <n v="4.2"/>
  </r>
  <r>
    <n v="435"/>
    <d v="2016-06-13T00:00:00"/>
    <x v="220"/>
    <x v="0"/>
    <s v="Terreno"/>
    <n v="230"/>
    <s v="Venta"/>
    <n v="60693.120000000003"/>
    <n v="1578013"/>
    <n v="1262410.3999999999"/>
    <n v="254909.4800000001"/>
    <s v="Iván"/>
    <n v="3.7"/>
  </r>
  <r>
    <n v="436"/>
    <d v="2016-06-13T00:00:00"/>
    <x v="41"/>
    <x v="1"/>
    <s v="Local Comercial"/>
    <n v="100"/>
    <s v="Venta"/>
    <n v="30550.799999999999"/>
    <n v="819680"/>
    <n v="655744"/>
    <n v="133385.20000000001"/>
    <s v="Romina"/>
    <n v="4.7"/>
  </r>
  <r>
    <n v="437"/>
    <d v="2016-06-14T00:00:00"/>
    <x v="227"/>
    <x v="0"/>
    <s v="Departamento"/>
    <n v="104"/>
    <s v="Venta"/>
    <n v="35173.839999999997"/>
    <n v="946306"/>
    <n v="757044.8"/>
    <n v="154087.35999999996"/>
    <s v="Sabrina"/>
    <n v="3.7"/>
  </r>
  <r>
    <n v="438"/>
    <d v="2016-06-14T00:00:00"/>
    <x v="175"/>
    <x v="2"/>
    <s v="Depósito"/>
    <n v="151"/>
    <s v="Venta"/>
    <n v="61084.76"/>
    <n v="1579829"/>
    <n v="1263863.2"/>
    <n v="254881.04000000004"/>
    <s v="Sabrina"/>
    <n v="4.9000000000000004"/>
  </r>
  <r>
    <n v="439"/>
    <d v="2016-06-15T00:00:00"/>
    <x v="86"/>
    <x v="0"/>
    <s v="Local Comercial"/>
    <n v="293"/>
    <s v="Venta"/>
    <n v="100085.32"/>
    <n v="2560843"/>
    <n v="2048674.4"/>
    <n v="412083.28000000009"/>
    <s v="Sabrina"/>
    <n v="5"/>
  </r>
  <r>
    <n v="440"/>
    <d v="2016-06-15T00:00:00"/>
    <x v="215"/>
    <x v="0"/>
    <s v="Casa"/>
    <n v="110"/>
    <s v="Venta"/>
    <n v="42219.6"/>
    <n v="1114150"/>
    <n v="891320"/>
    <n v="180610.4"/>
    <s v="Iván"/>
    <n v="4.8"/>
  </r>
  <r>
    <n v="441"/>
    <d v="2016-06-16T00:00:00"/>
    <x v="150"/>
    <x v="1"/>
    <s v="Departamento"/>
    <n v="95"/>
    <s v="Venta"/>
    <n v="30763.08"/>
    <n v="827087"/>
    <n v="661669.6"/>
    <n v="134654.32"/>
    <s v="Romina"/>
    <n v="4.7"/>
  </r>
  <r>
    <n v="442"/>
    <d v="2016-06-16T00:00:00"/>
    <x v="180"/>
    <x v="3"/>
    <s v="Terreno"/>
    <n v="205"/>
    <s v="Venta"/>
    <n v="34190.519999999997"/>
    <n v="908548"/>
    <n v="726838.4"/>
    <n v="147519.07999999999"/>
    <s v="Arturo"/>
    <n v="4.3"/>
  </r>
  <r>
    <n v="443"/>
    <d v="2016-06-17T00:00:00"/>
    <x v="115"/>
    <x v="1"/>
    <s v="Depósito"/>
    <n v="240"/>
    <s v="Venta"/>
    <n v="39439.800000000003"/>
    <n v="1037555"/>
    <n v="830044"/>
    <n v="168071.2"/>
    <s v="Iván"/>
    <n v="4.0999999999999996"/>
  </r>
  <r>
    <n v="444"/>
    <d v="2016-06-17T00:00:00"/>
    <x v="251"/>
    <x v="2"/>
    <s v="Departamento"/>
    <n v="95"/>
    <s v="Venta"/>
    <n v="39272.480000000003"/>
    <n v="1041797"/>
    <n v="833437.6"/>
    <n v="169086.92"/>
    <s v="Sabrina"/>
    <n v="4.8"/>
  </r>
  <r>
    <n v="445"/>
    <d v="2016-06-17T00:00:00"/>
    <x v="100"/>
    <x v="3"/>
    <s v="Oficinas"/>
    <n v="38"/>
    <s v="Alquiler"/>
    <n v="6681.24"/>
    <n v="225641"/>
    <n v="180512.8"/>
    <n v="38446.960000000014"/>
    <s v="Iván"/>
    <n v="4.5"/>
  </r>
  <r>
    <n v="446"/>
    <d v="2016-06-17T00:00:00"/>
    <x v="196"/>
    <x v="0"/>
    <s v="Casa"/>
    <n v="53"/>
    <s v="Alquiler"/>
    <n v="16052.12"/>
    <n v="455663"/>
    <n v="364530.4"/>
    <n v="75080.479999999981"/>
    <s v="Iván"/>
    <n v="4.2"/>
  </r>
  <r>
    <n v="447"/>
    <d v="2016-06-17T00:00:00"/>
    <x v="192"/>
    <x v="2"/>
    <s v="Casa"/>
    <n v="256"/>
    <s v="Venta"/>
    <n v="70313.320000000007"/>
    <n v="1815943"/>
    <n v="1452754.4"/>
    <n v="292875.28000000009"/>
    <s v="Arturo"/>
    <n v="4.4000000000000004"/>
  </r>
  <r>
    <n v="448"/>
    <d v="2016-06-17T00:00:00"/>
    <x v="120"/>
    <x v="1"/>
    <s v="Casa"/>
    <n v="228"/>
    <s v="Venta"/>
    <n v="45168.800000000003"/>
    <n v="1195955"/>
    <n v="956764"/>
    <n v="194022.2"/>
    <s v="Arturo"/>
    <n v="4.0999999999999996"/>
  </r>
  <r>
    <n v="449"/>
    <d v="2016-06-17T00:00:00"/>
    <x v="173"/>
    <x v="3"/>
    <s v="Estacionamiento"/>
    <n v="112"/>
    <s v="Venta"/>
    <n v="30377.919999999998"/>
    <n v="825433"/>
    <n v="660346.4"/>
    <n v="134708.68"/>
    <s v="Arturo"/>
    <n v="5"/>
  </r>
  <r>
    <n v="450"/>
    <d v="2016-06-18T00:00:00"/>
    <x v="252"/>
    <x v="1"/>
    <s v="Departamento"/>
    <n v="242"/>
    <s v="Venta"/>
    <n v="65796.759999999995"/>
    <n v="1711229"/>
    <n v="1368983.2"/>
    <n v="276449.04000000004"/>
    <s v="Sabrina"/>
    <n v="4.3"/>
  </r>
  <r>
    <n v="451"/>
    <d v="2016-06-18T00:00:00"/>
    <x v="253"/>
    <x v="0"/>
    <s v="Departamento"/>
    <n v="47"/>
    <s v="Alquiler"/>
    <n v="15636.92"/>
    <n v="443483"/>
    <n v="354786.4"/>
    <n v="73059.679999999978"/>
    <s v="Carlos"/>
    <n v="3.8"/>
  </r>
  <r>
    <n v="452"/>
    <d v="2016-06-19T00:00:00"/>
    <x v="49"/>
    <x v="2"/>
    <s v="Local Comercial"/>
    <n v="209"/>
    <s v="Venta"/>
    <n v="83110.8"/>
    <n v="2134455"/>
    <n v="1707564"/>
    <n v="343780.2"/>
    <s v="Arturo"/>
    <n v="4.7"/>
  </r>
  <r>
    <n v="453"/>
    <d v="2016-06-19T00:00:00"/>
    <x v="173"/>
    <x v="0"/>
    <s v="Terreno"/>
    <n v="179"/>
    <s v="Venta"/>
    <n v="63454"/>
    <n v="1653385"/>
    <n v="1322708"/>
    <n v="267223"/>
    <s v="Iván"/>
    <n v="3.7"/>
  </r>
  <r>
    <n v="454"/>
    <d v="2016-06-19T00:00:00"/>
    <x v="9"/>
    <x v="3"/>
    <s v="Oficinas"/>
    <n v="69"/>
    <s v="Alquiler"/>
    <n v="17129.72"/>
    <n v="495053"/>
    <n v="396042.4"/>
    <n v="81880.879999999976"/>
    <s v="Sabrina"/>
    <n v="4.9000000000000004"/>
  </r>
  <r>
    <n v="455"/>
    <d v="2016-06-20T00:00:00"/>
    <x v="44"/>
    <x v="3"/>
    <s v="Oficinas"/>
    <n v="237"/>
    <s v="Venta"/>
    <n v="96587.48"/>
    <n v="2475997"/>
    <n v="1980797.6"/>
    <n v="398611.91999999993"/>
    <s v="Romina"/>
    <n v="3.6"/>
  </r>
  <r>
    <n v="456"/>
    <d v="2016-06-20T00:00:00"/>
    <x v="34"/>
    <x v="1"/>
    <s v="Estacionamiento"/>
    <n v="192"/>
    <s v="Venta"/>
    <n v="70989.8"/>
    <n v="1833605"/>
    <n v="1466884"/>
    <n v="295731.20000000001"/>
    <s v="Ángeles"/>
    <n v="3.9"/>
  </r>
  <r>
    <n v="457"/>
    <d v="2016-06-20T00:00:00"/>
    <x v="254"/>
    <x v="2"/>
    <s v="Local Comercial"/>
    <n v="100"/>
    <s v="Alquiler"/>
    <n v="19858.2"/>
    <n v="548165"/>
    <n v="438532"/>
    <n v="89774.8"/>
    <s v="Sabrina"/>
    <n v="3.7"/>
  </r>
  <r>
    <n v="458"/>
    <d v="2016-06-20T00:00:00"/>
    <x v="255"/>
    <x v="0"/>
    <s v="Departamento"/>
    <n v="65"/>
    <s v="Alquiler"/>
    <n v="22366.2"/>
    <n v="624365"/>
    <n v="499492"/>
    <n v="102506.8"/>
    <s v="Iván"/>
    <n v="3.8"/>
  </r>
  <r>
    <n v="459"/>
    <d v="2016-06-21T00:00:00"/>
    <x v="157"/>
    <x v="0"/>
    <s v="Oficinas"/>
    <n v="101"/>
    <s v="Alquiler"/>
    <n v="22842.04"/>
    <n v="626911"/>
    <n v="501528.8"/>
    <n v="102540.16"/>
    <s v="Ángeles"/>
    <n v="3.6"/>
  </r>
  <r>
    <n v="460"/>
    <d v="2016-06-22T00:00:00"/>
    <x v="256"/>
    <x v="0"/>
    <s v="Terreno"/>
    <n v="73"/>
    <s v="Alquiler"/>
    <n v="12027.88"/>
    <n v="358807"/>
    <n v="287045.59999999998"/>
    <n v="59733.520000000026"/>
    <s v="Carlos"/>
    <n v="4.5"/>
  </r>
  <r>
    <n v="461"/>
    <d v="2016-06-22T00:00:00"/>
    <x v="51"/>
    <x v="3"/>
    <s v="Estacionamiento"/>
    <n v="87"/>
    <s v="Alquiler"/>
    <n v="15385.6"/>
    <n v="449225"/>
    <n v="359380"/>
    <n v="74459.399999999994"/>
    <s v="Ángeles"/>
    <n v="4.9000000000000004"/>
  </r>
  <r>
    <n v="462"/>
    <d v="2016-06-22T00:00:00"/>
    <x v="257"/>
    <x v="0"/>
    <s v="Departamento"/>
    <n v="198"/>
    <s v="Venta"/>
    <n v="36164.28"/>
    <n v="961217"/>
    <n v="768973.6"/>
    <n v="156079.12000000002"/>
    <s v="Ángeles"/>
    <n v="4.4000000000000004"/>
  </r>
  <r>
    <n v="463"/>
    <d v="2016-06-23T00:00:00"/>
    <x v="258"/>
    <x v="0"/>
    <s v="Oficinas"/>
    <n v="211"/>
    <s v="Venta"/>
    <n v="77264.2"/>
    <n v="1998865"/>
    <n v="1599092"/>
    <n v="322508.79999999999"/>
    <s v="Arturo"/>
    <n v="4.9000000000000004"/>
  </r>
  <r>
    <n v="464"/>
    <d v="2016-06-24T00:00:00"/>
    <x v="259"/>
    <x v="2"/>
    <s v="Depósito"/>
    <n v="137"/>
    <s v="Venta"/>
    <n v="32853.440000000002"/>
    <n v="873321"/>
    <n v="698656.8"/>
    <n v="141810.75999999995"/>
    <s v="Sabrina"/>
    <n v="4.0999999999999996"/>
  </r>
  <r>
    <n v="465"/>
    <d v="2016-06-24T00:00:00"/>
    <x v="260"/>
    <x v="1"/>
    <s v="Departamento"/>
    <n v="264"/>
    <s v="Venta"/>
    <n v="104377.48"/>
    <n v="2665297"/>
    <n v="2132237.6"/>
    <n v="428681.91999999993"/>
    <s v="Arturo"/>
    <n v="4.9000000000000004"/>
  </r>
  <r>
    <n v="466"/>
    <d v="2016-06-24T00:00:00"/>
    <x v="255"/>
    <x v="3"/>
    <s v="Oficinas"/>
    <n v="40"/>
    <s v="Alquiler"/>
    <n v="8852.16"/>
    <n v="279189"/>
    <n v="223351.2"/>
    <n v="46985.639999999985"/>
    <s v="Carlos"/>
    <n v="3.8"/>
  </r>
  <r>
    <n v="467"/>
    <d v="2016-06-24T00:00:00"/>
    <x v="261"/>
    <x v="1"/>
    <s v="Departamento"/>
    <n v="121"/>
    <s v="Alquiler"/>
    <n v="20135.32"/>
    <n v="557243"/>
    <n v="445794.4"/>
    <n v="91313.27999999997"/>
    <s v="Arturo"/>
    <n v="3.7"/>
  </r>
  <r>
    <n v="468"/>
    <d v="2016-06-24T00:00:00"/>
    <x v="262"/>
    <x v="1"/>
    <s v="Terreno"/>
    <n v="210"/>
    <s v="Venta"/>
    <n v="33754.199999999997"/>
    <n v="906590"/>
    <n v="725272"/>
    <n v="147563.79999999999"/>
    <s v="Iván"/>
    <n v="3.6"/>
  </r>
  <r>
    <n v="469"/>
    <d v="2016-06-24T00:00:00"/>
    <x v="97"/>
    <x v="0"/>
    <s v="Estacionamiento"/>
    <n v="62"/>
    <s v="Alquiler"/>
    <n v="21194.2"/>
    <n v="583265"/>
    <n v="466612"/>
    <n v="95458.8"/>
    <s v="Arturo"/>
    <n v="4"/>
  </r>
  <r>
    <n v="470"/>
    <d v="2016-06-25T00:00:00"/>
    <x v="33"/>
    <x v="1"/>
    <s v="Departamento"/>
    <n v="186"/>
    <s v="Venta"/>
    <n v="34338.76"/>
    <n v="912029"/>
    <n v="729623.2"/>
    <n v="148067.04000000004"/>
    <s v="Iván"/>
    <n v="4.4000000000000004"/>
  </r>
  <r>
    <n v="471"/>
    <d v="2016-06-25T00:00:00"/>
    <x v="38"/>
    <x v="3"/>
    <s v="Depósito"/>
    <n v="150"/>
    <s v="Venta"/>
    <n v="30993"/>
    <n v="837835"/>
    <n v="670268"/>
    <n v="136574"/>
    <s v="Arturo"/>
    <n v="5"/>
  </r>
  <r>
    <n v="472"/>
    <d v="2016-06-25T00:00:00"/>
    <x v="80"/>
    <x v="0"/>
    <s v="Estacionamiento"/>
    <n v="293"/>
    <s v="Venta"/>
    <n v="72039.64"/>
    <n v="1856501"/>
    <n v="1485200.8"/>
    <n v="299260.55999999994"/>
    <s v="Ángeles"/>
    <n v="3.9"/>
  </r>
  <r>
    <n v="473"/>
    <d v="2016-06-25T00:00:00"/>
    <x v="168"/>
    <x v="3"/>
    <s v="Estacionamiento"/>
    <n v="99"/>
    <s v="Venta"/>
    <n v="34095.4"/>
    <n v="909245"/>
    <n v="727396"/>
    <n v="147753.60000000001"/>
    <s v="Romina"/>
    <n v="4.0999999999999996"/>
  </r>
  <r>
    <n v="474"/>
    <d v="2016-06-25T00:00:00"/>
    <x v="263"/>
    <x v="3"/>
    <s v="Terreno"/>
    <n v="196"/>
    <s v="Venta"/>
    <n v="64088.84"/>
    <n v="1659131"/>
    <n v="1327304.8"/>
    <n v="267737.36"/>
    <s v="Iván"/>
    <n v="4.9000000000000004"/>
  </r>
  <r>
    <n v="475"/>
    <d v="2016-06-25T00:00:00"/>
    <x v="170"/>
    <x v="2"/>
    <s v="Estacionamiento"/>
    <n v="132"/>
    <s v="Alquiler"/>
    <n v="21780.2"/>
    <n v="604965"/>
    <n v="483972"/>
    <n v="99212.800000000003"/>
    <s v="Arturo"/>
    <n v="4.3"/>
  </r>
  <r>
    <n v="476"/>
    <d v="2016-06-26T00:00:00"/>
    <x v="264"/>
    <x v="3"/>
    <s v="Departamento"/>
    <n v="82"/>
    <s v="Venta"/>
    <n v="33100.519999999997"/>
    <n v="887973"/>
    <n v="710378.4"/>
    <n v="144494.07999999999"/>
    <s v="Romina"/>
    <n v="3.9"/>
  </r>
  <r>
    <n v="477"/>
    <d v="2016-06-28T00:00:00"/>
    <x v="190"/>
    <x v="2"/>
    <s v="Terreno"/>
    <n v="82"/>
    <s v="Venta"/>
    <n v="33536.68"/>
    <n v="891927"/>
    <n v="713541.6"/>
    <n v="144848.72000000003"/>
    <s v="Iván"/>
    <n v="4.9000000000000004"/>
  </r>
  <r>
    <n v="478"/>
    <d v="2016-06-28T00:00:00"/>
    <x v="265"/>
    <x v="0"/>
    <s v="Departamento"/>
    <n v="185"/>
    <s v="Venta"/>
    <n v="35854.92"/>
    <n v="949733"/>
    <n v="759786.4"/>
    <n v="154091.68"/>
    <s v="Sabrina"/>
    <n v="4.2"/>
  </r>
  <r>
    <n v="479"/>
    <d v="2016-06-28T00:00:00"/>
    <x v="266"/>
    <x v="0"/>
    <s v="Casa"/>
    <n v="228"/>
    <s v="Venta"/>
    <n v="40475.96"/>
    <n v="1064709"/>
    <n v="851767.2"/>
    <n v="172465.84000000005"/>
    <s v="Sabrina"/>
    <n v="4.5"/>
  </r>
  <r>
    <n v="480"/>
    <d v="2016-06-28T00:00:00"/>
    <x v="145"/>
    <x v="2"/>
    <s v="Casa"/>
    <n v="54"/>
    <s v="Alquiler"/>
    <n v="20147.64"/>
    <n v="567301"/>
    <n v="453840.8"/>
    <n v="93312.560000000012"/>
    <s v="Sabrina"/>
    <n v="4.9000000000000004"/>
  </r>
  <r>
    <n v="481"/>
    <d v="2016-06-29T00:00:00"/>
    <x v="191"/>
    <x v="0"/>
    <s v="Casa"/>
    <n v="250"/>
    <s v="Venta"/>
    <n v="45533.2"/>
    <n v="1203265"/>
    <n v="962612"/>
    <n v="195119.8"/>
    <s v="Iván"/>
    <n v="4.5"/>
  </r>
  <r>
    <n v="482"/>
    <d v="2016-06-29T00:00:00"/>
    <x v="261"/>
    <x v="3"/>
    <s v="Estacionamiento"/>
    <n v="240"/>
    <s v="Venta"/>
    <n v="78141.919999999998"/>
    <n v="2019608"/>
    <n v="1615686.4"/>
    <n v="325779.68000000011"/>
    <s v="Ángeles"/>
    <n v="4.9000000000000004"/>
  </r>
  <r>
    <n v="483"/>
    <d v="2016-06-29T00:00:00"/>
    <x v="102"/>
    <x v="2"/>
    <s v="Estacionamiento"/>
    <n v="130"/>
    <s v="Venta"/>
    <n v="36851.4"/>
    <n v="983195"/>
    <n v="786556"/>
    <n v="159787.6"/>
    <s v="Romina"/>
    <n v="4"/>
  </r>
  <r>
    <n v="484"/>
    <d v="2016-06-30T00:00:00"/>
    <x v="170"/>
    <x v="2"/>
    <s v="Oficinas"/>
    <n v="146"/>
    <s v="Venta"/>
    <n v="59199.519999999997"/>
    <n v="1542923"/>
    <n v="1234338.3999999999"/>
    <n v="249385.0800000001"/>
    <s v="Sabrina"/>
    <n v="4.5999999999999996"/>
  </r>
  <r>
    <n v="485"/>
    <d v="2016-06-30T00:00:00"/>
    <x v="136"/>
    <x v="2"/>
    <s v="Departamento"/>
    <n v="117"/>
    <s v="Venta"/>
    <n v="42717.32"/>
    <n v="1130093"/>
    <n v="904074.4"/>
    <n v="183301.27999999997"/>
    <s v="Sabrina"/>
    <n v="4.0999999999999996"/>
  </r>
  <r>
    <n v="486"/>
    <d v="2016-06-30T00:00:00"/>
    <x v="250"/>
    <x v="0"/>
    <s v="Terreno"/>
    <n v="279"/>
    <s v="Venta"/>
    <n v="86829.04"/>
    <n v="2235961"/>
    <n v="1788768.8"/>
    <n v="360363.16"/>
    <s v="Sabrina"/>
    <n v="4.5999999999999996"/>
  </r>
  <r>
    <n v="487"/>
    <d v="2016-06-30T00:00:00"/>
    <x v="236"/>
    <x v="1"/>
    <s v="Oficinas"/>
    <n v="258"/>
    <s v="Venta"/>
    <n v="98018.52"/>
    <n v="2511548"/>
    <n v="2009238.4"/>
    <n v="404291.08000000007"/>
    <s v="Romina"/>
    <n v="3.7"/>
  </r>
  <r>
    <n v="488"/>
    <d v="2016-07-01T00:00:00"/>
    <x v="267"/>
    <x v="2"/>
    <s v="Depósito"/>
    <n v="179"/>
    <s v="Venta"/>
    <n v="51421.599999999999"/>
    <n v="1343325"/>
    <n v="1074660"/>
    <n v="217243.4"/>
    <s v="Romina"/>
    <n v="4.9000000000000004"/>
  </r>
  <r>
    <n v="489"/>
    <d v="2016-07-01T00:00:00"/>
    <x v="268"/>
    <x v="1"/>
    <s v="Depósito"/>
    <n v="57"/>
    <s v="Alquiler"/>
    <n v="9413.7999999999993"/>
    <n v="290405"/>
    <n v="232324"/>
    <n v="48667.199999999997"/>
    <s v="Sabrina"/>
    <n v="5"/>
  </r>
  <r>
    <n v="490"/>
    <d v="2016-07-02T00:00:00"/>
    <x v="173"/>
    <x v="1"/>
    <s v="Oficinas"/>
    <n v="228"/>
    <s v="Venta"/>
    <n v="75661.48"/>
    <n v="1947797"/>
    <n v="1558237.6"/>
    <n v="313897.91999999993"/>
    <s v="Sabrina"/>
    <n v="4.3"/>
  </r>
  <r>
    <n v="491"/>
    <d v="2016-07-02T00:00:00"/>
    <x v="250"/>
    <x v="3"/>
    <s v="Casa"/>
    <n v="56"/>
    <s v="Alquiler"/>
    <n v="13563.8"/>
    <n v="395155"/>
    <n v="316124"/>
    <n v="65467.199999999997"/>
    <s v="Sabrina"/>
    <n v="4.7"/>
  </r>
  <r>
    <n v="492"/>
    <d v="2016-07-03T00:00:00"/>
    <x v="149"/>
    <x v="3"/>
    <s v="Terreno"/>
    <n v="278"/>
    <s v="Venta"/>
    <n v="51302.12"/>
    <n v="1334813"/>
    <n v="1067850.3999999999"/>
    <n v="215660.4800000001"/>
    <s v="Iván"/>
    <n v="3.6"/>
  </r>
  <r>
    <n v="493"/>
    <d v="2016-07-03T00:00:00"/>
    <x v="56"/>
    <x v="2"/>
    <s v="Depósito"/>
    <n v="293"/>
    <s v="Venta"/>
    <n v="77169.320000000007"/>
    <n v="1985068"/>
    <n v="1588054.4"/>
    <n v="319844.28000000009"/>
    <s v="Ángeles"/>
    <n v="5"/>
  </r>
  <r>
    <n v="494"/>
    <d v="2016-07-03T00:00:00"/>
    <x v="269"/>
    <x v="0"/>
    <s v="Oficinas"/>
    <n v="270"/>
    <s v="Venta"/>
    <n v="68000.479999999996"/>
    <n v="1766247"/>
    <n v="1412997.6"/>
    <n v="285248.91999999993"/>
    <s v="Sabrina"/>
    <n v="3.8"/>
  </r>
  <r>
    <n v="495"/>
    <d v="2016-07-03T00:00:00"/>
    <x v="270"/>
    <x v="2"/>
    <s v="Local Comercial"/>
    <n v="261"/>
    <s v="Venta"/>
    <n v="102049.84"/>
    <n v="2615181"/>
    <n v="2092144.8"/>
    <n v="420986.36"/>
    <s v="Sabrina"/>
    <n v="4.5"/>
  </r>
  <r>
    <n v="496"/>
    <d v="2016-07-03T00:00:00"/>
    <x v="271"/>
    <x v="3"/>
    <s v="Terreno"/>
    <n v="150"/>
    <s v="Venta"/>
    <n v="46019.6"/>
    <n v="1202550"/>
    <n v="962040"/>
    <n v="194490.4"/>
    <s v="Iván"/>
    <n v="3.7"/>
  </r>
  <r>
    <n v="497"/>
    <d v="2016-07-03T00:00:00"/>
    <x v="262"/>
    <x v="2"/>
    <s v="Estacionamiento"/>
    <n v="202"/>
    <s v="Venta"/>
    <n v="51751.92"/>
    <n v="1352558"/>
    <n v="1082046.3999999999"/>
    <n v="218759.68000000011"/>
    <s v="Arturo"/>
    <n v="4.2"/>
  </r>
  <r>
    <n v="498"/>
    <d v="2016-07-03T00:00:00"/>
    <x v="269"/>
    <x v="1"/>
    <s v="Estacionamiento"/>
    <n v="106"/>
    <s v="Venta"/>
    <n v="39429.599999999999"/>
    <n v="1041225"/>
    <n v="832980"/>
    <n v="168815.4"/>
    <s v="Sabrina"/>
    <n v="4"/>
  </r>
  <r>
    <n v="499"/>
    <d v="2016-07-04T00:00:00"/>
    <x v="272"/>
    <x v="2"/>
    <s v="Estacionamiento"/>
    <n v="57"/>
    <s v="Alquiler"/>
    <n v="20461.28"/>
    <n v="567917"/>
    <n v="454333.6"/>
    <n v="93122.120000000024"/>
    <s v="Carlos"/>
    <n v="4.7"/>
  </r>
  <r>
    <n v="500"/>
    <d v="2016-07-04T00:00:00"/>
    <x v="273"/>
    <x v="0"/>
    <s v="Terreno"/>
    <n v="234"/>
    <s v="Venta"/>
    <n v="88547"/>
    <n v="2274485"/>
    <n v="1819588"/>
    <n v="366350"/>
    <s v="Arturo"/>
    <n v="5"/>
  </r>
  <r>
    <n v="501"/>
    <d v="2016-07-05T00:00:00"/>
    <x v="95"/>
    <x v="2"/>
    <s v="Local Comercial"/>
    <n v="226"/>
    <s v="Venta"/>
    <n v="37460.239999999998"/>
    <n v="1001491"/>
    <n v="801192.8"/>
    <n v="162837.95999999996"/>
    <s v="Arturo"/>
    <n v="4.9000000000000004"/>
  </r>
  <r>
    <n v="502"/>
    <d v="2016-07-05T00:00:00"/>
    <x v="274"/>
    <x v="3"/>
    <s v="Oficinas"/>
    <n v="218"/>
    <s v="Venta"/>
    <n v="82354.16"/>
    <n v="2124389"/>
    <n v="1699511.2"/>
    <n v="342523.64"/>
    <s v="Iván"/>
    <n v="4.4000000000000004"/>
  </r>
  <r>
    <n v="503"/>
    <d v="2016-07-05T00:00:00"/>
    <x v="275"/>
    <x v="2"/>
    <s v="Depósito"/>
    <n v="67"/>
    <s v="Alquiler"/>
    <n v="24853.08"/>
    <n v="683837"/>
    <n v="547069.6"/>
    <n v="111914.32000000002"/>
    <s v="Ángeles"/>
    <n v="4.0999999999999996"/>
  </r>
  <r>
    <n v="504"/>
    <d v="2016-07-05T00:00:00"/>
    <x v="276"/>
    <x v="2"/>
    <s v="Estacionamiento"/>
    <n v="182"/>
    <s v="Venta"/>
    <n v="47606.16"/>
    <n v="1252739"/>
    <n v="1002191.2"/>
    <n v="202941.64000000004"/>
    <s v="Ángeles"/>
    <n v="4.8"/>
  </r>
  <r>
    <n v="505"/>
    <d v="2016-07-05T00:00:00"/>
    <x v="277"/>
    <x v="2"/>
    <s v="Casa"/>
    <n v="166"/>
    <s v="Venta"/>
    <n v="33206.879999999997"/>
    <n v="896657"/>
    <n v="717325.6"/>
    <n v="146124.52000000002"/>
    <s v="Sabrina"/>
    <n v="3.7"/>
  </r>
  <r>
    <n v="506"/>
    <d v="2016-07-05T00:00:00"/>
    <x v="115"/>
    <x v="0"/>
    <s v="Depósito"/>
    <n v="232"/>
    <s v="Venta"/>
    <n v="47444.800000000003"/>
    <n v="1243680"/>
    <n v="994944"/>
    <n v="201291.2"/>
    <s v="Sabrina"/>
    <n v="4.5999999999999996"/>
  </r>
  <r>
    <n v="507"/>
    <d v="2016-07-05T00:00:00"/>
    <x v="89"/>
    <x v="1"/>
    <s v="Casa"/>
    <n v="154"/>
    <s v="Venta"/>
    <n v="40551.839999999997"/>
    <n v="1069031"/>
    <n v="855224.8"/>
    <n v="173254.35999999996"/>
    <s v="Romina"/>
    <n v="4.5"/>
  </r>
  <r>
    <n v="508"/>
    <d v="2016-07-05T00:00:00"/>
    <x v="278"/>
    <x v="2"/>
    <s v="Oficinas"/>
    <n v="265"/>
    <s v="Venta"/>
    <n v="90901.52"/>
    <n v="2334023"/>
    <n v="1867218.4"/>
    <n v="375903.08000000007"/>
    <s v="Iván"/>
    <n v="5"/>
  </r>
  <r>
    <n v="509"/>
    <d v="2016-07-06T00:00:00"/>
    <x v="90"/>
    <x v="1"/>
    <s v="Casa"/>
    <n v="73"/>
    <s v="Alquiler"/>
    <n v="16265.6"/>
    <n v="464725"/>
    <n v="371780"/>
    <n v="76679.399999999994"/>
    <s v="Arturo"/>
    <n v="4.5"/>
  </r>
  <r>
    <n v="510"/>
    <d v="2016-07-06T00:00:00"/>
    <x v="279"/>
    <x v="0"/>
    <s v="Terreno"/>
    <n v="221"/>
    <s v="Venta"/>
    <n v="46112.4"/>
    <n v="1212345"/>
    <n v="969876"/>
    <n v="196356.6"/>
    <s v="Carlos"/>
    <n v="4.9000000000000004"/>
  </r>
  <r>
    <n v="511"/>
    <d v="2016-07-06T00:00:00"/>
    <x v="199"/>
    <x v="2"/>
    <s v="Depósito"/>
    <n v="34"/>
    <s v="Alquiler"/>
    <n v="9234.4"/>
    <n v="295045"/>
    <n v="236036"/>
    <n v="49774.6"/>
    <s v="Iván"/>
    <n v="4.5999999999999996"/>
  </r>
  <r>
    <n v="512"/>
    <d v="2016-07-06T00:00:00"/>
    <x v="49"/>
    <x v="2"/>
    <s v="Estacionamiento"/>
    <n v="232"/>
    <s v="Venta"/>
    <n v="70621.600000000006"/>
    <n v="1819425"/>
    <n v="1455540"/>
    <n v="293263.40000000002"/>
    <s v="Carlos"/>
    <n v="4.2"/>
  </r>
  <r>
    <n v="513"/>
    <d v="2016-07-06T00:00:00"/>
    <x v="236"/>
    <x v="3"/>
    <s v="Oficinas"/>
    <n v="186"/>
    <s v="Venta"/>
    <n v="72667.88"/>
    <n v="1878107"/>
    <n v="1502485.6"/>
    <n v="302953.5199999999"/>
    <s v="Iván"/>
    <n v="4.4000000000000004"/>
  </r>
  <r>
    <n v="514"/>
    <d v="2016-07-07T00:00:00"/>
    <x v="8"/>
    <x v="2"/>
    <s v="Casa"/>
    <n v="73"/>
    <s v="Alquiler"/>
    <n v="28493.119999999999"/>
    <n v="777713"/>
    <n v="622170.4"/>
    <n v="127049.47999999998"/>
    <s v="Sabrina"/>
    <n v="4.5999999999999996"/>
  </r>
  <r>
    <n v="515"/>
    <d v="2016-07-08T00:00:00"/>
    <x v="91"/>
    <x v="1"/>
    <s v="Casa"/>
    <n v="41"/>
    <s v="Alquiler"/>
    <n v="9547.08"/>
    <n v="299262"/>
    <n v="239409.6"/>
    <n v="50305.319999999992"/>
    <s v="Romina"/>
    <n v="3.6"/>
  </r>
  <r>
    <n v="516"/>
    <d v="2016-07-08T00:00:00"/>
    <x v="263"/>
    <x v="1"/>
    <s v="Departamento"/>
    <n v="113"/>
    <s v="Alquiler"/>
    <n v="28231.08"/>
    <n v="757387"/>
    <n v="605909.6"/>
    <n v="123246.32000000002"/>
    <s v="Romina"/>
    <n v="3.9"/>
  </r>
  <r>
    <n v="517"/>
    <d v="2016-07-08T00:00:00"/>
    <x v="280"/>
    <x v="0"/>
    <s v="Local Comercial"/>
    <n v="168"/>
    <s v="Venta"/>
    <n v="51306.04"/>
    <n v="1350011"/>
    <n v="1080008.8"/>
    <n v="218696.15999999995"/>
    <s v="Arturo"/>
    <n v="3.9"/>
  </r>
  <r>
    <n v="518"/>
    <d v="2016-07-08T00:00:00"/>
    <x v="139"/>
    <x v="0"/>
    <s v="Estacionamiento"/>
    <n v="101"/>
    <s v="Alquiler"/>
    <n v="24756.560000000001"/>
    <n v="674549"/>
    <n v="539639.19999999995"/>
    <n v="110153.24000000005"/>
    <s v="Sabrina"/>
    <n v="3.9"/>
  </r>
  <r>
    <n v="519"/>
    <d v="2016-07-09T00:00:00"/>
    <x v="268"/>
    <x v="0"/>
    <s v="Terreno"/>
    <n v="120"/>
    <s v="Alquiler"/>
    <n v="26625.919999999998"/>
    <n v="719258"/>
    <n v="575406.4"/>
    <n v="117225.67999999998"/>
    <s v="Sabrina"/>
    <n v="5"/>
  </r>
  <r>
    <n v="520"/>
    <d v="2016-07-09T00:00:00"/>
    <x v="192"/>
    <x v="3"/>
    <s v="Depósito"/>
    <n v="37"/>
    <s v="Alquiler"/>
    <n v="10013.68"/>
    <n v="315827"/>
    <n v="252661.6"/>
    <n v="53151.719999999994"/>
    <s v="Ángeles"/>
    <n v="4.9000000000000004"/>
  </r>
  <r>
    <n v="521"/>
    <d v="2016-07-09T00:00:00"/>
    <x v="37"/>
    <x v="2"/>
    <s v="Depósito"/>
    <n v="102"/>
    <s v="Alquiler"/>
    <n v="28527.200000000001"/>
    <n v="776840"/>
    <n v="621472"/>
    <n v="126840.8"/>
    <s v="Sabrina"/>
    <n v="4.5"/>
  </r>
  <r>
    <n v="522"/>
    <d v="2016-07-09T00:00:00"/>
    <x v="155"/>
    <x v="1"/>
    <s v="Terreno"/>
    <n v="218"/>
    <s v="Venta"/>
    <n v="50989"/>
    <n v="1329885"/>
    <n v="1063908"/>
    <n v="214988"/>
    <s v="Romina"/>
    <n v="4.7"/>
  </r>
  <r>
    <n v="523"/>
    <d v="2016-07-09T00:00:00"/>
    <x v="281"/>
    <x v="1"/>
    <s v="Casa"/>
    <n v="264"/>
    <s v="Venta"/>
    <n v="56223.199999999997"/>
    <n v="1465865"/>
    <n v="1172692"/>
    <n v="236949.8"/>
    <s v="Romina"/>
    <n v="4.7"/>
  </r>
  <r>
    <n v="524"/>
    <d v="2016-07-10T00:00:00"/>
    <x v="282"/>
    <x v="2"/>
    <s v="Departamento"/>
    <n v="152"/>
    <s v="Venta"/>
    <n v="60803.040000000001"/>
    <n v="1573061"/>
    <n v="1258448.8"/>
    <n v="253809.15999999995"/>
    <s v="Arturo"/>
    <n v="4.5"/>
  </r>
  <r>
    <n v="525"/>
    <d v="2016-07-10T00:00:00"/>
    <x v="283"/>
    <x v="0"/>
    <s v="Casa"/>
    <n v="277"/>
    <s v="Venta"/>
    <n v="49337.4"/>
    <n v="1285845"/>
    <n v="1028676"/>
    <n v="207831.6"/>
    <s v="Arturo"/>
    <n v="4.2"/>
  </r>
  <r>
    <n v="526"/>
    <d v="2016-07-11T00:00:00"/>
    <x v="284"/>
    <x v="1"/>
    <s v="Estacionamiento"/>
    <n v="158"/>
    <s v="Venta"/>
    <n v="63042.16"/>
    <n v="1630889"/>
    <n v="1304711.2"/>
    <n v="263135.64"/>
    <s v="Ángeles"/>
    <n v="4.3"/>
  </r>
  <r>
    <n v="527"/>
    <d v="2016-07-11T00:00:00"/>
    <x v="49"/>
    <x v="2"/>
    <s v="Departamento"/>
    <n v="225"/>
    <s v="Venta"/>
    <n v="36210.239999999998"/>
    <n v="972266"/>
    <n v="777812.8"/>
    <n v="158242.95999999996"/>
    <s v="Carlos"/>
    <n v="3.7"/>
  </r>
  <r>
    <n v="528"/>
    <d v="2016-07-12T00:00:00"/>
    <x v="285"/>
    <x v="0"/>
    <s v="Local Comercial"/>
    <n v="225"/>
    <s v="Venta"/>
    <n v="89809.600000000006"/>
    <n v="2309525"/>
    <n v="1847620"/>
    <n v="372095.4"/>
    <s v="Carlos"/>
    <n v="5"/>
  </r>
  <r>
    <n v="529"/>
    <d v="2016-07-12T00:00:00"/>
    <x v="286"/>
    <x v="0"/>
    <s v="Depósito"/>
    <n v="203"/>
    <s v="Venta"/>
    <n v="55644.08"/>
    <n v="1451087"/>
    <n v="1160869.6000000001"/>
    <n v="234573.31999999989"/>
    <s v="Romina"/>
    <n v="4.2"/>
  </r>
  <r>
    <n v="530"/>
    <d v="2016-07-12T00:00:00"/>
    <x v="287"/>
    <x v="2"/>
    <s v="Departamento"/>
    <n v="80"/>
    <s v="Alquiler"/>
    <n v="16794.240000000002"/>
    <n v="483341"/>
    <n v="386672.8"/>
    <n v="79873.960000000006"/>
    <s v="Ángeles"/>
    <n v="4.8"/>
  </r>
  <r>
    <n v="531"/>
    <d v="2016-07-12T00:00:00"/>
    <x v="286"/>
    <x v="3"/>
    <s v="Oficinas"/>
    <n v="108"/>
    <s v="Alquiler"/>
    <n v="27722.720000000001"/>
    <n v="749253"/>
    <n v="599402.4"/>
    <n v="122127.87999999998"/>
    <s v="Romina"/>
    <n v="3.7"/>
  </r>
  <r>
    <n v="532"/>
    <d v="2016-07-12T00:00:00"/>
    <x v="111"/>
    <x v="1"/>
    <s v="Depósito"/>
    <n v="176"/>
    <s v="Venta"/>
    <n v="39337.040000000001"/>
    <n v="1036211"/>
    <n v="828968.8"/>
    <n v="167905.15999999995"/>
    <s v="Romina"/>
    <n v="3.6"/>
  </r>
  <r>
    <n v="533"/>
    <d v="2016-07-13T00:00:00"/>
    <x v="288"/>
    <x v="1"/>
    <s v="Casa"/>
    <n v="68"/>
    <s v="Alquiler"/>
    <n v="23117.96"/>
    <n v="642509"/>
    <n v="514007.2"/>
    <n v="105383.84"/>
    <s v="Romina"/>
    <n v="5"/>
  </r>
  <r>
    <n v="534"/>
    <d v="2016-07-14T00:00:00"/>
    <x v="226"/>
    <x v="1"/>
    <s v="Estacionamiento"/>
    <n v="59"/>
    <s v="Alquiler"/>
    <n v="15178.64"/>
    <n v="446801"/>
    <n v="357440.8"/>
    <n v="74181.560000000012"/>
    <s v="Sabrina"/>
    <n v="4.9000000000000004"/>
  </r>
  <r>
    <n v="535"/>
    <d v="2016-07-14T00:00:00"/>
    <x v="289"/>
    <x v="0"/>
    <s v="Terreno"/>
    <n v="276"/>
    <s v="Venta"/>
    <n v="68363.199999999997"/>
    <n v="1767165"/>
    <n v="1413732"/>
    <n v="285069.8"/>
    <s v="Romina"/>
    <n v="3.7"/>
  </r>
  <r>
    <n v="536"/>
    <d v="2016-07-14T00:00:00"/>
    <x v="290"/>
    <x v="3"/>
    <s v="Oficinas"/>
    <n v="191"/>
    <s v="Venta"/>
    <n v="50788.92"/>
    <n v="1328608"/>
    <n v="1062886.3999999999"/>
    <n v="214932.68000000011"/>
    <s v="Carlos"/>
    <n v="3.6"/>
  </r>
  <r>
    <n v="537"/>
    <d v="2016-07-14T00:00:00"/>
    <x v="291"/>
    <x v="1"/>
    <s v="Local Comercial"/>
    <n v="110"/>
    <s v="Venta"/>
    <n v="40328.839999999997"/>
    <n v="1067606"/>
    <n v="854084.8"/>
    <n v="173192.35999999996"/>
    <s v="Sabrina"/>
    <n v="4.9000000000000004"/>
  </r>
  <r>
    <n v="538"/>
    <d v="2016-07-15T00:00:00"/>
    <x v="144"/>
    <x v="0"/>
    <s v="Departamento"/>
    <n v="273"/>
    <s v="Venta"/>
    <n v="85345.36"/>
    <n v="2197619"/>
    <n v="1758095.2"/>
    <n v="354178.44000000006"/>
    <s v="Ángeles"/>
    <n v="3.8"/>
  </r>
  <r>
    <n v="539"/>
    <d v="2016-07-16T00:00:00"/>
    <x v="292"/>
    <x v="0"/>
    <s v="Depósito"/>
    <n v="105"/>
    <s v="Alquiler"/>
    <n v="29803.72"/>
    <n v="798278"/>
    <n v="638622.4"/>
    <n v="129851.87999999998"/>
    <s v="Ángeles"/>
    <n v="4.7"/>
  </r>
  <r>
    <n v="540"/>
    <d v="2016-07-16T00:00:00"/>
    <x v="165"/>
    <x v="0"/>
    <s v="Oficinas"/>
    <n v="83"/>
    <s v="Alquiler"/>
    <n v="21586.48"/>
    <n v="602072"/>
    <n v="481657.59999999998"/>
    <n v="98827.920000000027"/>
    <s v="Carlos"/>
    <n v="4"/>
  </r>
  <r>
    <n v="541"/>
    <d v="2016-07-16T00:00:00"/>
    <x v="293"/>
    <x v="3"/>
    <s v="Oficinas"/>
    <n v="58"/>
    <s v="Alquiler"/>
    <n v="9320.84"/>
    <n v="288081"/>
    <n v="230464.8"/>
    <n v="48295.360000000015"/>
    <s v="Iván"/>
    <n v="4.4000000000000004"/>
  </r>
  <r>
    <n v="542"/>
    <d v="2016-07-16T00:00:00"/>
    <x v="139"/>
    <x v="1"/>
    <s v="Oficinas"/>
    <n v="178"/>
    <s v="Venta"/>
    <n v="59651.72"/>
    <n v="1551453"/>
    <n v="1241162.3999999999"/>
    <n v="250638.88000000009"/>
    <s v="Ángeles"/>
    <n v="4.5"/>
  </r>
  <r>
    <n v="543"/>
    <d v="2016-07-16T00:00:00"/>
    <x v="236"/>
    <x v="0"/>
    <s v="Oficinas"/>
    <n v="97"/>
    <s v="Alquiler"/>
    <n v="21791.439999999999"/>
    <n v="600671"/>
    <n v="480536.8"/>
    <n v="98342.760000000009"/>
    <s v="Arturo"/>
    <n v="3.6"/>
  </r>
  <r>
    <n v="544"/>
    <d v="2016-07-17T00:00:00"/>
    <x v="149"/>
    <x v="2"/>
    <s v="Oficinas"/>
    <n v="74"/>
    <s v="Alquiler"/>
    <n v="26938.240000000002"/>
    <n v="730816"/>
    <n v="584652.80000000005"/>
    <n v="119224.95999999995"/>
    <s v="Romina"/>
    <n v="4.7"/>
  </r>
  <r>
    <n v="545"/>
    <d v="2016-07-18T00:00:00"/>
    <x v="256"/>
    <x v="0"/>
    <s v="Terreno"/>
    <n v="78"/>
    <s v="Alquiler"/>
    <n v="15615.92"/>
    <n v="455833"/>
    <n v="364666.4"/>
    <n v="75550.679999999978"/>
    <s v="Iván"/>
    <n v="4.4000000000000004"/>
  </r>
  <r>
    <n v="546"/>
    <d v="2016-07-20T00:00:00"/>
    <x v="132"/>
    <x v="3"/>
    <s v="Local Comercial"/>
    <n v="61"/>
    <s v="Alquiler"/>
    <n v="24009.8"/>
    <n v="664580"/>
    <n v="531664"/>
    <n v="108906.2"/>
    <s v="Ángeles"/>
    <n v="3.9"/>
  </r>
  <r>
    <n v="547"/>
    <d v="2016-07-20T00:00:00"/>
    <x v="97"/>
    <x v="0"/>
    <s v="Estacionamiento"/>
    <n v="195"/>
    <s v="Venta"/>
    <n v="38855"/>
    <n v="1036485"/>
    <n v="829188"/>
    <n v="168442"/>
    <s v="Iván"/>
    <n v="4.4000000000000004"/>
  </r>
  <r>
    <n v="548"/>
    <d v="2016-07-20T00:00:00"/>
    <x v="230"/>
    <x v="1"/>
    <s v="Casa"/>
    <n v="280"/>
    <s v="Venta"/>
    <n v="92217.68"/>
    <n v="2366527"/>
    <n v="1893221.6"/>
    <n v="381087.71999999991"/>
    <s v="Romina"/>
    <n v="4.5"/>
  </r>
  <r>
    <n v="549"/>
    <d v="2016-07-20T00:00:00"/>
    <x v="294"/>
    <x v="2"/>
    <s v="Departamento"/>
    <n v="230"/>
    <s v="Venta"/>
    <n v="55169.52"/>
    <n v="1440473"/>
    <n v="1152378.3999999999"/>
    <n v="232925.0800000001"/>
    <s v="Romina"/>
    <n v="4.3"/>
  </r>
  <r>
    <n v="550"/>
    <d v="2016-07-21T00:00:00"/>
    <x v="212"/>
    <x v="0"/>
    <s v="Local Comercial"/>
    <n v="269"/>
    <s v="Venta"/>
    <n v="67253"/>
    <n v="1747810"/>
    <n v="1398248"/>
    <n v="282309"/>
    <s v="Sabrina"/>
    <n v="4.2"/>
  </r>
  <r>
    <n v="551"/>
    <d v="2016-07-21T00:00:00"/>
    <x v="7"/>
    <x v="0"/>
    <s v="Depósito"/>
    <n v="230"/>
    <s v="Venta"/>
    <n v="87622.080000000002"/>
    <n v="2251487"/>
    <n v="1801189.6"/>
    <n v="362675.31999999989"/>
    <s v="Arturo"/>
    <n v="3.6"/>
  </r>
  <r>
    <n v="552"/>
    <d v="2016-07-21T00:00:00"/>
    <x v="295"/>
    <x v="1"/>
    <s v="Oficinas"/>
    <n v="119"/>
    <s v="Venta"/>
    <n v="31165"/>
    <n v="841110"/>
    <n v="672888"/>
    <n v="137057"/>
    <s v="Romina"/>
    <n v="3.7"/>
  </r>
  <r>
    <n v="553"/>
    <d v="2016-07-21T00:00:00"/>
    <x v="162"/>
    <x v="2"/>
    <s v="Casa"/>
    <n v="204"/>
    <s v="Venta"/>
    <n v="61948.160000000003"/>
    <n v="1605239"/>
    <n v="1284191.2"/>
    <n v="259099.64000000004"/>
    <s v="Arturo"/>
    <n v="4.2"/>
  </r>
  <r>
    <n v="554"/>
    <d v="2016-07-21T00:00:00"/>
    <x v="15"/>
    <x v="3"/>
    <s v="Oficinas"/>
    <n v="135"/>
    <s v="Venta"/>
    <n v="33563.360000000001"/>
    <n v="903494"/>
    <n v="722795.2"/>
    <n v="147135.44000000006"/>
    <s v="Carlos"/>
    <n v="4.2"/>
  </r>
  <r>
    <n v="555"/>
    <d v="2016-07-22T00:00:00"/>
    <x v="296"/>
    <x v="1"/>
    <s v="Oficinas"/>
    <n v="131"/>
    <s v="Venta"/>
    <n v="50939.92"/>
    <n v="1326233"/>
    <n v="1060986.3999999999"/>
    <n v="214306.68000000011"/>
    <s v="Sabrina"/>
    <n v="4.5"/>
  </r>
  <r>
    <n v="556"/>
    <d v="2016-07-22T00:00:00"/>
    <x v="142"/>
    <x v="1"/>
    <s v="Terreno"/>
    <n v="52"/>
    <s v="Alquiler"/>
    <n v="21581.68"/>
    <n v="603977"/>
    <n v="483181.6"/>
    <n v="99213.72000000003"/>
    <s v="Romina"/>
    <n v="4"/>
  </r>
  <r>
    <n v="557"/>
    <d v="2016-07-23T00:00:00"/>
    <x v="203"/>
    <x v="1"/>
    <s v="Terreno"/>
    <n v="195"/>
    <s v="Venta"/>
    <n v="75855.679999999993"/>
    <n v="1952927"/>
    <n v="1562341.6"/>
    <n v="314729.71999999991"/>
    <s v="Carlos"/>
    <n v="4.7"/>
  </r>
  <r>
    <n v="558"/>
    <d v="2016-07-24T00:00:00"/>
    <x v="132"/>
    <x v="0"/>
    <s v="Terreno"/>
    <n v="241"/>
    <s v="Venta"/>
    <n v="74174.48"/>
    <n v="1911497"/>
    <n v="1529197.6"/>
    <n v="308124.91999999993"/>
    <s v="Sabrina"/>
    <n v="4.7"/>
  </r>
  <r>
    <n v="559"/>
    <d v="2016-07-24T00:00:00"/>
    <x v="135"/>
    <x v="0"/>
    <s v="Estacionamiento"/>
    <n v="185"/>
    <s v="Venta"/>
    <n v="62713.16"/>
    <n v="1626589"/>
    <n v="1301271.2"/>
    <n v="262604.64"/>
    <s v="Arturo"/>
    <n v="3.8"/>
  </r>
  <r>
    <n v="560"/>
    <d v="2016-07-25T00:00:00"/>
    <x v="23"/>
    <x v="0"/>
    <s v="Terreno"/>
    <n v="281"/>
    <s v="Venta"/>
    <n v="55337"/>
    <n v="1448660"/>
    <n v="1158928"/>
    <n v="234395"/>
    <s v="Arturo"/>
    <n v="3.9"/>
  </r>
  <r>
    <n v="561"/>
    <d v="2016-07-25T00:00:00"/>
    <x v="297"/>
    <x v="2"/>
    <s v="Depósito"/>
    <n v="46"/>
    <s v="Alquiler"/>
    <n v="10560.64"/>
    <n v="317226"/>
    <n v="253780.8"/>
    <n v="52884.560000000012"/>
    <s v="Iván"/>
    <n v="4.0999999999999996"/>
  </r>
  <r>
    <n v="562"/>
    <d v="2016-07-25T00:00:00"/>
    <x v="298"/>
    <x v="3"/>
    <s v="Estacionamiento"/>
    <n v="154"/>
    <s v="Venta"/>
    <n v="37210.04"/>
    <n v="997011"/>
    <n v="797608.8"/>
    <n v="162192.15999999995"/>
    <s v="Carlos"/>
    <n v="4.7"/>
  </r>
  <r>
    <n v="563"/>
    <d v="2016-07-25T00:00:00"/>
    <x v="212"/>
    <x v="3"/>
    <s v="Oficinas"/>
    <n v="231"/>
    <s v="Venta"/>
    <n v="49789.64"/>
    <n v="1308701"/>
    <n v="1046960.8"/>
    <n v="211950.55999999994"/>
    <s v="Iván"/>
    <n v="3.7"/>
  </r>
  <r>
    <n v="564"/>
    <d v="2016-07-25T00:00:00"/>
    <x v="291"/>
    <x v="2"/>
    <s v="Oficinas"/>
    <n v="106"/>
    <s v="Alquiler"/>
    <n v="19761.72"/>
    <n v="550453"/>
    <n v="440362.4"/>
    <n v="90328.879999999976"/>
    <s v="Iván"/>
    <n v="4.5"/>
  </r>
  <r>
    <n v="565"/>
    <d v="2016-07-25T00:00:00"/>
    <x v="299"/>
    <x v="3"/>
    <s v="Depósito"/>
    <n v="142"/>
    <s v="Venta"/>
    <n v="35718.720000000001"/>
    <n v="954353"/>
    <n v="763482.4"/>
    <n v="155151.87999999998"/>
    <s v="Carlos"/>
    <n v="4"/>
  </r>
  <r>
    <n v="566"/>
    <d v="2016-07-26T00:00:00"/>
    <x v="300"/>
    <x v="2"/>
    <s v="Estacionamiento"/>
    <n v="261"/>
    <s v="Venta"/>
    <n v="74128"/>
    <n v="1918435"/>
    <n v="1534748"/>
    <n v="309559"/>
    <s v="Ángeles"/>
    <n v="3.6"/>
  </r>
  <r>
    <n v="567"/>
    <d v="2016-07-26T00:00:00"/>
    <x v="80"/>
    <x v="3"/>
    <s v="Oficinas"/>
    <n v="92"/>
    <s v="Alquiler"/>
    <n v="18083.400000000001"/>
    <n v="506395"/>
    <n v="405116"/>
    <n v="83195.600000000006"/>
    <s v="Carlos"/>
    <n v="4.0999999999999996"/>
  </r>
  <r>
    <n v="568"/>
    <d v="2016-07-26T00:00:00"/>
    <x v="301"/>
    <x v="3"/>
    <s v="Terreno"/>
    <n v="146"/>
    <s v="Alquiler"/>
    <n v="24926.959999999999"/>
    <n v="676484"/>
    <n v="541187.19999999995"/>
    <n v="110369.84000000005"/>
    <s v="Sabrina"/>
    <n v="4.9000000000000004"/>
  </r>
  <r>
    <n v="569"/>
    <d v="2016-07-26T00:00:00"/>
    <x v="284"/>
    <x v="0"/>
    <s v="Local Comercial"/>
    <n v="164"/>
    <s v="Alquiler"/>
    <n v="27245.919999999998"/>
    <n v="736883"/>
    <n v="589506.4"/>
    <n v="120130.67999999998"/>
    <s v="Sabrina"/>
    <n v="4.2"/>
  </r>
  <r>
    <n v="570"/>
    <d v="2016-07-27T00:00:00"/>
    <x v="60"/>
    <x v="0"/>
    <s v="Oficinas"/>
    <n v="75"/>
    <s v="Alquiler"/>
    <n v="25457.32"/>
    <n v="696293"/>
    <n v="557034.4"/>
    <n v="113801.27999999997"/>
    <s v="Arturo"/>
    <n v="4.5999999999999996"/>
  </r>
  <r>
    <n v="571"/>
    <d v="2016-07-27T00:00:00"/>
    <x v="98"/>
    <x v="2"/>
    <s v="Depósito"/>
    <n v="41"/>
    <s v="Alquiler"/>
    <n v="11752.44"/>
    <n v="358521"/>
    <n v="286816.8"/>
    <n v="59951.760000000009"/>
    <s v="Iván"/>
    <n v="4"/>
  </r>
  <r>
    <n v="572"/>
    <d v="2016-07-28T00:00:00"/>
    <x v="297"/>
    <x v="0"/>
    <s v="Local Comercial"/>
    <n v="229"/>
    <s v="Venta"/>
    <n v="75199.199999999997"/>
    <n v="1933640"/>
    <n v="1546912"/>
    <n v="311528.8"/>
    <s v="Romina"/>
    <n v="4.2"/>
  </r>
  <r>
    <n v="573"/>
    <d v="2016-07-28T00:00:00"/>
    <x v="50"/>
    <x v="1"/>
    <s v="Departamento"/>
    <n v="237"/>
    <s v="Venta"/>
    <n v="40657"/>
    <n v="1075310"/>
    <n v="860248"/>
    <n v="174405"/>
    <s v="Iván"/>
    <n v="5"/>
  </r>
  <r>
    <n v="574"/>
    <d v="2016-07-28T00:00:00"/>
    <x v="302"/>
    <x v="0"/>
    <s v="Local Comercial"/>
    <n v="51"/>
    <s v="Alquiler"/>
    <n v="9414.2000000000007"/>
    <n v="287915"/>
    <n v="230332"/>
    <n v="48168.800000000003"/>
    <s v="Romina"/>
    <n v="3.6"/>
  </r>
  <r>
    <n v="575"/>
    <d v="2016-07-28T00:00:00"/>
    <x v="303"/>
    <x v="2"/>
    <s v="Depósito"/>
    <n v="277"/>
    <s v="Venta"/>
    <n v="74153"/>
    <n v="1913885"/>
    <n v="1531108"/>
    <n v="308624"/>
    <s v="Carlos"/>
    <n v="4.7"/>
  </r>
  <r>
    <n v="576"/>
    <d v="2016-07-29T00:00:00"/>
    <x v="111"/>
    <x v="2"/>
    <s v="Oficinas"/>
    <n v="50"/>
    <s v="Alquiler"/>
    <n v="16533.919999999998"/>
    <n v="471833"/>
    <n v="377466.4"/>
    <n v="77832.679999999978"/>
    <s v="Arturo"/>
    <n v="4.5999999999999996"/>
  </r>
  <r>
    <n v="577"/>
    <d v="2016-07-29T00:00:00"/>
    <x v="304"/>
    <x v="1"/>
    <s v="Local Comercial"/>
    <n v="150"/>
    <s v="Venta"/>
    <n v="34526.32"/>
    <n v="926143"/>
    <n v="740914.4"/>
    <n v="150702.27999999997"/>
    <s v="Carlos"/>
    <n v="5"/>
  </r>
  <r>
    <n v="578"/>
    <d v="2016-07-29T00:00:00"/>
    <x v="296"/>
    <x v="3"/>
    <s v="Terreno"/>
    <n v="218"/>
    <s v="Venta"/>
    <n v="61949.919999999998"/>
    <n v="1608458"/>
    <n v="1286766.3999999999"/>
    <n v="259741.68000000011"/>
    <s v="Carlos"/>
    <n v="3.7"/>
  </r>
  <r>
    <n v="579"/>
    <d v="2016-07-29T00:00:00"/>
    <x v="210"/>
    <x v="1"/>
    <s v="Estacionamiento"/>
    <n v="144"/>
    <s v="Venta"/>
    <n v="31778.2"/>
    <n v="848265"/>
    <n v="678612"/>
    <n v="137874.79999999999"/>
    <s v="Sabrina"/>
    <n v="4.8"/>
  </r>
  <r>
    <n v="580"/>
    <d v="2016-07-30T00:00:00"/>
    <x v="305"/>
    <x v="1"/>
    <s v="Casa"/>
    <n v="219"/>
    <s v="Venta"/>
    <n v="64243.360000000001"/>
    <n v="1671369"/>
    <n v="1337095.2"/>
    <n v="270030.44000000006"/>
    <s v="Ángeles"/>
    <n v="4.5999999999999996"/>
  </r>
  <r>
    <n v="581"/>
    <d v="2016-07-30T00:00:00"/>
    <x v="306"/>
    <x v="0"/>
    <s v="Local Comercial"/>
    <n v="226"/>
    <s v="Venta"/>
    <n v="68972.800000000003"/>
    <n v="1778505"/>
    <n v="1422804"/>
    <n v="286728.2"/>
    <s v="Iván"/>
    <n v="5"/>
  </r>
  <r>
    <n v="582"/>
    <d v="2016-07-31T00:00:00"/>
    <x v="278"/>
    <x v="1"/>
    <s v="Oficinas"/>
    <n v="286"/>
    <s v="Venta"/>
    <n v="102176.2"/>
    <n v="2620965"/>
    <n v="2096772"/>
    <n v="422016.8"/>
    <s v="Iván"/>
    <n v="3.9"/>
  </r>
  <r>
    <n v="583"/>
    <d v="2016-07-31T00:00:00"/>
    <x v="307"/>
    <x v="3"/>
    <s v="Terreno"/>
    <n v="291"/>
    <s v="Venta"/>
    <n v="69500.759999999995"/>
    <n v="1804229"/>
    <n v="1443383.2"/>
    <n v="291345.04000000004"/>
    <s v="Arturo"/>
    <n v="5"/>
  </r>
  <r>
    <n v="584"/>
    <d v="2016-08-01T00:00:00"/>
    <x v="208"/>
    <x v="2"/>
    <s v="Estacionamiento"/>
    <n v="251"/>
    <s v="Venta"/>
    <n v="42171.040000000001"/>
    <n v="1114086"/>
    <n v="891268.8"/>
    <n v="180646.15999999995"/>
    <s v="Sabrina"/>
    <n v="3.6"/>
  </r>
  <r>
    <n v="585"/>
    <d v="2016-08-01T00:00:00"/>
    <x v="285"/>
    <x v="0"/>
    <s v="Terreno"/>
    <n v="157"/>
    <s v="Venta"/>
    <n v="41237.120000000003"/>
    <n v="1086688"/>
    <n v="869350.40000000002"/>
    <n v="176100.47999999998"/>
    <s v="Carlos"/>
    <n v="3.6"/>
  </r>
  <r>
    <n v="586"/>
    <d v="2016-08-01T00:00:00"/>
    <x v="307"/>
    <x v="0"/>
    <s v="Oficinas"/>
    <n v="72"/>
    <s v="Alquiler"/>
    <n v="23367.84"/>
    <n v="650406"/>
    <n v="520324.8"/>
    <n v="106713.36000000002"/>
    <s v="Ángeles"/>
    <n v="3.8"/>
  </r>
  <r>
    <n v="587"/>
    <d v="2016-08-02T00:00:00"/>
    <x v="308"/>
    <x v="0"/>
    <s v="Terreno"/>
    <n v="177"/>
    <s v="Venta"/>
    <n v="50428.76"/>
    <n v="1322829"/>
    <n v="1058263.2"/>
    <n v="214137.04000000004"/>
    <s v="Carlos"/>
    <n v="4"/>
  </r>
  <r>
    <n v="588"/>
    <d v="2016-08-02T00:00:00"/>
    <x v="132"/>
    <x v="0"/>
    <s v="Estacionamiento"/>
    <n v="50"/>
    <s v="Alquiler"/>
    <n v="17629.72"/>
    <n v="505653"/>
    <n v="404522.4"/>
    <n v="83500.879999999976"/>
    <s v="Arturo"/>
    <n v="3.9"/>
  </r>
  <r>
    <n v="589"/>
    <d v="2016-08-02T00:00:00"/>
    <x v="309"/>
    <x v="2"/>
    <s v="Casa"/>
    <n v="132"/>
    <s v="Venta"/>
    <n v="53766.44"/>
    <n v="1409171"/>
    <n v="1127336.8"/>
    <n v="228067.75999999995"/>
    <s v="Romina"/>
    <n v="4.3"/>
  </r>
  <r>
    <n v="590"/>
    <d v="2016-08-03T00:00:00"/>
    <x v="204"/>
    <x v="0"/>
    <s v="Casa"/>
    <n v="89"/>
    <s v="Alquiler"/>
    <n v="24037.8"/>
    <n v="664055"/>
    <n v="531244"/>
    <n v="108773.2"/>
    <s v="Romina"/>
    <n v="3.6"/>
  </r>
  <r>
    <n v="591"/>
    <d v="2016-08-03T00:00:00"/>
    <x v="172"/>
    <x v="3"/>
    <s v="Casa"/>
    <n v="43"/>
    <s v="Alquiler"/>
    <n v="16327.48"/>
    <n v="472197"/>
    <n v="377757.6"/>
    <n v="78111.920000000027"/>
    <s v="Sabrina"/>
    <n v="4.4000000000000004"/>
  </r>
  <r>
    <n v="592"/>
    <d v="2016-08-03T00:00:00"/>
    <x v="252"/>
    <x v="1"/>
    <s v="Departamento"/>
    <n v="142"/>
    <s v="Venta"/>
    <n v="39318.199999999997"/>
    <n v="1036115"/>
    <n v="828892"/>
    <n v="167904.8"/>
    <s v="Arturo"/>
    <n v="4.2"/>
  </r>
  <r>
    <n v="593"/>
    <d v="2016-08-04T00:00:00"/>
    <x v="263"/>
    <x v="0"/>
    <s v="Estacionamiento"/>
    <n v="206"/>
    <s v="Venta"/>
    <n v="48574.96"/>
    <n v="1271459"/>
    <n v="1017167.2"/>
    <n v="205716.84000000005"/>
    <s v="Romina"/>
    <n v="4.7"/>
  </r>
  <r>
    <n v="594"/>
    <d v="2016-08-04T00:00:00"/>
    <x v="310"/>
    <x v="2"/>
    <s v="Estacionamiento"/>
    <n v="168"/>
    <s v="Venta"/>
    <n v="45024.44"/>
    <n v="1184921"/>
    <n v="947936.8"/>
    <n v="191959.75999999995"/>
    <s v="Arturo"/>
    <n v="5"/>
  </r>
  <r>
    <n v="595"/>
    <d v="2016-08-04T00:00:00"/>
    <x v="311"/>
    <x v="0"/>
    <s v="Depósito"/>
    <n v="258"/>
    <s v="Venta"/>
    <n v="52876.92"/>
    <n v="1380283"/>
    <n v="1104226.3999999999"/>
    <n v="223179.68000000011"/>
    <s v="Iván"/>
    <n v="5"/>
  </r>
  <r>
    <n v="596"/>
    <d v="2016-08-04T00:00:00"/>
    <x v="312"/>
    <x v="3"/>
    <s v="Departamento"/>
    <n v="58"/>
    <s v="Alquiler"/>
    <n v="13598.4"/>
    <n v="394845"/>
    <n v="315876"/>
    <n v="65370.6"/>
    <s v="Sabrina"/>
    <n v="4.7"/>
  </r>
  <r>
    <n v="597"/>
    <d v="2016-08-05T00:00:00"/>
    <x v="260"/>
    <x v="2"/>
    <s v="Departamento"/>
    <n v="67"/>
    <s v="Alquiler"/>
    <n v="12251.4"/>
    <n v="360245"/>
    <n v="288196"/>
    <n v="59797.599999999999"/>
    <s v="Ángeles"/>
    <n v="3.7"/>
  </r>
  <r>
    <n v="598"/>
    <d v="2016-08-06T00:00:00"/>
    <x v="313"/>
    <x v="3"/>
    <s v="Casa"/>
    <n v="91"/>
    <s v="Alquiler"/>
    <n v="28210.240000000002"/>
    <n v="771941"/>
    <n v="617552.80000000005"/>
    <n v="126177.95999999995"/>
    <s v="Ángeles"/>
    <n v="4.9000000000000004"/>
  </r>
  <r>
    <n v="599"/>
    <d v="2016-08-08T00:00:00"/>
    <x v="199"/>
    <x v="2"/>
    <s v="Departamento"/>
    <n v="69"/>
    <s v="Alquiler"/>
    <n v="28445.72"/>
    <n v="775053"/>
    <n v="620042.4"/>
    <n v="126564.87999999998"/>
    <s v="Carlos"/>
    <n v="4.2"/>
  </r>
  <r>
    <n v="600"/>
    <d v="2016-08-08T00:00:00"/>
    <x v="274"/>
    <x v="2"/>
    <s v="Terreno"/>
    <n v="286"/>
    <s v="Venta"/>
    <n v="50434.84"/>
    <n v="1312131"/>
    <n v="1049704.8"/>
    <n v="211991.35999999996"/>
    <s v="Arturo"/>
    <n v="4.5999999999999996"/>
  </r>
  <r>
    <n v="601"/>
    <d v="2016-08-08T00:00:00"/>
    <x v="263"/>
    <x v="1"/>
    <s v="Casa"/>
    <n v="142"/>
    <s v="Venta"/>
    <n v="35744.28"/>
    <n v="956117"/>
    <n v="764893.6"/>
    <n v="155479.12000000002"/>
    <s v="Sabrina"/>
    <n v="4.5999999999999996"/>
  </r>
  <r>
    <n v="602"/>
    <d v="2016-08-09T00:00:00"/>
    <x v="314"/>
    <x v="3"/>
    <s v="Departamento"/>
    <n v="220"/>
    <s v="Venta"/>
    <n v="47702.52"/>
    <n v="1255248"/>
    <n v="1004198.4"/>
    <n v="203347.08"/>
    <s v="Carlos"/>
    <n v="3.7"/>
  </r>
  <r>
    <n v="603"/>
    <d v="2016-08-09T00:00:00"/>
    <x v="233"/>
    <x v="3"/>
    <s v="Estacionamiento"/>
    <n v="170"/>
    <s v="Venta"/>
    <n v="55675.28"/>
    <n v="1444667"/>
    <n v="1155733.6000000001"/>
    <n v="233258.11999999991"/>
    <s v="Iván"/>
    <n v="5"/>
  </r>
  <r>
    <n v="604"/>
    <d v="2016-08-10T00:00:00"/>
    <x v="315"/>
    <x v="0"/>
    <s v="Depósito"/>
    <n v="145"/>
    <s v="Alquiler"/>
    <n v="27000.92"/>
    <n v="740808"/>
    <n v="592646.40000000002"/>
    <n v="121160.67999999998"/>
    <s v="Sabrina"/>
    <n v="3.9"/>
  </r>
  <r>
    <n v="605"/>
    <d v="2016-08-10T00:00:00"/>
    <x v="316"/>
    <x v="3"/>
    <s v="Depósito"/>
    <n v="209"/>
    <s v="Venta"/>
    <n v="71679.56"/>
    <n v="1853749"/>
    <n v="1482999.2"/>
    <n v="299070.24000000005"/>
    <s v="Ángeles"/>
    <n v="4.5"/>
  </r>
  <r>
    <n v="606"/>
    <d v="2016-08-10T00:00:00"/>
    <x v="317"/>
    <x v="3"/>
    <s v="Departamento"/>
    <n v="39"/>
    <s v="Alquiler"/>
    <n v="13192.6"/>
    <n v="397250"/>
    <n v="317800"/>
    <n v="66257.399999999994"/>
    <s v="Ángeles"/>
    <n v="4.7"/>
  </r>
  <r>
    <n v="607"/>
    <d v="2016-08-10T00:00:00"/>
    <x v="318"/>
    <x v="0"/>
    <s v="Casa"/>
    <n v="42"/>
    <s v="Alquiler"/>
    <n v="15580.76"/>
    <n v="454504"/>
    <n v="363603.20000000001"/>
    <n v="75320.039999999994"/>
    <s v="Arturo"/>
    <n v="3.9"/>
  </r>
  <r>
    <n v="608"/>
    <d v="2016-08-11T00:00:00"/>
    <x v="319"/>
    <x v="1"/>
    <s v="Estacionamiento"/>
    <n v="205"/>
    <s v="Venta"/>
    <n v="43763.8"/>
    <n v="1154105"/>
    <n v="923284"/>
    <n v="187057.2"/>
    <s v="Romina"/>
    <n v="4.3"/>
  </r>
  <r>
    <n v="609"/>
    <d v="2016-08-11T00:00:00"/>
    <x v="201"/>
    <x v="2"/>
    <s v="Terreno"/>
    <n v="283"/>
    <s v="Venta"/>
    <n v="70820.2"/>
    <n v="1827365"/>
    <n v="1461892"/>
    <n v="294652.79999999999"/>
    <s v="Arturo"/>
    <n v="3.7"/>
  </r>
  <r>
    <n v="610"/>
    <d v="2016-08-11T00:00:00"/>
    <x v="60"/>
    <x v="0"/>
    <s v="Oficinas"/>
    <n v="121"/>
    <s v="Venta"/>
    <n v="41472.800000000003"/>
    <n v="1095030"/>
    <n v="876024"/>
    <n v="177533.2"/>
    <s v="Carlos"/>
    <n v="4.0999999999999996"/>
  </r>
  <r>
    <n v="611"/>
    <d v="2016-08-11T00:00:00"/>
    <x v="298"/>
    <x v="1"/>
    <s v="Casa"/>
    <n v="291"/>
    <s v="Venta"/>
    <n v="105523.44"/>
    <n v="2695421"/>
    <n v="2156336.7999999998"/>
    <n v="433560.76000000018"/>
    <s v="Sabrina"/>
    <n v="3.8"/>
  </r>
  <r>
    <n v="612"/>
    <d v="2016-08-11T00:00:00"/>
    <x v="273"/>
    <x v="2"/>
    <s v="Estacionamiento"/>
    <n v="86"/>
    <s v="Venta"/>
    <n v="33941.760000000002"/>
    <n v="915729"/>
    <n v="732583.2"/>
    <n v="149204.04000000004"/>
    <s v="Carlos"/>
    <n v="3.6"/>
  </r>
  <r>
    <n v="613"/>
    <d v="2016-08-11T00:00:00"/>
    <x v="57"/>
    <x v="1"/>
    <s v="Estacionamiento"/>
    <n v="221"/>
    <s v="Venta"/>
    <n v="74529"/>
    <n v="1915685"/>
    <n v="1532548"/>
    <n v="308608"/>
    <s v="Arturo"/>
    <n v="4.5"/>
  </r>
  <r>
    <n v="614"/>
    <d v="2016-08-12T00:00:00"/>
    <x v="213"/>
    <x v="1"/>
    <s v="Depósito"/>
    <n v="235"/>
    <s v="Venta"/>
    <n v="42359.199999999997"/>
    <n v="1122190"/>
    <n v="897752"/>
    <n v="182078.8"/>
    <s v="Arturo"/>
    <n v="3.8"/>
  </r>
  <r>
    <n v="615"/>
    <d v="2016-08-12T00:00:00"/>
    <x v="181"/>
    <x v="1"/>
    <s v="Local Comercial"/>
    <n v="278"/>
    <s v="Venta"/>
    <n v="79104.800000000003"/>
    <n v="2028805"/>
    <n v="1623044"/>
    <n v="326656.2"/>
    <s v="Ángeles"/>
    <n v="4.5999999999999996"/>
  </r>
  <r>
    <n v="616"/>
    <d v="2016-08-12T00:00:00"/>
    <x v="189"/>
    <x v="1"/>
    <s v="Depósito"/>
    <n v="228"/>
    <s v="Venta"/>
    <n v="48301.16"/>
    <n v="1274414"/>
    <n v="1019531.2"/>
    <n v="206581.64000000004"/>
    <s v="Sabrina"/>
    <n v="4.9000000000000004"/>
  </r>
  <r>
    <n v="617"/>
    <d v="2016-08-13T00:00:00"/>
    <x v="320"/>
    <x v="0"/>
    <s v="Departamento"/>
    <n v="168"/>
    <s v="Venta"/>
    <n v="50567.199999999997"/>
    <n v="1320465"/>
    <n v="1056372"/>
    <n v="213525.8"/>
    <s v="Romina"/>
    <n v="4.5999999999999996"/>
  </r>
  <r>
    <n v="618"/>
    <d v="2016-08-13T00:00:00"/>
    <x v="238"/>
    <x v="1"/>
    <s v="Depósito"/>
    <n v="75"/>
    <s v="Alquiler"/>
    <n v="14941.4"/>
    <n v="428045"/>
    <n v="342436"/>
    <n v="70667.600000000006"/>
    <s v="Arturo"/>
    <n v="4.3"/>
  </r>
  <r>
    <n v="619"/>
    <d v="2016-08-13T00:00:00"/>
    <x v="219"/>
    <x v="0"/>
    <s v="Departamento"/>
    <n v="88"/>
    <s v="Alquiler"/>
    <n v="27524.52"/>
    <n v="742448"/>
    <n v="593958.40000000002"/>
    <n v="120965.07999999997"/>
    <s v="Arturo"/>
    <n v="4.8"/>
  </r>
  <r>
    <n v="620"/>
    <d v="2016-08-14T00:00:00"/>
    <x v="321"/>
    <x v="2"/>
    <s v="Departamento"/>
    <n v="51"/>
    <s v="Alquiler"/>
    <n v="15186.6"/>
    <n v="442775"/>
    <n v="354220"/>
    <n v="73368.399999999994"/>
    <s v="Romina"/>
    <n v="4.8"/>
  </r>
  <r>
    <n v="621"/>
    <d v="2016-08-14T00:00:00"/>
    <x v="307"/>
    <x v="1"/>
    <s v="Depósito"/>
    <n v="219"/>
    <s v="Venta"/>
    <n v="85790.12"/>
    <n v="2207613"/>
    <n v="1766090.4"/>
    <n v="355732.4800000001"/>
    <s v="Romina"/>
    <n v="3.8"/>
  </r>
  <r>
    <n v="622"/>
    <d v="2016-08-14T00:00:00"/>
    <x v="310"/>
    <x v="0"/>
    <s v="Depósito"/>
    <n v="119"/>
    <s v="Venta"/>
    <n v="43893.919999999998"/>
    <n v="1152833"/>
    <n v="922266.4"/>
    <n v="186672.68"/>
    <s v="Sabrina"/>
    <n v="4.9000000000000004"/>
  </r>
  <r>
    <n v="623"/>
    <d v="2016-08-15T00:00:00"/>
    <x v="322"/>
    <x v="1"/>
    <s v="Terreno"/>
    <n v="67"/>
    <s v="Alquiler"/>
    <n v="22516.240000000002"/>
    <n v="614141"/>
    <n v="491312.8"/>
    <n v="100311.96"/>
    <s v="Ángeles"/>
    <n v="4.0999999999999996"/>
  </r>
  <r>
    <n v="624"/>
    <d v="2016-08-15T00:00:00"/>
    <x v="301"/>
    <x v="0"/>
    <s v="Terreno"/>
    <n v="148"/>
    <s v="Venta"/>
    <n v="43690.080000000002"/>
    <n v="1158837"/>
    <n v="927069.6"/>
    <n v="188077.32"/>
    <s v="Iván"/>
    <n v="4.5999999999999996"/>
  </r>
  <r>
    <n v="625"/>
    <d v="2016-08-15T00:00:00"/>
    <x v="323"/>
    <x v="2"/>
    <s v="Terreno"/>
    <n v="217"/>
    <s v="Venta"/>
    <n v="86077.04"/>
    <n v="2208311"/>
    <n v="1766648.8"/>
    <n v="355585.16"/>
    <s v="Romina"/>
    <n v="4.5999999999999996"/>
  </r>
  <r>
    <n v="626"/>
    <d v="2016-08-16T00:00:00"/>
    <x v="324"/>
    <x v="1"/>
    <s v="Estacionamiento"/>
    <n v="256"/>
    <s v="Venta"/>
    <n v="81523.240000000005"/>
    <n v="2097616"/>
    <n v="1678092.8"/>
    <n v="337999.95999999996"/>
    <s v="Carlos"/>
    <n v="3.8"/>
  </r>
  <r>
    <n v="627"/>
    <d v="2016-08-16T00:00:00"/>
    <x v="178"/>
    <x v="0"/>
    <s v="Local Comercial"/>
    <n v="79"/>
    <s v="Alquiler"/>
    <n v="18716.32"/>
    <n v="531243"/>
    <n v="424994.4"/>
    <n v="87532.27999999997"/>
    <s v="Ángeles"/>
    <n v="4.4000000000000004"/>
  </r>
  <r>
    <n v="628"/>
    <d v="2016-08-16T00:00:00"/>
    <x v="218"/>
    <x v="2"/>
    <s v="Departamento"/>
    <n v="208"/>
    <s v="Venta"/>
    <n v="53605.120000000003"/>
    <n v="1397313"/>
    <n v="1117850.3999999999"/>
    <n v="225857.4800000001"/>
    <s v="Iván"/>
    <n v="5"/>
  </r>
  <r>
    <n v="629"/>
    <d v="2016-08-17T00:00:00"/>
    <x v="109"/>
    <x v="2"/>
    <s v="Oficinas"/>
    <n v="244"/>
    <s v="Venta"/>
    <n v="55927.76"/>
    <n v="1463504"/>
    <n v="1170803.2"/>
    <n v="236773.04000000004"/>
    <s v="Iván"/>
    <n v="3.6"/>
  </r>
  <r>
    <n v="630"/>
    <d v="2016-08-17T00:00:00"/>
    <x v="325"/>
    <x v="2"/>
    <s v="Casa"/>
    <n v="167"/>
    <s v="Venta"/>
    <n v="61873.4"/>
    <n v="1603545"/>
    <n v="1282836"/>
    <n v="258835.6"/>
    <s v="Ángeles"/>
    <n v="5"/>
  </r>
  <r>
    <n v="631"/>
    <d v="2016-08-17T00:00:00"/>
    <x v="326"/>
    <x v="0"/>
    <s v="Casa"/>
    <n v="268"/>
    <s v="Venta"/>
    <n v="77827.64"/>
    <n v="2009301"/>
    <n v="1607440.8"/>
    <n v="324032.55999999994"/>
    <s v="Romina"/>
    <n v="3.9"/>
  </r>
  <r>
    <n v="632"/>
    <d v="2016-08-17T00:00:00"/>
    <x v="223"/>
    <x v="2"/>
    <s v="Local Comercial"/>
    <n v="198"/>
    <s v="Venta"/>
    <n v="71999.48"/>
    <n v="1852922"/>
    <n v="1482337.6"/>
    <n v="298584.91999999993"/>
    <s v="Arturo"/>
    <n v="3.8"/>
  </r>
  <r>
    <n v="633"/>
    <d v="2016-08-17T00:00:00"/>
    <x v="48"/>
    <x v="0"/>
    <s v="Departamento"/>
    <n v="164"/>
    <s v="Venta"/>
    <n v="46979.76"/>
    <n v="1227529"/>
    <n v="982023.2"/>
    <n v="198526.04000000004"/>
    <s v="Sabrina"/>
    <n v="3.9"/>
  </r>
  <r>
    <n v="634"/>
    <d v="2016-08-18T00:00:00"/>
    <x v="265"/>
    <x v="1"/>
    <s v="Depósito"/>
    <n v="277"/>
    <s v="Venta"/>
    <n v="102104.28"/>
    <n v="2612917"/>
    <n v="2090333.6"/>
    <n v="420479.11999999988"/>
    <s v="Ángeles"/>
    <n v="3.6"/>
  </r>
  <r>
    <n v="635"/>
    <d v="2016-08-18T00:00:00"/>
    <x v="327"/>
    <x v="0"/>
    <s v="Terreno"/>
    <n v="193"/>
    <s v="Venta"/>
    <n v="38402.04"/>
    <n v="1018136"/>
    <n v="814508.8"/>
    <n v="165225.15999999995"/>
    <s v="Iván"/>
    <n v="5"/>
  </r>
  <r>
    <n v="636"/>
    <d v="2016-08-18T00:00:00"/>
    <x v="289"/>
    <x v="2"/>
    <s v="Estacionamiento"/>
    <n v="174"/>
    <s v="Venta"/>
    <n v="45588.08"/>
    <n v="1197962"/>
    <n v="958369.6"/>
    <n v="194004.32"/>
    <s v="Ángeles"/>
    <n v="3.6"/>
  </r>
  <r>
    <n v="637"/>
    <d v="2016-08-18T00:00:00"/>
    <x v="328"/>
    <x v="1"/>
    <s v="Estacionamiento"/>
    <n v="91"/>
    <s v="Venta"/>
    <n v="36349.199999999997"/>
    <n v="974515"/>
    <n v="779612"/>
    <n v="158553.79999999999"/>
    <s v="Ángeles"/>
    <n v="4.9000000000000004"/>
  </r>
  <r>
    <n v="638"/>
    <d v="2016-08-18T00:00:00"/>
    <x v="320"/>
    <x v="1"/>
    <s v="Departamento"/>
    <n v="109"/>
    <s v="Venta"/>
    <n v="35419.160000000003"/>
    <n v="952189"/>
    <n v="761751.2"/>
    <n v="155018.64000000004"/>
    <s v="Ángeles"/>
    <n v="4.5"/>
  </r>
  <r>
    <n v="639"/>
    <d v="2016-08-19T00:00:00"/>
    <x v="321"/>
    <x v="1"/>
    <s v="Depósito"/>
    <n v="274"/>
    <s v="Venta"/>
    <n v="104918.24"/>
    <n v="2682666"/>
    <n v="2146132.7999999998"/>
    <n v="431614.9600000002"/>
    <s v="Romina"/>
    <n v="4.9000000000000004"/>
  </r>
  <r>
    <n v="640"/>
    <d v="2016-08-19T00:00:00"/>
    <x v="329"/>
    <x v="0"/>
    <s v="Local Comercial"/>
    <n v="178"/>
    <s v="Venta"/>
    <n v="49067.4"/>
    <n v="1279545"/>
    <n v="1023636"/>
    <n v="206841.60000000001"/>
    <s v="Ángeles"/>
    <n v="4.3"/>
  </r>
  <r>
    <n v="641"/>
    <d v="2016-08-19T00:00:00"/>
    <x v="183"/>
    <x v="1"/>
    <s v="Oficinas"/>
    <n v="245"/>
    <s v="Venta"/>
    <n v="91601.52"/>
    <n v="2342723"/>
    <n v="1874178.4"/>
    <n v="376943.08000000007"/>
    <s v="Ángeles"/>
    <n v="5"/>
  </r>
  <r>
    <n v="642"/>
    <d v="2016-08-20T00:00:00"/>
    <x v="330"/>
    <x v="0"/>
    <s v="Departamento"/>
    <n v="116"/>
    <s v="Alquiler"/>
    <n v="27655.279999999999"/>
    <n v="747867"/>
    <n v="598293.6"/>
    <n v="121918.12000000002"/>
    <s v="Sabrina"/>
    <n v="4.9000000000000004"/>
  </r>
  <r>
    <n v="643"/>
    <d v="2016-08-20T00:00:00"/>
    <x v="331"/>
    <x v="1"/>
    <s v="Oficinas"/>
    <n v="252"/>
    <s v="Venta"/>
    <n v="92393.8"/>
    <n v="2374580"/>
    <n v="1899664"/>
    <n v="382522.2"/>
    <s v="Romina"/>
    <n v="4.0999999999999996"/>
  </r>
  <r>
    <n v="644"/>
    <d v="2016-08-20T00:00:00"/>
    <x v="223"/>
    <x v="1"/>
    <s v="Depósito"/>
    <n v="160"/>
    <s v="Venta"/>
    <n v="45334.16"/>
    <n v="1198589"/>
    <n v="958871.2"/>
    <n v="194383.64000000004"/>
    <s v="Arturo"/>
    <n v="4.5999999999999996"/>
  </r>
  <r>
    <n v="645"/>
    <d v="2016-08-20T00:00:00"/>
    <x v="318"/>
    <x v="2"/>
    <s v="Local Comercial"/>
    <n v="222"/>
    <s v="Venta"/>
    <n v="76085.84"/>
    <n v="1954181"/>
    <n v="1563344.8"/>
    <n v="314750.36"/>
    <s v="Carlos"/>
    <n v="3.9"/>
  </r>
  <r>
    <n v="646"/>
    <d v="2016-08-20T00:00:00"/>
    <x v="332"/>
    <x v="0"/>
    <s v="Departamento"/>
    <n v="162"/>
    <s v="Venta"/>
    <n v="46615"/>
    <n v="1229285"/>
    <n v="983428"/>
    <n v="199242"/>
    <s v="Carlos"/>
    <n v="4.9000000000000004"/>
  </r>
  <r>
    <n v="647"/>
    <d v="2016-08-21T00:00:00"/>
    <x v="333"/>
    <x v="0"/>
    <s v="Casa"/>
    <n v="62"/>
    <s v="Alquiler"/>
    <n v="13255.24"/>
    <n v="382741"/>
    <n v="306192.8"/>
    <n v="63292.960000000014"/>
    <s v="Sabrina"/>
    <n v="3.7"/>
  </r>
  <r>
    <n v="648"/>
    <d v="2016-08-21T00:00:00"/>
    <x v="158"/>
    <x v="3"/>
    <s v="Casa"/>
    <n v="263"/>
    <s v="Venta"/>
    <n v="45174.92"/>
    <n v="1189658"/>
    <n v="951726.4"/>
    <n v="192756.68"/>
    <s v="Arturo"/>
    <n v="4"/>
  </r>
  <r>
    <n v="649"/>
    <d v="2016-08-21T00:00:00"/>
    <x v="249"/>
    <x v="2"/>
    <s v="Oficinas"/>
    <n v="42"/>
    <s v="Alquiler"/>
    <n v="14659.16"/>
    <n v="422839"/>
    <n v="338271.2"/>
    <n v="69908.639999999985"/>
    <s v="Arturo"/>
    <n v="4.0999999999999996"/>
  </r>
  <r>
    <n v="650"/>
    <d v="2016-08-22T00:00:00"/>
    <x v="303"/>
    <x v="3"/>
    <s v="Local Comercial"/>
    <n v="74"/>
    <s v="Venta"/>
    <n v="30504.400000000001"/>
    <n v="813845"/>
    <n v="651076"/>
    <n v="132264.6"/>
    <s v="Romina"/>
    <n v="4.3"/>
  </r>
  <r>
    <n v="651"/>
    <d v="2016-08-22T00:00:00"/>
    <x v="309"/>
    <x v="2"/>
    <s v="Depósito"/>
    <n v="203"/>
    <s v="Venta"/>
    <n v="39739.24"/>
    <n v="1052441"/>
    <n v="841952.8"/>
    <n v="170748.95999999996"/>
    <s v="Iván"/>
    <n v="4"/>
  </r>
  <r>
    <n v="652"/>
    <d v="2016-08-22T00:00:00"/>
    <x v="34"/>
    <x v="3"/>
    <s v="Terreno"/>
    <n v="255"/>
    <s v="Venta"/>
    <n v="42065.919999999998"/>
    <n v="1117033"/>
    <n v="893626.4"/>
    <n v="181340.68"/>
    <s v="Ángeles"/>
    <n v="4.9000000000000004"/>
  </r>
  <r>
    <n v="653"/>
    <d v="2016-08-22T00:00:00"/>
    <x v="296"/>
    <x v="2"/>
    <s v="Casa"/>
    <n v="141"/>
    <s v="Alquiler"/>
    <n v="28505.96"/>
    <n v="766634"/>
    <n v="613307.19999999995"/>
    <n v="124820.84000000005"/>
    <s v="Romina"/>
    <n v="4"/>
  </r>
  <r>
    <n v="654"/>
    <d v="2016-08-22T00:00:00"/>
    <x v="334"/>
    <x v="1"/>
    <s v="Oficinas"/>
    <n v="201"/>
    <s v="Venta"/>
    <n v="77484.92"/>
    <n v="1990358"/>
    <n v="1592286.4"/>
    <n v="320586.68000000011"/>
    <s v="Sabrina"/>
    <n v="4.0999999999999996"/>
  </r>
  <r>
    <n v="655"/>
    <d v="2016-08-22T00:00:00"/>
    <x v="307"/>
    <x v="1"/>
    <s v="Oficinas"/>
    <n v="290"/>
    <s v="Venta"/>
    <n v="110671.64"/>
    <n v="2823501"/>
    <n v="2258800.7999999998"/>
    <n v="454028.56000000017"/>
    <s v="Sabrina"/>
    <n v="4.9000000000000004"/>
  </r>
  <r>
    <n v="656"/>
    <d v="2016-08-23T00:00:00"/>
    <x v="335"/>
    <x v="2"/>
    <s v="Depósito"/>
    <n v="245"/>
    <s v="Venta"/>
    <n v="70207.88"/>
    <n v="1809557"/>
    <n v="1447645.6"/>
    <n v="291703.5199999999"/>
    <s v="Sabrina"/>
    <n v="4.2"/>
  </r>
  <r>
    <n v="657"/>
    <d v="2016-08-23T00:00:00"/>
    <x v="336"/>
    <x v="2"/>
    <s v="Terreno"/>
    <n v="277"/>
    <s v="Venta"/>
    <n v="62931.28"/>
    <n v="1626317"/>
    <n v="1301053.6000000001"/>
    <n v="262332.11999999988"/>
    <s v="Sabrina"/>
    <n v="5"/>
  </r>
  <r>
    <n v="658"/>
    <d v="2016-08-23T00:00:00"/>
    <x v="337"/>
    <x v="2"/>
    <s v="Casa"/>
    <n v="283"/>
    <s v="Venta"/>
    <n v="56807.8"/>
    <n v="1479355"/>
    <n v="1183484"/>
    <n v="239063.2"/>
    <s v="Arturo"/>
    <n v="4.7"/>
  </r>
  <r>
    <n v="659"/>
    <d v="2016-08-23T00:00:00"/>
    <x v="176"/>
    <x v="3"/>
    <s v="Oficinas"/>
    <n v="65"/>
    <s v="Alquiler"/>
    <n v="19357"/>
    <n v="536885"/>
    <n v="429508"/>
    <n v="88020"/>
    <s v="Ángeles"/>
    <n v="4.2"/>
  </r>
  <r>
    <n v="660"/>
    <d v="2016-08-23T00:00:00"/>
    <x v="338"/>
    <x v="3"/>
    <s v="Estacionamiento"/>
    <n v="172"/>
    <s v="Venta"/>
    <n v="38978.080000000002"/>
    <n v="1040037"/>
    <n v="832029.6"/>
    <n v="169029.32"/>
    <s v="Romina"/>
    <n v="4.5"/>
  </r>
  <r>
    <n v="661"/>
    <d v="2016-08-23T00:00:00"/>
    <x v="174"/>
    <x v="0"/>
    <s v="Depósito"/>
    <n v="273"/>
    <s v="Venta"/>
    <n v="68216"/>
    <n v="1767035"/>
    <n v="1413628"/>
    <n v="285191"/>
    <s v="Ángeles"/>
    <n v="4.3"/>
  </r>
  <r>
    <n v="662"/>
    <d v="2016-08-24T00:00:00"/>
    <x v="314"/>
    <x v="3"/>
    <s v="Terreno"/>
    <n v="248"/>
    <s v="Venta"/>
    <n v="77773.64"/>
    <n v="1999651"/>
    <n v="1599720.8"/>
    <n v="322156.55999999994"/>
    <s v="Carlos"/>
    <n v="3.7"/>
  </r>
  <r>
    <n v="663"/>
    <d v="2016-08-24T00:00:00"/>
    <x v="325"/>
    <x v="1"/>
    <s v="Departamento"/>
    <n v="42"/>
    <s v="Alquiler"/>
    <n v="17965.72"/>
    <n v="500328"/>
    <n v="400262.40000000002"/>
    <n v="82099.879999999976"/>
    <s v="Carlos"/>
    <n v="3.8"/>
  </r>
  <r>
    <n v="664"/>
    <d v="2016-08-24T00:00:00"/>
    <x v="339"/>
    <x v="0"/>
    <s v="Casa"/>
    <n v="248"/>
    <s v="Venta"/>
    <n v="81720.28"/>
    <n v="2094317"/>
    <n v="1675453.6"/>
    <n v="337143.11999999988"/>
    <s v="Sabrina"/>
    <n v="4.7"/>
  </r>
  <r>
    <n v="665"/>
    <d v="2016-08-25T00:00:00"/>
    <x v="340"/>
    <x v="0"/>
    <s v="Estacionamiento"/>
    <n v="156"/>
    <s v="Venta"/>
    <n v="59720.08"/>
    <n v="1557112"/>
    <n v="1245689.6000000001"/>
    <n v="251702.31999999989"/>
    <s v="Arturo"/>
    <n v="4"/>
  </r>
  <r>
    <n v="666"/>
    <d v="2016-08-26T00:00:00"/>
    <x v="341"/>
    <x v="0"/>
    <s v="Local Comercial"/>
    <n v="266"/>
    <s v="Venta"/>
    <n v="57523.199999999997"/>
    <n v="1494465"/>
    <n v="1195572"/>
    <n v="241369.8"/>
    <s v="Sabrina"/>
    <n v="4.7"/>
  </r>
  <r>
    <n v="667"/>
    <d v="2016-08-26T00:00:00"/>
    <x v="341"/>
    <x v="3"/>
    <s v="Casa"/>
    <n v="112"/>
    <s v="Alquiler"/>
    <n v="25115.8"/>
    <n v="688405"/>
    <n v="550724"/>
    <n v="112565.2"/>
    <s v="Ángeles"/>
    <n v="4.2"/>
  </r>
  <r>
    <n v="668"/>
    <d v="2016-08-27T00:00:00"/>
    <x v="236"/>
    <x v="1"/>
    <s v="Casa"/>
    <n v="189"/>
    <s v="Venta"/>
    <n v="59643.199999999997"/>
    <n v="1549490"/>
    <n v="1239592"/>
    <n v="250254.8"/>
    <s v="Arturo"/>
    <n v="4"/>
  </r>
  <r>
    <n v="669"/>
    <d v="2016-08-27T00:00:00"/>
    <x v="38"/>
    <x v="0"/>
    <s v="Estacionamiento"/>
    <n v="283"/>
    <s v="Venta"/>
    <n v="68847.199999999997"/>
    <n v="1784315"/>
    <n v="1427452"/>
    <n v="288015.8"/>
    <s v="Sabrina"/>
    <n v="4.7"/>
  </r>
  <r>
    <n v="670"/>
    <d v="2016-08-28T00:00:00"/>
    <x v="212"/>
    <x v="0"/>
    <s v="Estacionamiento"/>
    <n v="286"/>
    <s v="Venta"/>
    <n v="86764.88"/>
    <n v="2225082"/>
    <n v="1780065.6"/>
    <n v="358251.5199999999"/>
    <s v="Ángeles"/>
    <n v="3.7"/>
  </r>
  <r>
    <n v="671"/>
    <d v="2016-08-28T00:00:00"/>
    <x v="181"/>
    <x v="0"/>
    <s v="Estacionamiento"/>
    <n v="228"/>
    <s v="Venta"/>
    <n v="50174.2"/>
    <n v="1314415"/>
    <n v="1051532"/>
    <n v="212708.8"/>
    <s v="Sabrina"/>
    <n v="4.8"/>
  </r>
  <r>
    <n v="672"/>
    <d v="2016-08-28T00:00:00"/>
    <x v="277"/>
    <x v="3"/>
    <s v="Casa"/>
    <n v="181"/>
    <s v="Venta"/>
    <n v="48354.04"/>
    <n v="1262411"/>
    <n v="1009928.8"/>
    <n v="204128.15999999995"/>
    <s v="Sabrina"/>
    <n v="4"/>
  </r>
  <r>
    <n v="673"/>
    <d v="2016-08-29T00:00:00"/>
    <x v="342"/>
    <x v="1"/>
    <s v="Departamento"/>
    <n v="62"/>
    <s v="Alquiler"/>
    <n v="18380.72"/>
    <n v="515803"/>
    <n v="412642.4"/>
    <n v="84779.879999999976"/>
    <s v="Sabrina"/>
    <n v="3.8"/>
  </r>
  <r>
    <n v="674"/>
    <d v="2016-08-29T00:00:00"/>
    <x v="343"/>
    <x v="3"/>
    <s v="Depósito"/>
    <n v="147"/>
    <s v="Venta"/>
    <n v="54709.72"/>
    <n v="1428653"/>
    <n v="1142922.3999999999"/>
    <n v="231020.88000000009"/>
    <s v="Arturo"/>
    <n v="3.6"/>
  </r>
  <r>
    <n v="675"/>
    <d v="2016-08-29T00:00:00"/>
    <x v="223"/>
    <x v="1"/>
    <s v="Casa"/>
    <n v="55"/>
    <s v="Alquiler"/>
    <n v="12492.64"/>
    <n v="366201"/>
    <n v="292960.8"/>
    <n v="60747.560000000012"/>
    <s v="Arturo"/>
    <n v="3.7"/>
  </r>
  <r>
    <n v="676"/>
    <d v="2016-08-29T00:00:00"/>
    <x v="226"/>
    <x v="3"/>
    <s v="Departamento"/>
    <n v="40"/>
    <s v="Alquiler"/>
    <n v="11467.52"/>
    <n v="348048"/>
    <n v="278438.40000000002"/>
    <n v="58142.079999999973"/>
    <s v="Romina"/>
    <n v="3.8"/>
  </r>
  <r>
    <n v="677"/>
    <d v="2016-08-30T00:00:00"/>
    <x v="192"/>
    <x v="3"/>
    <s v="Departamento"/>
    <n v="49"/>
    <s v="Alquiler"/>
    <n v="8151.12"/>
    <n v="263663"/>
    <n v="210930.4"/>
    <n v="44581.48"/>
    <s v="Carlos"/>
    <n v="4.9000000000000004"/>
  </r>
  <r>
    <n v="678"/>
    <d v="2016-08-30T00:00:00"/>
    <x v="274"/>
    <x v="3"/>
    <s v="Casa"/>
    <n v="219"/>
    <s v="Venta"/>
    <n v="48616"/>
    <n v="1275785"/>
    <n v="1020628"/>
    <n v="206541"/>
    <s v="Ángeles"/>
    <n v="4.9000000000000004"/>
  </r>
  <r>
    <n v="679"/>
    <d v="2016-08-30T00:00:00"/>
    <x v="197"/>
    <x v="3"/>
    <s v="Oficinas"/>
    <n v="106"/>
    <s v="Venta"/>
    <n v="41935.760000000002"/>
    <n v="1111454"/>
    <n v="889163.2"/>
    <n v="180355.04000000004"/>
    <s v="Carlos"/>
    <n v="4.4000000000000004"/>
  </r>
  <r>
    <n v="680"/>
    <d v="2016-08-30T00:00:00"/>
    <x v="273"/>
    <x v="1"/>
    <s v="Terreno"/>
    <n v="243"/>
    <s v="Venta"/>
    <n v="39966.559999999998"/>
    <n v="1066349"/>
    <n v="853079.2"/>
    <n v="173303.24000000005"/>
    <s v="Romina"/>
    <n v="4.2"/>
  </r>
  <r>
    <n v="681"/>
    <d v="2016-08-30T00:00:00"/>
    <x v="173"/>
    <x v="2"/>
    <s v="Casa"/>
    <n v="280"/>
    <s v="Venta"/>
    <n v="45757.16"/>
    <n v="1202589"/>
    <n v="962071.2"/>
    <n v="194760.64000000004"/>
    <s v="Iván"/>
    <n v="4.9000000000000004"/>
  </r>
  <r>
    <n v="682"/>
    <d v="2016-08-30T00:00:00"/>
    <x v="301"/>
    <x v="1"/>
    <s v="Oficinas"/>
    <n v="271"/>
    <s v="Venta"/>
    <n v="61896.68"/>
    <n v="1614177"/>
    <n v="1291341.6000000001"/>
    <n v="260938.71999999991"/>
    <s v="Carlos"/>
    <n v="3.8"/>
  </r>
  <r>
    <n v="683"/>
    <d v="2016-08-30T00:00:00"/>
    <x v="275"/>
    <x v="3"/>
    <s v="Oficinas"/>
    <n v="116"/>
    <s v="Venta"/>
    <n v="41324.32"/>
    <n v="1085918"/>
    <n v="868734.4"/>
    <n v="175859.27999999997"/>
    <s v="Iván"/>
    <n v="4.3"/>
  </r>
  <r>
    <n v="684"/>
    <d v="2016-08-31T00:00:00"/>
    <x v="284"/>
    <x v="3"/>
    <s v="Departamento"/>
    <n v="243"/>
    <s v="Venta"/>
    <n v="90278.76"/>
    <n v="2321729"/>
    <n v="1857383.2"/>
    <n v="374067.04000000004"/>
    <s v="Ángeles"/>
    <n v="4.7"/>
  </r>
  <r>
    <n v="685"/>
    <d v="2016-08-31T00:00:00"/>
    <x v="212"/>
    <x v="1"/>
    <s v="Oficinas"/>
    <n v="93"/>
    <s v="Alquiler"/>
    <n v="25757.64"/>
    <n v="698801"/>
    <n v="559040.80000000005"/>
    <n v="114002.55999999995"/>
    <s v="Romina"/>
    <n v="4.3"/>
  </r>
  <r>
    <n v="686"/>
    <d v="2016-08-31T00:00:00"/>
    <x v="344"/>
    <x v="1"/>
    <s v="Oficinas"/>
    <n v="50"/>
    <s v="Alquiler"/>
    <n v="12172.84"/>
    <n v="367256"/>
    <n v="293804.79999999999"/>
    <n v="61278.360000000015"/>
    <s v="Ángeles"/>
    <n v="4.2"/>
  </r>
  <r>
    <n v="687"/>
    <d v="2016-09-01T00:00:00"/>
    <x v="276"/>
    <x v="0"/>
    <s v="Oficinas"/>
    <n v="235"/>
    <s v="Venta"/>
    <n v="47989.2"/>
    <n v="1251365"/>
    <n v="1001092"/>
    <n v="202283.8"/>
    <s v="Sabrina"/>
    <n v="4.3"/>
  </r>
  <r>
    <n v="688"/>
    <d v="2016-09-01T00:00:00"/>
    <x v="97"/>
    <x v="1"/>
    <s v="Depósito"/>
    <n v="159"/>
    <s v="Alquiler"/>
    <n v="26566.52"/>
    <n v="725323"/>
    <n v="580258.4"/>
    <n v="118498.07999999997"/>
    <s v="Sabrina"/>
    <n v="4.5"/>
  </r>
  <r>
    <n v="689"/>
    <d v="2016-09-02T00:00:00"/>
    <x v="279"/>
    <x v="2"/>
    <s v="Depósito"/>
    <n v="60"/>
    <s v="Alquiler"/>
    <n v="23776.76"/>
    <n v="658629"/>
    <n v="526903.19999999995"/>
    <n v="107949.04000000005"/>
    <s v="Ángeles"/>
    <n v="4.7"/>
  </r>
  <r>
    <n v="690"/>
    <d v="2016-09-02T00:00:00"/>
    <x v="345"/>
    <x v="3"/>
    <s v="Estacionamiento"/>
    <n v="78"/>
    <s v="Alquiler"/>
    <n v="28191.68"/>
    <n v="759977"/>
    <n v="607981.6"/>
    <n v="123803.72000000003"/>
    <s v="Carlos"/>
    <n v="4.8"/>
  </r>
  <r>
    <n v="691"/>
    <d v="2016-09-02T00:00:00"/>
    <x v="199"/>
    <x v="0"/>
    <s v="Local Comercial"/>
    <n v="114"/>
    <s v="Venta"/>
    <n v="32445.48"/>
    <n v="863547"/>
    <n v="690837.6"/>
    <n v="140263.92000000001"/>
    <s v="Carlos"/>
    <n v="4.5999999999999996"/>
  </r>
  <r>
    <n v="692"/>
    <d v="2016-09-02T00:00:00"/>
    <x v="346"/>
    <x v="3"/>
    <s v="Departamento"/>
    <n v="173"/>
    <s v="Venta"/>
    <n v="39780.32"/>
    <n v="1059368"/>
    <n v="847494.4"/>
    <n v="172093.27999999997"/>
    <s v="Ángeles"/>
    <n v="4.5999999999999996"/>
  </r>
  <r>
    <n v="693"/>
    <d v="2016-09-03T00:00:00"/>
    <x v="56"/>
    <x v="2"/>
    <s v="Local Comercial"/>
    <n v="262"/>
    <s v="Venta"/>
    <n v="68289.279999999999"/>
    <n v="1758892"/>
    <n v="1407113.6"/>
    <n v="283489.11999999988"/>
    <s v="Iván"/>
    <n v="4.4000000000000004"/>
  </r>
  <r>
    <n v="694"/>
    <d v="2016-09-03T00:00:00"/>
    <x v="213"/>
    <x v="3"/>
    <s v="Estacionamiento"/>
    <n v="83"/>
    <s v="Alquiler"/>
    <n v="15053.28"/>
    <n v="429317"/>
    <n v="343453.6"/>
    <n v="70810.120000000024"/>
    <s v="Ángeles"/>
    <n v="3.7"/>
  </r>
  <r>
    <n v="695"/>
    <d v="2016-09-03T00:00:00"/>
    <x v="313"/>
    <x v="1"/>
    <s v="Local Comercial"/>
    <n v="201"/>
    <s v="Venta"/>
    <n v="60346.400000000001"/>
    <n v="1561070"/>
    <n v="1248856"/>
    <n v="251867.6"/>
    <s v="Arturo"/>
    <n v="3.9"/>
  </r>
  <r>
    <n v="696"/>
    <d v="2016-09-04T00:00:00"/>
    <x v="194"/>
    <x v="1"/>
    <s v="Terreno"/>
    <n v="251"/>
    <s v="Venta"/>
    <n v="54512.12"/>
    <n v="1415813"/>
    <n v="1132650.3999999999"/>
    <n v="228650.4800000001"/>
    <s v="Sabrina"/>
    <n v="3.7"/>
  </r>
  <r>
    <n v="697"/>
    <d v="2016-09-04T00:00:00"/>
    <x v="343"/>
    <x v="0"/>
    <s v="Local Comercial"/>
    <n v="156"/>
    <s v="Venta"/>
    <n v="61745.64"/>
    <n v="1606501"/>
    <n v="1285200.8"/>
    <n v="259554.55999999994"/>
    <s v="Romina"/>
    <n v="4.5999999999999996"/>
  </r>
  <r>
    <n v="698"/>
    <d v="2016-09-05T00:00:00"/>
    <x v="277"/>
    <x v="2"/>
    <s v="Terreno"/>
    <n v="182"/>
    <s v="Venta"/>
    <n v="30431.599999999999"/>
    <n v="825625"/>
    <n v="660500"/>
    <n v="134693.4"/>
    <s v="Romina"/>
    <n v="4.8"/>
  </r>
  <r>
    <n v="699"/>
    <d v="2016-09-05T00:00:00"/>
    <x v="286"/>
    <x v="1"/>
    <s v="Oficinas"/>
    <n v="67"/>
    <s v="Alquiler"/>
    <n v="21026.959999999999"/>
    <n v="579459"/>
    <n v="463567.2"/>
    <n v="94864.84"/>
    <s v="Sabrina"/>
    <n v="4.5999999999999996"/>
  </r>
  <r>
    <n v="700"/>
    <d v="2016-09-06T00:00:00"/>
    <x v="238"/>
    <x v="1"/>
    <s v="Estacionamiento"/>
    <n v="293"/>
    <s v="Venta"/>
    <n v="49006.6"/>
    <n v="1287800"/>
    <n v="1030240"/>
    <n v="208553.4"/>
    <s v="Sabrina"/>
    <n v="4.3"/>
  </r>
  <r>
    <n v="701"/>
    <d v="2016-09-06T00:00:00"/>
    <x v="226"/>
    <x v="2"/>
    <s v="Departamento"/>
    <n v="219"/>
    <s v="Venta"/>
    <n v="79728"/>
    <n v="2059685"/>
    <n v="1647748"/>
    <n v="332209"/>
    <s v="Carlos"/>
    <n v="4.5999999999999996"/>
  </r>
  <r>
    <n v="702"/>
    <d v="2016-09-07T00:00:00"/>
    <x v="38"/>
    <x v="2"/>
    <s v="Casa"/>
    <n v="289"/>
    <s v="Venta"/>
    <n v="101180"/>
    <n v="2589710"/>
    <n v="2071768"/>
    <n v="416762"/>
    <s v="Romina"/>
    <n v="3.9"/>
  </r>
  <r>
    <n v="703"/>
    <d v="2016-09-07T00:00:00"/>
    <x v="347"/>
    <x v="3"/>
    <s v="Depósito"/>
    <n v="154"/>
    <s v="Venta"/>
    <n v="52448.800000000003"/>
    <n v="1377605"/>
    <n v="1102084"/>
    <n v="223072.2"/>
    <s v="Ángeles"/>
    <n v="4"/>
  </r>
  <r>
    <n v="704"/>
    <d v="2016-09-08T00:00:00"/>
    <x v="288"/>
    <x v="2"/>
    <s v="Oficinas"/>
    <n v="272"/>
    <s v="Venta"/>
    <n v="100939.56"/>
    <n v="2576849"/>
    <n v="2061479.2"/>
    <n v="414430.24000000005"/>
    <s v="Romina"/>
    <n v="4.7"/>
  </r>
  <r>
    <n v="705"/>
    <d v="2016-09-08T00:00:00"/>
    <x v="348"/>
    <x v="0"/>
    <s v="Local Comercial"/>
    <n v="264"/>
    <s v="Venta"/>
    <n v="45902.68"/>
    <n v="1202327"/>
    <n v="961861.6"/>
    <n v="194562.72000000003"/>
    <s v="Sabrina"/>
    <n v="4.5"/>
  </r>
  <r>
    <n v="706"/>
    <d v="2016-09-08T00:00:00"/>
    <x v="344"/>
    <x v="2"/>
    <s v="Terreno"/>
    <n v="255"/>
    <s v="Venta"/>
    <n v="59437.4"/>
    <n v="1538045"/>
    <n v="1230436"/>
    <n v="248171.6"/>
    <s v="Carlos"/>
    <n v="3.6"/>
  </r>
  <r>
    <n v="707"/>
    <d v="2016-09-08T00:00:00"/>
    <x v="349"/>
    <x v="3"/>
    <s v="Estacionamiento"/>
    <n v="209"/>
    <s v="Venta"/>
    <n v="67322.8"/>
    <n v="1749605"/>
    <n v="1399684"/>
    <n v="282598.2"/>
    <s v="Romina"/>
    <n v="4.7"/>
  </r>
  <r>
    <n v="708"/>
    <d v="2016-09-08T00:00:00"/>
    <x v="227"/>
    <x v="0"/>
    <s v="Estacionamiento"/>
    <n v="154"/>
    <s v="Venta"/>
    <n v="44299.48"/>
    <n v="1160497"/>
    <n v="928397.6"/>
    <n v="187799.92"/>
    <s v="Arturo"/>
    <n v="4.3"/>
  </r>
  <r>
    <n v="709"/>
    <d v="2016-09-09T00:00:00"/>
    <x v="350"/>
    <x v="2"/>
    <s v="Oficinas"/>
    <n v="203"/>
    <s v="Venta"/>
    <n v="46221.8"/>
    <n v="1218155"/>
    <n v="974524"/>
    <n v="197409.2"/>
    <s v="Iván"/>
    <n v="4.5"/>
  </r>
  <r>
    <n v="710"/>
    <d v="2016-09-09T00:00:00"/>
    <x v="351"/>
    <x v="2"/>
    <s v="Casa"/>
    <n v="270"/>
    <s v="Venta"/>
    <n v="50665.440000000002"/>
    <n v="1328121"/>
    <n v="1062496.8"/>
    <n v="214958.75999999995"/>
    <s v="Ángeles"/>
    <n v="4.0999999999999996"/>
  </r>
  <r>
    <n v="711"/>
    <d v="2016-09-10T00:00:00"/>
    <x v="50"/>
    <x v="2"/>
    <s v="Casa"/>
    <n v="283"/>
    <s v="Venta"/>
    <n v="83723.399999999994"/>
    <n v="2150520"/>
    <n v="1720416"/>
    <n v="346380.6"/>
    <s v="Sabrina"/>
    <n v="4.8"/>
  </r>
  <r>
    <n v="712"/>
    <d v="2016-09-10T00:00:00"/>
    <x v="329"/>
    <x v="2"/>
    <s v="Depósito"/>
    <n v="237"/>
    <s v="Venta"/>
    <n v="90414.720000000001"/>
    <n v="2317153"/>
    <n v="1853722.4"/>
    <n v="373015.88000000012"/>
    <s v="Ángeles"/>
    <n v="4.5"/>
  </r>
  <r>
    <n v="713"/>
    <d v="2016-09-10T00:00:00"/>
    <x v="352"/>
    <x v="0"/>
    <s v="Departamento"/>
    <n v="70"/>
    <s v="Alquiler"/>
    <n v="26764.52"/>
    <n v="724948"/>
    <n v="579958.4"/>
    <n v="118225.07999999997"/>
    <s v="Sabrina"/>
    <n v="5"/>
  </r>
  <r>
    <n v="714"/>
    <d v="2016-09-10T00:00:00"/>
    <x v="242"/>
    <x v="1"/>
    <s v="Local Comercial"/>
    <n v="228"/>
    <s v="Venta"/>
    <n v="84474.4"/>
    <n v="2171695"/>
    <n v="1737356"/>
    <n v="349864.6"/>
    <s v="Arturo"/>
    <n v="3.6"/>
  </r>
  <r>
    <n v="715"/>
    <d v="2016-09-10T00:00:00"/>
    <x v="113"/>
    <x v="3"/>
    <s v="Terreno"/>
    <n v="40"/>
    <s v="Alquiler"/>
    <n v="11948.24"/>
    <n v="366166"/>
    <n v="292932.8"/>
    <n v="61284.960000000014"/>
    <s v="Iván"/>
    <n v="4.3"/>
  </r>
  <r>
    <n v="716"/>
    <d v="2016-09-10T00:00:00"/>
    <x v="353"/>
    <x v="3"/>
    <s v="Terreno"/>
    <n v="201"/>
    <s v="Venta"/>
    <n v="71070.92"/>
    <n v="1830333"/>
    <n v="1464266.4"/>
    <n v="294995.68000000011"/>
    <s v="Sabrina"/>
    <n v="4.4000000000000004"/>
  </r>
  <r>
    <n v="717"/>
    <d v="2016-09-10T00:00:00"/>
    <x v="239"/>
    <x v="1"/>
    <s v="Casa"/>
    <n v="41"/>
    <s v="Alquiler"/>
    <n v="17075.919999999998"/>
    <n v="493983"/>
    <n v="395186.4"/>
    <n v="81720.679999999978"/>
    <s v="Iván"/>
    <n v="3.7"/>
  </r>
  <r>
    <n v="718"/>
    <d v="2016-09-11T00:00:00"/>
    <x v="180"/>
    <x v="3"/>
    <s v="Estacionamiento"/>
    <n v="154"/>
    <s v="Alquiler"/>
    <n v="28461.68"/>
    <n v="772577"/>
    <n v="618061.6"/>
    <n v="126053.72000000003"/>
    <s v="Ángeles"/>
    <n v="4.4000000000000004"/>
  </r>
  <r>
    <n v="719"/>
    <d v="2016-09-11T00:00:00"/>
    <x v="259"/>
    <x v="2"/>
    <s v="Depósito"/>
    <n v="276"/>
    <s v="Venta"/>
    <n v="61854.559999999998"/>
    <n v="1602324"/>
    <n v="1281859.2"/>
    <n v="258610.24000000005"/>
    <s v="Arturo"/>
    <n v="3.8"/>
  </r>
  <r>
    <n v="720"/>
    <d v="2016-09-11T00:00:00"/>
    <x v="354"/>
    <x v="3"/>
    <s v="Departamento"/>
    <n v="220"/>
    <s v="Venta"/>
    <n v="87883.32"/>
    <n v="2253093"/>
    <n v="1802474.4"/>
    <n v="362735.28000000009"/>
    <s v="Sabrina"/>
    <n v="3.7"/>
  </r>
  <r>
    <n v="721"/>
    <d v="2016-09-12T00:00:00"/>
    <x v="355"/>
    <x v="1"/>
    <s v="Local Comercial"/>
    <n v="39"/>
    <s v="Alquiler"/>
    <n v="9638.84"/>
    <n v="303081"/>
    <n v="242464.8"/>
    <n v="50977.360000000015"/>
    <s v="Sabrina"/>
    <n v="4.3"/>
  </r>
  <r>
    <n v="722"/>
    <d v="2016-09-12T00:00:00"/>
    <x v="348"/>
    <x v="0"/>
    <s v="Departamento"/>
    <n v="79"/>
    <s v="Alquiler"/>
    <n v="23298.84"/>
    <n v="648031"/>
    <n v="518424.8"/>
    <n v="106307.36000000002"/>
    <s v="Romina"/>
    <n v="3.9"/>
  </r>
  <r>
    <n v="723"/>
    <d v="2016-09-12T00:00:00"/>
    <x v="200"/>
    <x v="1"/>
    <s v="Oficinas"/>
    <n v="50"/>
    <s v="Alquiler"/>
    <n v="19549.32"/>
    <n v="554993"/>
    <n v="443994.4"/>
    <n v="91449.27999999997"/>
    <s v="Ángeles"/>
    <n v="3.9"/>
  </r>
  <r>
    <n v="724"/>
    <d v="2016-09-12T00:00:00"/>
    <x v="356"/>
    <x v="1"/>
    <s v="Oficinas"/>
    <n v="236"/>
    <s v="Venta"/>
    <n v="82572.92"/>
    <n v="2121858"/>
    <n v="1697486.4"/>
    <n v="341798.68000000011"/>
    <s v="Carlos"/>
    <n v="4.2"/>
  </r>
  <r>
    <n v="725"/>
    <d v="2016-09-13T00:00:00"/>
    <x v="208"/>
    <x v="0"/>
    <s v="Casa"/>
    <n v="173"/>
    <s v="Venta"/>
    <n v="35283.199999999997"/>
    <n v="938465"/>
    <n v="750772"/>
    <n v="152409.79999999999"/>
    <s v="Romina"/>
    <n v="4"/>
  </r>
  <r>
    <n v="726"/>
    <d v="2016-09-13T00:00:00"/>
    <x v="227"/>
    <x v="1"/>
    <s v="Oficinas"/>
    <n v="108"/>
    <s v="Venta"/>
    <n v="42509.4"/>
    <n v="1117845"/>
    <n v="894276"/>
    <n v="181059.6"/>
    <s v="Ángeles"/>
    <n v="4.9000000000000004"/>
  </r>
  <r>
    <n v="727"/>
    <d v="2016-09-15T00:00:00"/>
    <x v="357"/>
    <x v="2"/>
    <s v="Depósito"/>
    <n v="188"/>
    <s v="Venta"/>
    <n v="46116.6"/>
    <n v="1204925"/>
    <n v="963940"/>
    <n v="194868.4"/>
    <s v="Sabrina"/>
    <n v="4.4000000000000004"/>
  </r>
  <r>
    <n v="728"/>
    <d v="2016-09-16T00:00:00"/>
    <x v="227"/>
    <x v="3"/>
    <s v="Depósito"/>
    <n v="135"/>
    <s v="Alquiler"/>
    <n v="22454.84"/>
    <n v="622231"/>
    <n v="497784.8"/>
    <n v="101991.36000000002"/>
    <s v="Arturo"/>
    <n v="4.7"/>
  </r>
  <r>
    <n v="729"/>
    <d v="2016-09-16T00:00:00"/>
    <x v="358"/>
    <x v="3"/>
    <s v="Terreno"/>
    <n v="190"/>
    <s v="Venta"/>
    <n v="74979.48"/>
    <n v="1941672"/>
    <n v="1553337.6"/>
    <n v="313354.91999999993"/>
    <s v="Arturo"/>
    <n v="3.6"/>
  </r>
  <r>
    <n v="730"/>
    <d v="2016-09-16T00:00:00"/>
    <x v="44"/>
    <x v="3"/>
    <s v="Terreno"/>
    <n v="279"/>
    <s v="Venta"/>
    <n v="72450.559999999998"/>
    <n v="1867149"/>
    <n v="1493719.2"/>
    <n v="300979.24000000005"/>
    <s v="Arturo"/>
    <n v="4.4000000000000004"/>
  </r>
  <r>
    <n v="731"/>
    <d v="2016-09-16T00:00:00"/>
    <x v="229"/>
    <x v="0"/>
    <s v="Oficinas"/>
    <n v="106"/>
    <s v="Alquiler"/>
    <n v="21480.84"/>
    <n v="591731"/>
    <n v="473384.8"/>
    <n v="96865.360000000015"/>
    <s v="Carlos"/>
    <n v="3.6"/>
  </r>
  <r>
    <n v="732"/>
    <d v="2016-09-16T00:00:00"/>
    <x v="26"/>
    <x v="1"/>
    <s v="Terreno"/>
    <n v="114"/>
    <s v="Alquiler"/>
    <n v="25262.720000000001"/>
    <n v="689228"/>
    <n v="551382.4"/>
    <n v="112582.87999999998"/>
    <s v="Arturo"/>
    <n v="4.2"/>
  </r>
  <r>
    <n v="733"/>
    <d v="2016-09-17T00:00:00"/>
    <x v="359"/>
    <x v="1"/>
    <s v="Depósito"/>
    <n v="160"/>
    <s v="Venta"/>
    <n v="47958.76"/>
    <n v="1261729"/>
    <n v="1009383.2"/>
    <n v="204387.04000000004"/>
    <s v="Iván"/>
    <n v="4.0999999999999996"/>
  </r>
  <r>
    <n v="734"/>
    <d v="2016-09-17T00:00:00"/>
    <x v="304"/>
    <x v="2"/>
    <s v="Casa"/>
    <n v="81"/>
    <s v="Alquiler"/>
    <n v="24839.8"/>
    <n v="680955"/>
    <n v="544764"/>
    <n v="111351.2"/>
    <s v="Ángeles"/>
    <n v="3.6"/>
  </r>
  <r>
    <n v="735"/>
    <d v="2016-09-18T00:00:00"/>
    <x v="295"/>
    <x v="1"/>
    <s v="Estacionamiento"/>
    <n v="83"/>
    <s v="Alquiler"/>
    <n v="22716.92"/>
    <n v="624508"/>
    <n v="499606.4"/>
    <n v="102184.67999999998"/>
    <s v="Carlos"/>
    <n v="3.6"/>
  </r>
  <r>
    <n v="736"/>
    <d v="2016-09-19T00:00:00"/>
    <x v="310"/>
    <x v="1"/>
    <s v="Estacionamiento"/>
    <n v="106"/>
    <s v="Venta"/>
    <n v="32600.400000000001"/>
    <n v="877045"/>
    <n v="701636"/>
    <n v="142808.6"/>
    <s v="Arturo"/>
    <n v="4.5"/>
  </r>
  <r>
    <n v="737"/>
    <d v="2016-09-19T00:00:00"/>
    <x v="305"/>
    <x v="0"/>
    <s v="Estacionamiento"/>
    <n v="82"/>
    <s v="Venta"/>
    <n v="30481.200000000001"/>
    <n v="817465"/>
    <n v="653972"/>
    <n v="133011.79999999999"/>
    <s v="Carlos"/>
    <n v="3.7"/>
  </r>
  <r>
    <n v="738"/>
    <d v="2016-09-19T00:00:00"/>
    <x v="360"/>
    <x v="2"/>
    <s v="Depósito"/>
    <n v="288"/>
    <s v="Venta"/>
    <n v="46899.12"/>
    <n v="1238063"/>
    <n v="990450.4"/>
    <n v="200713.47999999998"/>
    <s v="Sabrina"/>
    <n v="4.4000000000000004"/>
  </r>
  <r>
    <n v="739"/>
    <d v="2016-09-20T00:00:00"/>
    <x v="348"/>
    <x v="2"/>
    <s v="Terreno"/>
    <n v="245"/>
    <s v="Venta"/>
    <n v="60475"/>
    <n v="1564235"/>
    <n v="1251388"/>
    <n v="252372"/>
    <s v="Sabrina"/>
    <n v="3.6"/>
  </r>
  <r>
    <n v="740"/>
    <d v="2016-09-21T00:00:00"/>
    <x v="188"/>
    <x v="3"/>
    <s v="Departamento"/>
    <n v="249"/>
    <s v="Venta"/>
    <n v="91920.72"/>
    <n v="2364903"/>
    <n v="1891922.4"/>
    <n v="381059.88000000012"/>
    <s v="Carlos"/>
    <n v="4.5999999999999996"/>
  </r>
  <r>
    <n v="741"/>
    <d v="2016-09-21T00:00:00"/>
    <x v="324"/>
    <x v="3"/>
    <s v="Casa"/>
    <n v="121"/>
    <s v="Venta"/>
    <n v="46625.96"/>
    <n v="1220759"/>
    <n v="976607.2"/>
    <n v="197525.84000000005"/>
    <s v="Ángeles"/>
    <n v="4.3"/>
  </r>
  <r>
    <n v="742"/>
    <d v="2016-09-22T00:00:00"/>
    <x v="226"/>
    <x v="1"/>
    <s v="Oficinas"/>
    <n v="211"/>
    <s v="Venta"/>
    <n v="52237.440000000002"/>
    <n v="1366721"/>
    <n v="1093376.8"/>
    <n v="221106.75999999995"/>
    <s v="Arturo"/>
    <n v="5"/>
  </r>
  <r>
    <n v="743"/>
    <d v="2016-09-22T00:00:00"/>
    <x v="361"/>
    <x v="0"/>
    <s v="Depósito"/>
    <n v="52"/>
    <s v="Alquiler"/>
    <n v="21096.560000000001"/>
    <n v="579349"/>
    <n v="463479.2"/>
    <n v="94773.239999999991"/>
    <s v="Ángeles"/>
    <n v="4.8"/>
  </r>
  <r>
    <n v="744"/>
    <d v="2016-09-22T00:00:00"/>
    <x v="362"/>
    <x v="3"/>
    <s v="Casa"/>
    <n v="92"/>
    <s v="Alquiler"/>
    <n v="20933.599999999999"/>
    <n v="574550"/>
    <n v="459640"/>
    <n v="93976.4"/>
    <s v="Iván"/>
    <n v="4.9000000000000004"/>
  </r>
  <r>
    <n v="745"/>
    <d v="2016-09-22T00:00:00"/>
    <x v="268"/>
    <x v="1"/>
    <s v="Oficinas"/>
    <n v="76"/>
    <s v="Alquiler"/>
    <n v="16686.8"/>
    <n v="481780"/>
    <n v="385424"/>
    <n v="79669.2"/>
    <s v="Arturo"/>
    <n v="4.5999999999999996"/>
  </r>
  <r>
    <n v="746"/>
    <d v="2016-09-22T00:00:00"/>
    <x v="363"/>
    <x v="3"/>
    <s v="Terreno"/>
    <n v="132"/>
    <s v="Alquiler"/>
    <n v="29263.24"/>
    <n v="797541"/>
    <n v="638032.80000000005"/>
    <n v="130244.95999999995"/>
    <s v="Iván"/>
    <n v="3.6"/>
  </r>
  <r>
    <n v="747"/>
    <d v="2016-09-22T00:00:00"/>
    <x v="64"/>
    <x v="0"/>
    <s v="Local Comercial"/>
    <n v="172"/>
    <s v="Venta"/>
    <n v="53593.8"/>
    <n v="1391955"/>
    <n v="1113564"/>
    <n v="224797.2"/>
    <s v="Ángeles"/>
    <n v="3.7"/>
  </r>
  <r>
    <n v="748"/>
    <d v="2016-09-22T00:00:00"/>
    <x v="298"/>
    <x v="1"/>
    <s v="Casa"/>
    <n v="225"/>
    <s v="Venta"/>
    <n v="85106.2"/>
    <n v="2181965"/>
    <n v="1745572"/>
    <n v="351286.8"/>
    <s v="Ángeles"/>
    <n v="4.5999999999999996"/>
  </r>
  <r>
    <n v="749"/>
    <d v="2016-09-23T00:00:00"/>
    <x v="364"/>
    <x v="0"/>
    <s v="Departamento"/>
    <n v="109"/>
    <s v="Alquiler"/>
    <n v="25966.16"/>
    <n v="716039"/>
    <n v="572831.19999999995"/>
    <n v="117241.64000000004"/>
    <s v="Arturo"/>
    <n v="4.4000000000000004"/>
  </r>
  <r>
    <n v="750"/>
    <d v="2016-09-23T00:00:00"/>
    <x v="332"/>
    <x v="0"/>
    <s v="Estacionamiento"/>
    <n v="290"/>
    <s v="Venta"/>
    <n v="52635.44"/>
    <n v="1372421"/>
    <n v="1097936.8"/>
    <n v="221848.75999999995"/>
    <s v="Romina"/>
    <n v="4.8"/>
  </r>
  <r>
    <n v="751"/>
    <d v="2016-09-23T00:00:00"/>
    <x v="365"/>
    <x v="0"/>
    <s v="Local Comercial"/>
    <n v="129"/>
    <s v="Alquiler"/>
    <n v="21409.64"/>
    <n v="592601"/>
    <n v="474080.8"/>
    <n v="97110.560000000012"/>
    <s v="Sabrina"/>
    <n v="5"/>
  </r>
  <r>
    <n v="752"/>
    <d v="2016-09-25T00:00:00"/>
    <x v="338"/>
    <x v="1"/>
    <s v="Oficinas"/>
    <n v="178"/>
    <s v="Venta"/>
    <n v="59200.88"/>
    <n v="1546357"/>
    <n v="1237085.6000000001"/>
    <n v="250070.5199999999"/>
    <s v="Sabrina"/>
    <n v="4.5999999999999996"/>
  </r>
  <r>
    <n v="753"/>
    <d v="2016-09-25T00:00:00"/>
    <x v="366"/>
    <x v="2"/>
    <s v="Local Comercial"/>
    <n v="61"/>
    <s v="Alquiler"/>
    <n v="15395.2"/>
    <n v="436140"/>
    <n v="348912"/>
    <n v="71832.800000000003"/>
    <s v="Sabrina"/>
    <n v="4.3"/>
  </r>
  <r>
    <n v="754"/>
    <d v="2016-09-25T00:00:00"/>
    <x v="367"/>
    <x v="3"/>
    <s v="Casa"/>
    <n v="244"/>
    <s v="Venta"/>
    <n v="47564.28"/>
    <n v="1243042"/>
    <n v="994433.6"/>
    <n v="201044.12000000002"/>
    <s v="Ángeles"/>
    <n v="3.7"/>
  </r>
  <r>
    <n v="755"/>
    <d v="2016-09-25T00:00:00"/>
    <x v="197"/>
    <x v="3"/>
    <s v="Terreno"/>
    <n v="232"/>
    <s v="Venta"/>
    <n v="87508.2"/>
    <n v="2239140"/>
    <n v="1791312"/>
    <n v="360319.8"/>
    <s v="Arturo"/>
    <n v="4.9000000000000004"/>
  </r>
  <r>
    <n v="756"/>
    <d v="2016-09-26T00:00:00"/>
    <x v="331"/>
    <x v="0"/>
    <s v="Terreno"/>
    <n v="43"/>
    <s v="Alquiler"/>
    <n v="11316"/>
    <n v="345335"/>
    <n v="276268"/>
    <n v="57751"/>
    <s v="Arturo"/>
    <n v="4.0999999999999996"/>
  </r>
  <r>
    <n v="757"/>
    <d v="2016-09-26T00:00:00"/>
    <x v="261"/>
    <x v="3"/>
    <s v="Depósito"/>
    <n v="39"/>
    <s v="Alquiler"/>
    <n v="11562.04"/>
    <n v="343211"/>
    <n v="274568.8"/>
    <n v="57080.160000000011"/>
    <s v="Iván"/>
    <n v="4"/>
  </r>
  <r>
    <n v="758"/>
    <d v="2016-09-26T00:00:00"/>
    <x v="368"/>
    <x v="0"/>
    <s v="Local Comercial"/>
    <n v="266"/>
    <s v="Venta"/>
    <n v="60696.72"/>
    <n v="1571653"/>
    <n v="1257322.3999999999"/>
    <n v="253633.88000000009"/>
    <s v="Sabrina"/>
    <n v="3.8"/>
  </r>
  <r>
    <n v="759"/>
    <d v="2016-09-26T00:00:00"/>
    <x v="113"/>
    <x v="1"/>
    <s v="Oficinas"/>
    <n v="113"/>
    <s v="Venta"/>
    <n v="31921.200000000001"/>
    <n v="860165"/>
    <n v="688132"/>
    <n v="140111.79999999999"/>
    <s v="Ángeles"/>
    <n v="4.7"/>
  </r>
  <r>
    <n v="760"/>
    <d v="2016-09-26T00:00:00"/>
    <x v="332"/>
    <x v="0"/>
    <s v="Terreno"/>
    <n v="296"/>
    <s v="Venta"/>
    <n v="66733.2"/>
    <n v="1731815"/>
    <n v="1385452"/>
    <n v="279629.8"/>
    <s v="Carlos"/>
    <n v="5"/>
  </r>
  <r>
    <n v="761"/>
    <d v="2016-09-26T00:00:00"/>
    <x v="344"/>
    <x v="0"/>
    <s v="Casa"/>
    <n v="45"/>
    <s v="Alquiler"/>
    <n v="15498"/>
    <n v="448185"/>
    <n v="358548"/>
    <n v="74139"/>
    <s v="Romina"/>
    <n v="4.2"/>
  </r>
  <r>
    <n v="762"/>
    <d v="2016-09-26T00:00:00"/>
    <x v="326"/>
    <x v="3"/>
    <s v="Terreno"/>
    <n v="44"/>
    <s v="Alquiler"/>
    <n v="13996.48"/>
    <n v="408197"/>
    <n v="326557.59999999998"/>
    <n v="67642.920000000027"/>
    <s v="Ángeles"/>
    <n v="4"/>
  </r>
  <r>
    <n v="763"/>
    <d v="2016-09-27T00:00:00"/>
    <x v="336"/>
    <x v="2"/>
    <s v="Terreno"/>
    <n v="284"/>
    <s v="Venta"/>
    <n v="95764.32"/>
    <n v="2448293"/>
    <n v="1958634.4"/>
    <n v="393894.28000000009"/>
    <s v="Carlos"/>
    <n v="4.8"/>
  </r>
  <r>
    <n v="764"/>
    <d v="2016-09-27T00:00:00"/>
    <x v="369"/>
    <x v="0"/>
    <s v="Local Comercial"/>
    <n v="205"/>
    <s v="Venta"/>
    <n v="43947.6"/>
    <n v="1158725"/>
    <n v="926980"/>
    <n v="187797.4"/>
    <s v="Arturo"/>
    <n v="4"/>
  </r>
  <r>
    <n v="765"/>
    <d v="2016-09-28T00:00:00"/>
    <x v="96"/>
    <x v="3"/>
    <s v="Casa"/>
    <n v="287"/>
    <s v="Venta"/>
    <n v="93303.24"/>
    <n v="2390966"/>
    <n v="1912772.8"/>
    <n v="384889.95999999996"/>
    <s v="Romina"/>
    <n v="4"/>
  </r>
  <r>
    <n v="766"/>
    <d v="2016-09-29T00:00:00"/>
    <x v="210"/>
    <x v="3"/>
    <s v="Casa"/>
    <n v="200"/>
    <s v="Venta"/>
    <n v="40555.199999999997"/>
    <n v="1080965"/>
    <n v="864772"/>
    <n v="175637.8"/>
    <s v="Iván"/>
    <n v="4.9000000000000004"/>
  </r>
  <r>
    <n v="767"/>
    <d v="2016-09-29T00:00:00"/>
    <x v="289"/>
    <x v="2"/>
    <s v="Depósito"/>
    <n v="90"/>
    <s v="Alquiler"/>
    <n v="19475"/>
    <n v="546635"/>
    <n v="437308"/>
    <n v="89852"/>
    <s v="Iván"/>
    <n v="4"/>
  </r>
  <r>
    <n v="768"/>
    <d v="2016-09-29T00:00:00"/>
    <x v="282"/>
    <x v="3"/>
    <s v="Casa"/>
    <n v="226"/>
    <s v="Venta"/>
    <n v="47906.48"/>
    <n v="1249697"/>
    <n v="999757.6"/>
    <n v="202032.92"/>
    <s v="Romina"/>
    <n v="4.5999999999999996"/>
  </r>
  <r>
    <n v="769"/>
    <d v="2016-10-02T00:00:00"/>
    <x v="370"/>
    <x v="3"/>
    <s v="Oficinas"/>
    <n v="154"/>
    <s v="Venta"/>
    <n v="45753.24"/>
    <n v="1198616"/>
    <n v="958892.8"/>
    <n v="193969.95999999996"/>
    <s v="Arturo"/>
    <n v="3.7"/>
  </r>
  <r>
    <n v="770"/>
    <d v="2016-10-04T00:00:00"/>
    <x v="210"/>
    <x v="3"/>
    <s v="Depósito"/>
    <n v="180"/>
    <s v="Venta"/>
    <n v="52649.599999999999"/>
    <n v="1380325"/>
    <n v="1104260"/>
    <n v="223415.4"/>
    <s v="Romina"/>
    <n v="4.8"/>
  </r>
  <r>
    <n v="771"/>
    <d v="2016-10-04T00:00:00"/>
    <x v="371"/>
    <x v="1"/>
    <s v="Depósito"/>
    <n v="39"/>
    <s v="Alquiler"/>
    <n v="8063.56"/>
    <n v="260049"/>
    <n v="208039.2"/>
    <n v="43946.239999999991"/>
    <s v="Sabrina"/>
    <n v="3.9"/>
  </r>
  <r>
    <n v="772"/>
    <d v="2016-10-04T00:00:00"/>
    <x v="44"/>
    <x v="3"/>
    <s v="Depósito"/>
    <n v="271"/>
    <s v="Venta"/>
    <n v="53890.92"/>
    <n v="1400433"/>
    <n v="1120346.3999999999"/>
    <n v="226195.68000000011"/>
    <s v="Iván"/>
    <n v="3.9"/>
  </r>
  <r>
    <n v="773"/>
    <d v="2016-10-04T00:00:00"/>
    <x v="349"/>
    <x v="1"/>
    <s v="Depósito"/>
    <n v="53"/>
    <s v="Alquiler"/>
    <n v="18568.759999999998"/>
    <n v="521229"/>
    <n v="416983.2"/>
    <n v="85677.04"/>
    <s v="Carlos"/>
    <n v="5"/>
  </r>
  <r>
    <n v="774"/>
    <d v="2016-10-05T00:00:00"/>
    <x v="254"/>
    <x v="2"/>
    <s v="Departamento"/>
    <n v="240"/>
    <s v="Venta"/>
    <n v="92064.08"/>
    <n v="2368637"/>
    <n v="1894909.6"/>
    <n v="381663.31999999989"/>
    <s v="Carlos"/>
    <n v="3.8"/>
  </r>
  <r>
    <n v="775"/>
    <d v="2016-10-05T00:00:00"/>
    <x v="347"/>
    <x v="0"/>
    <s v="Local Comercial"/>
    <n v="197"/>
    <s v="Venta"/>
    <n v="63124"/>
    <n v="1642985"/>
    <n v="1314388"/>
    <n v="265473"/>
    <s v="Romina"/>
    <n v="3.9"/>
  </r>
  <r>
    <n v="776"/>
    <d v="2016-10-05T00:00:00"/>
    <x v="185"/>
    <x v="0"/>
    <s v="Oficinas"/>
    <n v="69"/>
    <s v="Alquiler"/>
    <n v="15702.4"/>
    <n v="447645"/>
    <n v="358116"/>
    <n v="73826.600000000006"/>
    <s v="Carlos"/>
    <n v="4.4000000000000004"/>
  </r>
  <r>
    <n v="777"/>
    <d v="2016-10-05T00:00:00"/>
    <x v="372"/>
    <x v="2"/>
    <s v="Casa"/>
    <n v="61"/>
    <s v="Alquiler"/>
    <n v="23234.84"/>
    <n v="648281"/>
    <n v="518624.8"/>
    <n v="106421.36000000002"/>
    <s v="Sabrina"/>
    <n v="3.6"/>
  </r>
  <r>
    <n v="778"/>
    <d v="2016-10-06T00:00:00"/>
    <x v="373"/>
    <x v="1"/>
    <s v="Departamento"/>
    <n v="225"/>
    <s v="Venta"/>
    <n v="61583.28"/>
    <n v="1591217"/>
    <n v="1272973.6000000001"/>
    <n v="256660.11999999991"/>
    <s v="Iván"/>
    <n v="3.8"/>
  </r>
  <r>
    <n v="779"/>
    <d v="2016-10-06T00:00:00"/>
    <x v="203"/>
    <x v="1"/>
    <s v="Depósito"/>
    <n v="252"/>
    <s v="Venta"/>
    <n v="74075.399999999994"/>
    <n v="1914245"/>
    <n v="1531396"/>
    <n v="308773.59999999998"/>
    <s v="Ángeles"/>
    <n v="4.0999999999999996"/>
  </r>
  <r>
    <n v="780"/>
    <d v="2016-10-06T00:00:00"/>
    <x v="158"/>
    <x v="0"/>
    <s v="Depósito"/>
    <n v="179"/>
    <s v="Venta"/>
    <n v="63620.2"/>
    <n v="1643765"/>
    <n v="1315012"/>
    <n v="265132.79999999999"/>
    <s v="Romina"/>
    <n v="4.9000000000000004"/>
  </r>
  <r>
    <n v="781"/>
    <d v="2016-10-06T00:00:00"/>
    <x v="212"/>
    <x v="0"/>
    <s v="Depósito"/>
    <n v="154"/>
    <s v="Venta"/>
    <n v="47808.6"/>
    <n v="1253875"/>
    <n v="1003100"/>
    <n v="202966.39999999999"/>
    <s v="Sabrina"/>
    <n v="4.7"/>
  </r>
  <r>
    <n v="782"/>
    <d v="2016-10-06T00:00:00"/>
    <x v="374"/>
    <x v="1"/>
    <s v="Local Comercial"/>
    <n v="67"/>
    <s v="Alquiler"/>
    <n v="11288.84"/>
    <n v="336481"/>
    <n v="269184.8"/>
    <n v="56007.360000000015"/>
    <s v="Ángeles"/>
    <n v="5"/>
  </r>
  <r>
    <n v="783"/>
    <d v="2016-10-06T00:00:00"/>
    <x v="213"/>
    <x v="0"/>
    <s v="Depósito"/>
    <n v="214"/>
    <s v="Venta"/>
    <n v="57205.72"/>
    <n v="1492178"/>
    <n v="1193742.3999999999"/>
    <n v="241229.88000000009"/>
    <s v="Carlos"/>
    <n v="4.7"/>
  </r>
  <r>
    <n v="784"/>
    <d v="2016-10-06T00:00:00"/>
    <x v="365"/>
    <x v="1"/>
    <s v="Departamento"/>
    <n v="80"/>
    <s v="Venta"/>
    <n v="29978.240000000002"/>
    <n v="815191"/>
    <n v="652152.80000000005"/>
    <n v="133059.95999999996"/>
    <s v="Ángeles"/>
    <n v="4"/>
  </r>
  <r>
    <n v="785"/>
    <d v="2016-10-06T00:00:00"/>
    <x v="375"/>
    <x v="0"/>
    <s v="Local Comercial"/>
    <n v="225"/>
    <s v="Venta"/>
    <n v="66461.919999999998"/>
    <n v="1721633"/>
    <n v="1377306.4"/>
    <n v="277864.68000000011"/>
    <s v="Sabrina"/>
    <n v="4.8"/>
  </r>
  <r>
    <n v="786"/>
    <d v="2016-10-06T00:00:00"/>
    <x v="269"/>
    <x v="0"/>
    <s v="Terreno"/>
    <n v="217"/>
    <s v="Venta"/>
    <n v="35322.92"/>
    <n v="949733"/>
    <n v="759786.4"/>
    <n v="154623.67999999999"/>
    <s v="Iván"/>
    <n v="4.8"/>
  </r>
  <r>
    <n v="787"/>
    <d v="2016-10-06T00:00:00"/>
    <x v="289"/>
    <x v="0"/>
    <s v="Casa"/>
    <n v="274"/>
    <s v="Venta"/>
    <n v="81985.16"/>
    <n v="2101364"/>
    <n v="1681091.2"/>
    <n v="338287.64"/>
    <s v="Ángeles"/>
    <n v="3.6"/>
  </r>
  <r>
    <n v="788"/>
    <d v="2016-10-07T00:00:00"/>
    <x v="376"/>
    <x v="0"/>
    <s v="Departamento"/>
    <n v="85"/>
    <s v="Venta"/>
    <n v="33322.080000000002"/>
    <n v="890337"/>
    <n v="712269.6"/>
    <n v="144745.32"/>
    <s v="Romina"/>
    <n v="5"/>
  </r>
  <r>
    <n v="789"/>
    <d v="2016-10-07T00:00:00"/>
    <x v="312"/>
    <x v="0"/>
    <s v="Depósito"/>
    <n v="245"/>
    <s v="Venta"/>
    <n v="70033.960000000006"/>
    <n v="1818334"/>
    <n v="1454667.2"/>
    <n v="293632.84000000003"/>
    <s v="Sabrina"/>
    <n v="3.8"/>
  </r>
  <r>
    <n v="790"/>
    <d v="2016-10-07T00:00:00"/>
    <x v="149"/>
    <x v="3"/>
    <s v="Local Comercial"/>
    <n v="101"/>
    <s v="Alquiler"/>
    <n v="25205.4"/>
    <n v="683945"/>
    <n v="547156"/>
    <n v="111583.6"/>
    <s v="Sabrina"/>
    <n v="3.9"/>
  </r>
  <r>
    <n v="791"/>
    <d v="2016-10-08T00:00:00"/>
    <x v="324"/>
    <x v="2"/>
    <s v="Terreno"/>
    <n v="108"/>
    <s v="Venta"/>
    <n v="33815.839999999997"/>
    <n v="905681"/>
    <n v="724544.8"/>
    <n v="147320.35999999996"/>
    <s v="Iván"/>
    <n v="4.4000000000000004"/>
  </r>
  <r>
    <n v="792"/>
    <d v="2016-10-08T00:00:00"/>
    <x v="377"/>
    <x v="0"/>
    <s v="Estacionamiento"/>
    <n v="289"/>
    <s v="Venta"/>
    <n v="61755.8"/>
    <n v="1601605"/>
    <n v="1281284"/>
    <n v="258565.2"/>
    <s v="Carlos"/>
    <n v="5"/>
  </r>
  <r>
    <n v="793"/>
    <d v="2016-10-08T00:00:00"/>
    <x v="378"/>
    <x v="1"/>
    <s v="Depósito"/>
    <n v="85"/>
    <s v="Alquiler"/>
    <n v="19289.8"/>
    <n v="543805"/>
    <n v="435044"/>
    <n v="89471.2"/>
    <s v="Ángeles"/>
    <n v="4.7"/>
  </r>
  <r>
    <n v="794"/>
    <d v="2016-10-10T00:00:00"/>
    <x v="144"/>
    <x v="2"/>
    <s v="Local Comercial"/>
    <n v="273"/>
    <s v="Venta"/>
    <n v="60121.84"/>
    <n v="1559431"/>
    <n v="1247544.8"/>
    <n v="251764.35999999996"/>
    <s v="Carlos"/>
    <n v="3.9"/>
  </r>
  <r>
    <n v="795"/>
    <d v="2016-10-10T00:00:00"/>
    <x v="379"/>
    <x v="3"/>
    <s v="Local Comercial"/>
    <n v="71"/>
    <s v="Alquiler"/>
    <n v="12384.04"/>
    <n v="374961"/>
    <n v="299968.8"/>
    <n v="62608.160000000011"/>
    <s v="Iván"/>
    <n v="5"/>
  </r>
  <r>
    <n v="796"/>
    <d v="2016-10-10T00:00:00"/>
    <x v="380"/>
    <x v="0"/>
    <s v="Casa"/>
    <n v="103"/>
    <s v="Venta"/>
    <n v="37387.599999999999"/>
    <n v="986775"/>
    <n v="789420"/>
    <n v="159967.4"/>
    <s v="Romina"/>
    <n v="4.5999999999999996"/>
  </r>
  <r>
    <n v="797"/>
    <d v="2016-10-11T00:00:00"/>
    <x v="249"/>
    <x v="1"/>
    <s v="Estacionamiento"/>
    <n v="248"/>
    <s v="Venta"/>
    <n v="56542.2"/>
    <n v="1478765"/>
    <n v="1183012"/>
    <n v="239210.8"/>
    <s v="Iván"/>
    <n v="4.7"/>
  </r>
  <r>
    <n v="798"/>
    <d v="2016-10-11T00:00:00"/>
    <x v="381"/>
    <x v="1"/>
    <s v="Local Comercial"/>
    <n v="215"/>
    <s v="Venta"/>
    <n v="58406.68"/>
    <n v="1515227"/>
    <n v="1212181.6000000001"/>
    <n v="244638.71999999991"/>
    <s v="Iván"/>
    <n v="3.7"/>
  </r>
  <r>
    <n v="799"/>
    <d v="2016-10-11T00:00:00"/>
    <x v="136"/>
    <x v="0"/>
    <s v="Local Comercial"/>
    <n v="273"/>
    <s v="Venta"/>
    <n v="87701.88"/>
    <n v="2246307"/>
    <n v="1797045.6"/>
    <n v="361559.5199999999"/>
    <s v="Iván"/>
    <n v="3.9"/>
  </r>
  <r>
    <n v="800"/>
    <d v="2016-10-12T00:00:00"/>
    <x v="325"/>
    <x v="1"/>
    <s v="Terreno"/>
    <n v="61"/>
    <s v="Alquiler"/>
    <n v="25040"/>
    <n v="689735"/>
    <n v="551788"/>
    <n v="112907"/>
    <s v="Ángeles"/>
    <n v="4.8"/>
  </r>
  <r>
    <n v="801"/>
    <d v="2016-10-13T00:00:00"/>
    <x v="382"/>
    <x v="1"/>
    <s v="Depósito"/>
    <n v="156"/>
    <s v="Venta"/>
    <n v="52296.92"/>
    <n v="1359683"/>
    <n v="1087746.3999999999"/>
    <n v="219639.68000000011"/>
    <s v="Iván"/>
    <n v="3.6"/>
  </r>
  <r>
    <n v="802"/>
    <d v="2016-10-13T00:00:00"/>
    <x v="136"/>
    <x v="1"/>
    <s v="Depósito"/>
    <n v="111"/>
    <s v="Venta"/>
    <n v="43362.12"/>
    <n v="1142513"/>
    <n v="914010.4"/>
    <n v="185140.47999999998"/>
    <s v="Ángeles"/>
    <n v="3.6"/>
  </r>
  <r>
    <n v="803"/>
    <d v="2016-10-13T00:00:00"/>
    <x v="339"/>
    <x v="0"/>
    <s v="Oficinas"/>
    <n v="157"/>
    <s v="Venta"/>
    <n v="44015.360000000001"/>
    <n v="1151894"/>
    <n v="921515.2"/>
    <n v="186363.44000000006"/>
    <s v="Ángeles"/>
    <n v="4.0999999999999996"/>
  </r>
  <r>
    <n v="804"/>
    <d v="2016-10-13T00:00:00"/>
    <x v="158"/>
    <x v="1"/>
    <s v="Oficinas"/>
    <n v="108"/>
    <s v="Alquiler"/>
    <n v="21961.279999999999"/>
    <n v="616517"/>
    <n v="493213.6"/>
    <n v="101342.12000000002"/>
    <s v="Iván"/>
    <n v="4.9000000000000004"/>
  </r>
  <r>
    <n v="805"/>
    <d v="2016-10-14T00:00:00"/>
    <x v="167"/>
    <x v="0"/>
    <s v="Depósito"/>
    <n v="238"/>
    <s v="Venta"/>
    <n v="57659.12"/>
    <n v="1505663"/>
    <n v="1204530.3999999999"/>
    <n v="243473.4800000001"/>
    <s v="Arturo"/>
    <n v="3.7"/>
  </r>
  <r>
    <n v="806"/>
    <d v="2016-10-14T00:00:00"/>
    <x v="280"/>
    <x v="0"/>
    <s v="Casa"/>
    <n v="37"/>
    <s v="Alquiler"/>
    <n v="15993.08"/>
    <n v="452037"/>
    <n v="361629.6"/>
    <n v="74414.320000000022"/>
    <s v="Sabrina"/>
    <n v="3.9"/>
  </r>
  <r>
    <n v="807"/>
    <d v="2016-10-15T00:00:00"/>
    <x v="383"/>
    <x v="2"/>
    <s v="Oficinas"/>
    <n v="253"/>
    <s v="Venta"/>
    <n v="74531.44"/>
    <n v="1928221"/>
    <n v="1542576.8"/>
    <n v="311112.75999999995"/>
    <s v="Ángeles"/>
    <n v="4.8"/>
  </r>
  <r>
    <n v="808"/>
    <d v="2016-10-15T00:00:00"/>
    <x v="276"/>
    <x v="3"/>
    <s v="Estacionamiento"/>
    <n v="115"/>
    <s v="Alquiler"/>
    <n v="24546.959999999999"/>
    <n v="666709"/>
    <n v="533367.19999999995"/>
    <n v="108794.84000000005"/>
    <s v="Carlos"/>
    <n v="4.5999999999999996"/>
  </r>
  <r>
    <n v="809"/>
    <d v="2016-10-15T00:00:00"/>
    <x v="384"/>
    <x v="1"/>
    <s v="Local Comercial"/>
    <n v="217"/>
    <s v="Venta"/>
    <n v="50961.36"/>
    <n v="1328969"/>
    <n v="1063175.2"/>
    <n v="214832.44000000006"/>
    <s v="Arturo"/>
    <n v="4.9000000000000004"/>
  </r>
  <r>
    <n v="810"/>
    <d v="2016-10-15T00:00:00"/>
    <x v="376"/>
    <x v="3"/>
    <s v="Oficinas"/>
    <n v="45"/>
    <s v="Alquiler"/>
    <n v="12507.2"/>
    <n v="370790"/>
    <n v="296632"/>
    <n v="61650.8"/>
    <s v="Romina"/>
    <n v="5"/>
  </r>
  <r>
    <n v="811"/>
    <d v="2016-10-16T00:00:00"/>
    <x v="385"/>
    <x v="3"/>
    <s v="Oficinas"/>
    <n v="208"/>
    <s v="Venta"/>
    <n v="71331.72"/>
    <n v="1842003"/>
    <n v="1473602.4"/>
    <n v="297068.88000000012"/>
    <s v="Romina"/>
    <n v="4.2"/>
  </r>
  <r>
    <n v="812"/>
    <d v="2016-10-16T00:00:00"/>
    <x v="303"/>
    <x v="2"/>
    <s v="Casa"/>
    <n v="232"/>
    <s v="Venta"/>
    <n v="87406.080000000002"/>
    <n v="2244737"/>
    <n v="1795789.6"/>
    <n v="361541.31999999989"/>
    <s v="Arturo"/>
    <n v="4.7"/>
  </r>
  <r>
    <n v="813"/>
    <d v="2016-10-17T00:00:00"/>
    <x v="386"/>
    <x v="3"/>
    <s v="Terreno"/>
    <n v="131"/>
    <s v="Alquiler"/>
    <n v="28418.799999999999"/>
    <n v="769955"/>
    <n v="615964"/>
    <n v="125572.2"/>
    <s v="Arturo"/>
    <n v="5"/>
  </r>
  <r>
    <n v="814"/>
    <d v="2016-10-17T00:00:00"/>
    <x v="320"/>
    <x v="3"/>
    <s v="Local Comercial"/>
    <n v="189"/>
    <s v="Venta"/>
    <n v="63870"/>
    <n v="1663685"/>
    <n v="1330948"/>
    <n v="268867"/>
    <s v="Sabrina"/>
    <n v="4.9000000000000004"/>
  </r>
  <r>
    <n v="815"/>
    <d v="2016-10-17T00:00:00"/>
    <x v="387"/>
    <x v="1"/>
    <s v="Local Comercial"/>
    <n v="179"/>
    <s v="Venta"/>
    <n v="66589.64"/>
    <n v="1726901"/>
    <n v="1381520.8"/>
    <n v="278790.55999999994"/>
    <s v="Arturo"/>
    <n v="4.7"/>
  </r>
  <r>
    <n v="816"/>
    <d v="2016-10-18T00:00:00"/>
    <x v="388"/>
    <x v="1"/>
    <s v="Oficinas"/>
    <n v="225"/>
    <s v="Venta"/>
    <n v="86513.16"/>
    <n v="2216589"/>
    <n v="1773271.2"/>
    <n v="356804.64"/>
    <s v="Carlos"/>
    <n v="4.9000000000000004"/>
  </r>
  <r>
    <n v="817"/>
    <d v="2016-10-18T00:00:00"/>
    <x v="245"/>
    <x v="3"/>
    <s v="Departamento"/>
    <n v="155"/>
    <s v="Venta"/>
    <n v="33989.519999999997"/>
    <n v="915123"/>
    <n v="732098.4"/>
    <n v="149035.07999999999"/>
    <s v="Carlos"/>
    <n v="3.9"/>
  </r>
  <r>
    <n v="818"/>
    <d v="2016-10-18T00:00:00"/>
    <x v="303"/>
    <x v="1"/>
    <s v="Oficinas"/>
    <n v="43"/>
    <s v="Alquiler"/>
    <n v="8827.32"/>
    <n v="281093"/>
    <n v="224874.4"/>
    <n v="47391.280000000006"/>
    <s v="Arturo"/>
    <n v="4.0999999999999996"/>
  </r>
  <r>
    <n v="819"/>
    <d v="2016-10-19T00:00:00"/>
    <x v="389"/>
    <x v="0"/>
    <s v="Estacionamiento"/>
    <n v="95"/>
    <s v="Alquiler"/>
    <n v="21468.28"/>
    <n v="599117"/>
    <n v="479293.6"/>
    <n v="98355.120000000024"/>
    <s v="Sabrina"/>
    <n v="4.2"/>
  </r>
  <r>
    <n v="820"/>
    <d v="2016-10-19T00:00:00"/>
    <x v="390"/>
    <x v="1"/>
    <s v="Departamento"/>
    <n v="199"/>
    <s v="Venta"/>
    <n v="66462.8"/>
    <n v="1724655"/>
    <n v="1379724"/>
    <n v="278468.2"/>
    <s v="Iván"/>
    <n v="3.8"/>
  </r>
  <r>
    <n v="821"/>
    <d v="2016-10-19T00:00:00"/>
    <x v="391"/>
    <x v="0"/>
    <s v="Terreno"/>
    <n v="154"/>
    <s v="Venta"/>
    <n v="54520.24"/>
    <n v="1428491"/>
    <n v="1142792.8"/>
    <n v="231177.95999999996"/>
    <s v="Ángeles"/>
    <n v="4.5"/>
  </r>
  <r>
    <n v="822"/>
    <d v="2016-10-20T00:00:00"/>
    <x v="337"/>
    <x v="3"/>
    <s v="Depósito"/>
    <n v="254"/>
    <s v="Venta"/>
    <n v="64048.32"/>
    <n v="1664818"/>
    <n v="1331854.3999999999"/>
    <n v="268915.28000000009"/>
    <s v="Ángeles"/>
    <n v="4.0999999999999996"/>
  </r>
  <r>
    <n v="823"/>
    <d v="2016-10-20T00:00:00"/>
    <x v="231"/>
    <x v="0"/>
    <s v="Estacionamiento"/>
    <n v="171"/>
    <s v="Venta"/>
    <n v="39099.72"/>
    <n v="1029278"/>
    <n v="823422.4"/>
    <n v="166755.87999999998"/>
    <s v="Romina"/>
    <n v="4.8"/>
  </r>
  <r>
    <n v="824"/>
    <d v="2016-10-21T00:00:00"/>
    <x v="392"/>
    <x v="0"/>
    <s v="Depósito"/>
    <n v="54"/>
    <s v="Alquiler"/>
    <n v="18773.400000000001"/>
    <n v="521045"/>
    <n v="416836"/>
    <n v="85435.6"/>
    <s v="Iván"/>
    <n v="3.9"/>
  </r>
  <r>
    <n v="825"/>
    <d v="2016-10-21T00:00:00"/>
    <x v="389"/>
    <x v="0"/>
    <s v="Casa"/>
    <n v="168"/>
    <s v="Venta"/>
    <n v="33789.199999999997"/>
    <n v="903365"/>
    <n v="722692"/>
    <n v="146883.79999999999"/>
    <s v="Sabrina"/>
    <n v="4.8"/>
  </r>
  <r>
    <n v="826"/>
    <d v="2016-10-21T00:00:00"/>
    <x v="334"/>
    <x v="2"/>
    <s v="Departamento"/>
    <n v="232"/>
    <s v="Venta"/>
    <n v="67325.679999999993"/>
    <n v="1746052"/>
    <n v="1396841.6"/>
    <n v="281884.71999999991"/>
    <s v="Iván"/>
    <n v="4.3"/>
  </r>
  <r>
    <n v="827"/>
    <d v="2016-10-22T00:00:00"/>
    <x v="393"/>
    <x v="3"/>
    <s v="Local Comercial"/>
    <n v="144"/>
    <s v="Venta"/>
    <n v="54501.36"/>
    <n v="1428294"/>
    <n v="1142635.2"/>
    <n v="231157.44000000006"/>
    <s v="Arturo"/>
    <n v="4.9000000000000004"/>
  </r>
  <r>
    <n v="828"/>
    <d v="2016-10-23T00:00:00"/>
    <x v="394"/>
    <x v="1"/>
    <s v="Estacionamiento"/>
    <n v="193"/>
    <s v="Venta"/>
    <n v="50068.959999999999"/>
    <n v="1315259"/>
    <n v="1052207.2"/>
    <n v="212982.84000000005"/>
    <s v="Arturo"/>
    <n v="4.5"/>
  </r>
  <r>
    <n v="829"/>
    <d v="2016-10-23T00:00:00"/>
    <x v="178"/>
    <x v="0"/>
    <s v="Oficinas"/>
    <n v="147"/>
    <s v="Venta"/>
    <n v="47705.52"/>
    <n v="1255373"/>
    <n v="1004298.4"/>
    <n v="203369.08"/>
    <s v="Carlos"/>
    <n v="4.9000000000000004"/>
  </r>
  <r>
    <n v="830"/>
    <d v="2016-10-24T00:00:00"/>
    <x v="355"/>
    <x v="1"/>
    <s v="Oficinas"/>
    <n v="138"/>
    <s v="Venta"/>
    <n v="55207.040000000001"/>
    <n v="1446036"/>
    <n v="1156828.8"/>
    <n v="234000.15999999995"/>
    <s v="Iván"/>
    <n v="4.2"/>
  </r>
  <r>
    <n v="831"/>
    <d v="2016-10-24T00:00:00"/>
    <x v="321"/>
    <x v="0"/>
    <s v="Local Comercial"/>
    <n v="109"/>
    <s v="Venta"/>
    <n v="34117"/>
    <n v="917385"/>
    <n v="733908"/>
    <n v="149360"/>
    <s v="Romina"/>
    <n v="3.7"/>
  </r>
  <r>
    <n v="832"/>
    <d v="2016-10-24T00:00:00"/>
    <x v="379"/>
    <x v="2"/>
    <s v="Depósito"/>
    <n v="82"/>
    <s v="Alquiler"/>
    <n v="22188"/>
    <n v="610685"/>
    <n v="488548"/>
    <n v="99949"/>
    <s v="Romina"/>
    <n v="4.9000000000000004"/>
  </r>
  <r>
    <n v="833"/>
    <d v="2016-10-24T00:00:00"/>
    <x v="395"/>
    <x v="2"/>
    <s v="Oficinas"/>
    <n v="208"/>
    <s v="Venta"/>
    <n v="77756.28"/>
    <n v="2005117"/>
    <n v="1604093.6"/>
    <n v="323267.11999999988"/>
    <s v="Arturo"/>
    <n v="3.7"/>
  </r>
  <r>
    <n v="834"/>
    <d v="2016-10-24T00:00:00"/>
    <x v="207"/>
    <x v="3"/>
    <s v="Local Comercial"/>
    <n v="67"/>
    <s v="Alquiler"/>
    <n v="22680.12"/>
    <n v="628588"/>
    <n v="502870.4"/>
    <n v="103037.47999999998"/>
    <s v="Iván"/>
    <n v="4.8"/>
  </r>
  <r>
    <n v="835"/>
    <d v="2016-10-25T00:00:00"/>
    <x v="347"/>
    <x v="0"/>
    <s v="Terreno"/>
    <n v="161"/>
    <s v="Venta"/>
    <n v="50083"/>
    <n v="1313285"/>
    <n v="1050628"/>
    <n v="212574"/>
    <s v="Romina"/>
    <n v="4.5"/>
  </r>
  <r>
    <n v="836"/>
    <d v="2016-10-25T00:00:00"/>
    <x v="153"/>
    <x v="3"/>
    <s v="Oficinas"/>
    <n v="271"/>
    <s v="Venta"/>
    <n v="84137.84"/>
    <n v="2161081"/>
    <n v="1728864.8"/>
    <n v="348078.36"/>
    <s v="Romina"/>
    <n v="4.3"/>
  </r>
  <r>
    <n v="837"/>
    <d v="2016-10-27T00:00:00"/>
    <x v="228"/>
    <x v="0"/>
    <s v="Casa"/>
    <n v="121"/>
    <s v="Venta"/>
    <n v="40103.360000000001"/>
    <n v="1057819"/>
    <n v="846255.2"/>
    <n v="171460.44000000006"/>
    <s v="Carlos"/>
    <n v="3.7"/>
  </r>
  <r>
    <n v="838"/>
    <d v="2016-10-27T00:00:00"/>
    <x v="325"/>
    <x v="1"/>
    <s v="Depósito"/>
    <n v="56"/>
    <s v="Alquiler"/>
    <n v="22322.400000000001"/>
    <n v="619595"/>
    <n v="495676"/>
    <n v="101596.6"/>
    <s v="Carlos"/>
    <n v="4.8"/>
  </r>
  <r>
    <n v="839"/>
    <d v="2016-10-27T00:00:00"/>
    <x v="350"/>
    <x v="3"/>
    <s v="Casa"/>
    <n v="106"/>
    <s v="Venta"/>
    <n v="40188.120000000003"/>
    <n v="1065663"/>
    <n v="852530.4"/>
    <n v="172944.47999999998"/>
    <s v="Carlos"/>
    <n v="4.5"/>
  </r>
  <r>
    <n v="840"/>
    <d v="2016-10-27T00:00:00"/>
    <x v="346"/>
    <x v="0"/>
    <s v="Casa"/>
    <n v="111"/>
    <s v="Venta"/>
    <n v="40569.120000000003"/>
    <n v="1076963"/>
    <n v="861570.4"/>
    <n v="174823.47999999998"/>
    <s v="Romina"/>
    <n v="4.5999999999999996"/>
  </r>
  <r>
    <n v="841"/>
    <d v="2016-10-27T00:00:00"/>
    <x v="189"/>
    <x v="2"/>
    <s v="Departamento"/>
    <n v="113"/>
    <s v="Venta"/>
    <n v="41454.400000000001"/>
    <n v="1097645"/>
    <n v="878116"/>
    <n v="178074.6"/>
    <s v="Sabrina"/>
    <n v="4.7"/>
  </r>
  <r>
    <n v="842"/>
    <d v="2016-10-29T00:00:00"/>
    <x v="396"/>
    <x v="2"/>
    <s v="Departamento"/>
    <n v="103"/>
    <s v="Venta"/>
    <n v="36898.839999999997"/>
    <n v="978681"/>
    <n v="782944.8"/>
    <n v="158837.35999999996"/>
    <s v="Carlos"/>
    <n v="3.7"/>
  </r>
  <r>
    <n v="843"/>
    <d v="2016-10-30T00:00:00"/>
    <x v="256"/>
    <x v="2"/>
    <s v="Local Comercial"/>
    <n v="172"/>
    <s v="Venta"/>
    <n v="67879"/>
    <n v="1749210"/>
    <n v="1399368"/>
    <n v="281963"/>
    <s v="Romina"/>
    <n v="4.3"/>
  </r>
  <r>
    <n v="844"/>
    <d v="2016-10-30T00:00:00"/>
    <x v="336"/>
    <x v="0"/>
    <s v="Casa"/>
    <n v="116"/>
    <s v="Alquiler"/>
    <n v="22882.84"/>
    <n v="629506"/>
    <n v="503604.8"/>
    <n v="103018.36000000002"/>
    <s v="Sabrina"/>
    <n v="4.4000000000000004"/>
  </r>
  <r>
    <n v="845"/>
    <d v="2016-10-31T00:00:00"/>
    <x v="395"/>
    <x v="1"/>
    <s v="Oficinas"/>
    <n v="273"/>
    <s v="Venta"/>
    <n v="58382.2"/>
    <n v="1522165"/>
    <n v="1217732"/>
    <n v="246050.8"/>
    <s v="Sabrina"/>
    <n v="4.8"/>
  </r>
  <r>
    <n v="846"/>
    <d v="2016-10-31T00:00:00"/>
    <x v="397"/>
    <x v="0"/>
    <s v="Departamento"/>
    <n v="241"/>
    <s v="Venta"/>
    <n v="87715.36"/>
    <n v="2251469"/>
    <n v="1801175.2"/>
    <n v="362578.44000000006"/>
    <s v="Carlos"/>
    <n v="4.8"/>
  </r>
  <r>
    <n v="847"/>
    <d v="2016-10-31T00:00:00"/>
    <x v="294"/>
    <x v="3"/>
    <s v="Departamento"/>
    <n v="116"/>
    <s v="Alquiler"/>
    <n v="28087.16"/>
    <n v="768414"/>
    <n v="614731.19999999995"/>
    <n v="125595.64000000004"/>
    <s v="Arturo"/>
    <n v="4.4000000000000004"/>
  </r>
  <r>
    <n v="848"/>
    <d v="2016-10-31T00:00:00"/>
    <x v="394"/>
    <x v="3"/>
    <s v="Departamento"/>
    <n v="217"/>
    <s v="Venta"/>
    <n v="61452.160000000003"/>
    <n v="1602614"/>
    <n v="1282091.2"/>
    <n v="259070.64000000004"/>
    <s v="Iván"/>
    <n v="4.4000000000000004"/>
  </r>
  <r>
    <n v="849"/>
    <d v="2016-11-01T00:00:00"/>
    <x v="383"/>
    <x v="0"/>
    <s v="Casa"/>
    <n v="114"/>
    <s v="Venta"/>
    <n v="39361.800000000003"/>
    <n v="1039805"/>
    <n v="831844"/>
    <n v="168599.2"/>
    <s v="Romina"/>
    <n v="4.0999999999999996"/>
  </r>
  <r>
    <n v="850"/>
    <d v="2016-11-01T00:00:00"/>
    <x v="261"/>
    <x v="1"/>
    <s v="Departamento"/>
    <n v="155"/>
    <s v="Venta"/>
    <n v="54506.64"/>
    <n v="1427576"/>
    <n v="1142060.8"/>
    <n v="231008.55999999994"/>
    <s v="Romina"/>
    <n v="4.5999999999999996"/>
  </r>
  <r>
    <n v="851"/>
    <d v="2016-11-01T00:00:00"/>
    <x v="261"/>
    <x v="0"/>
    <s v="Estacionamiento"/>
    <n v="154"/>
    <s v="Venta"/>
    <n v="40463.72"/>
    <n v="1068603"/>
    <n v="854882.4"/>
    <n v="173256.87999999998"/>
    <s v="Sabrina"/>
    <n v="4.0999999999999996"/>
  </r>
  <r>
    <n v="852"/>
    <d v="2016-11-02T00:00:00"/>
    <x v="212"/>
    <x v="3"/>
    <s v="Oficinas"/>
    <n v="233"/>
    <s v="Venta"/>
    <n v="69856.800000000003"/>
    <n v="1804505"/>
    <n v="1443604"/>
    <n v="291044.2"/>
    <s v="Sabrina"/>
    <n v="4.3"/>
  </r>
  <r>
    <n v="853"/>
    <d v="2016-11-02T00:00:00"/>
    <x v="204"/>
    <x v="3"/>
    <s v="Estacionamiento"/>
    <n v="239"/>
    <s v="Venta"/>
    <n v="67366.64"/>
    <n v="1745201"/>
    <n v="1396160.8"/>
    <n v="281673.55999999994"/>
    <s v="Iván"/>
    <n v="3.7"/>
  </r>
  <r>
    <n v="854"/>
    <d v="2016-11-02T00:00:00"/>
    <x v="168"/>
    <x v="2"/>
    <s v="Casa"/>
    <n v="294"/>
    <s v="Venta"/>
    <n v="96571.88"/>
    <n v="2466757"/>
    <n v="1973405.6"/>
    <n v="396779.5199999999"/>
    <s v="Romina"/>
    <n v="4.2"/>
  </r>
  <r>
    <n v="855"/>
    <d v="2016-11-03T00:00:00"/>
    <x v="398"/>
    <x v="1"/>
    <s v="Depósito"/>
    <n v="219"/>
    <s v="Venta"/>
    <n v="64883"/>
    <n v="1686685"/>
    <n v="1349348"/>
    <n v="272454"/>
    <s v="Romina"/>
    <n v="4.5999999999999996"/>
  </r>
  <r>
    <n v="856"/>
    <d v="2016-11-03T00:00:00"/>
    <x v="310"/>
    <x v="2"/>
    <s v="Local Comercial"/>
    <n v="241"/>
    <s v="Venta"/>
    <n v="39006.28"/>
    <n v="1032142"/>
    <n v="825713.6"/>
    <n v="167422.12000000002"/>
    <s v="Iván"/>
    <n v="3.7"/>
  </r>
  <r>
    <n v="857"/>
    <d v="2016-11-03T00:00:00"/>
    <x v="361"/>
    <x v="3"/>
    <s v="Terreno"/>
    <n v="231"/>
    <s v="Venta"/>
    <n v="94088.92"/>
    <n v="2415533"/>
    <n v="1932426.4"/>
    <n v="389017.68000000011"/>
    <s v="Ángeles"/>
    <n v="4.4000000000000004"/>
  </r>
  <r>
    <n v="858"/>
    <d v="2016-11-03T00:00:00"/>
    <x v="399"/>
    <x v="0"/>
    <s v="Casa"/>
    <n v="248"/>
    <s v="Venta"/>
    <n v="71912.320000000007"/>
    <n v="1858243"/>
    <n v="1486594.4"/>
    <n v="299736.28000000009"/>
    <s v="Sabrina"/>
    <n v="4"/>
  </r>
  <r>
    <n v="859"/>
    <d v="2016-11-03T00:00:00"/>
    <x v="272"/>
    <x v="0"/>
    <s v="Estacionamiento"/>
    <n v="58"/>
    <s v="Alquiler"/>
    <n v="14786.6"/>
    <n v="434025"/>
    <n v="347220"/>
    <n v="72018.399999999994"/>
    <s v="Carlos"/>
    <n v="3.8"/>
  </r>
  <r>
    <n v="860"/>
    <d v="2016-11-03T00:00:00"/>
    <x v="400"/>
    <x v="1"/>
    <s v="Departamento"/>
    <n v="285"/>
    <s v="Venta"/>
    <n v="88785.24"/>
    <n v="2279141"/>
    <n v="1823312.8"/>
    <n v="367042.95999999996"/>
    <s v="Iván"/>
    <n v="3.7"/>
  </r>
  <r>
    <n v="861"/>
    <d v="2016-11-03T00:00:00"/>
    <x v="324"/>
    <x v="1"/>
    <s v="Local Comercial"/>
    <n v="89"/>
    <s v="Venta"/>
    <n v="35045.24"/>
    <n v="927941"/>
    <n v="742352.8"/>
    <n v="150542.95999999996"/>
    <s v="Arturo"/>
    <n v="3.9"/>
  </r>
  <r>
    <n v="862"/>
    <d v="2016-11-04T00:00:00"/>
    <x v="401"/>
    <x v="1"/>
    <s v="Oficinas"/>
    <n v="148"/>
    <s v="Alquiler"/>
    <n v="24262.400000000001"/>
    <n v="668045"/>
    <n v="534436"/>
    <n v="109346.6"/>
    <s v="Carlos"/>
    <n v="4.7"/>
  </r>
  <r>
    <n v="863"/>
    <d v="2016-11-06T00:00:00"/>
    <x v="149"/>
    <x v="3"/>
    <s v="Local Comercial"/>
    <n v="243"/>
    <s v="Venta"/>
    <n v="92044.44"/>
    <n v="2365121"/>
    <n v="1892096.8"/>
    <n v="380979.75999999995"/>
    <s v="Sabrina"/>
    <n v="4.4000000000000004"/>
  </r>
  <r>
    <n v="864"/>
    <d v="2016-11-06T00:00:00"/>
    <x v="285"/>
    <x v="1"/>
    <s v="Terreno"/>
    <n v="105"/>
    <s v="Alquiler"/>
    <n v="21420.32"/>
    <n v="590093"/>
    <n v="472074.4"/>
    <n v="96598.27999999997"/>
    <s v="Sabrina"/>
    <n v="4.4000000000000004"/>
  </r>
  <r>
    <n v="865"/>
    <d v="2016-11-06T00:00:00"/>
    <x v="365"/>
    <x v="2"/>
    <s v="Terreno"/>
    <n v="103"/>
    <s v="Alquiler"/>
    <n v="20286.400000000001"/>
    <n v="559645"/>
    <n v="447716"/>
    <n v="91642.6"/>
    <s v="Carlos"/>
    <n v="3.9"/>
  </r>
  <r>
    <n v="866"/>
    <d v="2016-11-07T00:00:00"/>
    <x v="402"/>
    <x v="3"/>
    <s v="Depósito"/>
    <n v="133"/>
    <s v="Venta"/>
    <n v="41554.76"/>
    <n v="1091029"/>
    <n v="872823.2"/>
    <n v="176651.04000000004"/>
    <s v="Ángeles"/>
    <n v="4.5"/>
  </r>
  <r>
    <n v="867"/>
    <d v="2016-11-07T00:00:00"/>
    <x v="403"/>
    <x v="3"/>
    <s v="Departamento"/>
    <n v="77"/>
    <s v="Alquiler"/>
    <n v="15751.68"/>
    <n v="455177"/>
    <n v="364141.6"/>
    <n v="75283.72000000003"/>
    <s v="Sabrina"/>
    <n v="4.5"/>
  </r>
  <r>
    <n v="868"/>
    <d v="2016-11-07T00:00:00"/>
    <x v="404"/>
    <x v="1"/>
    <s v="Terreno"/>
    <n v="120"/>
    <s v="Venta"/>
    <n v="35678.559999999998"/>
    <n v="948599"/>
    <n v="758879.2"/>
    <n v="154041.24000000005"/>
    <s v="Carlos"/>
    <n v="4.7"/>
  </r>
  <r>
    <n v="869"/>
    <d v="2016-11-07T00:00:00"/>
    <x v="405"/>
    <x v="2"/>
    <s v="Oficinas"/>
    <n v="176"/>
    <s v="Venta"/>
    <n v="42141.16"/>
    <n v="1118564"/>
    <n v="894851.2"/>
    <n v="181571.64000000004"/>
    <s v="Romina"/>
    <n v="4.2"/>
  </r>
  <r>
    <n v="870"/>
    <d v="2016-11-08T00:00:00"/>
    <x v="394"/>
    <x v="1"/>
    <s v="Terreno"/>
    <n v="242"/>
    <s v="Venta"/>
    <n v="76956.2"/>
    <n v="1987665"/>
    <n v="1590132"/>
    <n v="320576.8"/>
    <s v="Sabrina"/>
    <n v="3.6"/>
  </r>
  <r>
    <n v="871"/>
    <d v="2016-11-08T00:00:00"/>
    <x v="406"/>
    <x v="3"/>
    <s v="Oficinas"/>
    <n v="83"/>
    <s v="Alquiler"/>
    <n v="28016.080000000002"/>
    <n v="762837"/>
    <n v="610269.6"/>
    <n v="124551.32000000002"/>
    <s v="Carlos"/>
    <n v="4.9000000000000004"/>
  </r>
  <r>
    <n v="872"/>
    <d v="2016-11-09T00:00:00"/>
    <x v="407"/>
    <x v="3"/>
    <s v="Terreno"/>
    <n v="182"/>
    <s v="Venta"/>
    <n v="54839.4"/>
    <n v="1426945"/>
    <n v="1141556"/>
    <n v="230549.6"/>
    <s v="Iván"/>
    <n v="4.5"/>
  </r>
  <r>
    <n v="873"/>
    <d v="2016-11-09T00:00:00"/>
    <x v="273"/>
    <x v="0"/>
    <s v="Departamento"/>
    <n v="292"/>
    <s v="Venta"/>
    <n v="116336.2"/>
    <n v="2959640"/>
    <n v="2367712"/>
    <n v="475591.8"/>
    <s v="Sabrina"/>
    <n v="4.3"/>
  </r>
  <r>
    <n v="874"/>
    <d v="2016-11-09T00:00:00"/>
    <x v="318"/>
    <x v="3"/>
    <s v="Departamento"/>
    <n v="76"/>
    <s v="Alquiler"/>
    <n v="17397.400000000001"/>
    <n v="495045"/>
    <n v="396036"/>
    <n v="81611.600000000006"/>
    <s v="Arturo"/>
    <n v="3.9"/>
  </r>
  <r>
    <n v="875"/>
    <d v="2016-11-09T00:00:00"/>
    <x v="227"/>
    <x v="1"/>
    <s v="Terreno"/>
    <n v="140"/>
    <s v="Venta"/>
    <n v="49148.08"/>
    <n v="1295687"/>
    <n v="1036549.6"/>
    <n v="209989.32"/>
    <s v="Arturo"/>
    <n v="4.4000000000000004"/>
  </r>
  <r>
    <n v="876"/>
    <d v="2016-11-09T00:00:00"/>
    <x v="310"/>
    <x v="3"/>
    <s v="Estacionamiento"/>
    <n v="110"/>
    <s v="Venta"/>
    <n v="37781.32"/>
    <n v="1005143"/>
    <n v="804114.4"/>
    <n v="163247.27999999997"/>
    <s v="Ángeles"/>
    <n v="4.0999999999999996"/>
  </r>
  <r>
    <n v="877"/>
    <d v="2016-11-09T00:00:00"/>
    <x v="204"/>
    <x v="0"/>
    <s v="Estacionamiento"/>
    <n v="125"/>
    <s v="Alquiler"/>
    <n v="20805.8"/>
    <n v="585605"/>
    <n v="468484"/>
    <n v="96315.199999999997"/>
    <s v="Romina"/>
    <n v="4.0999999999999996"/>
  </r>
  <r>
    <n v="878"/>
    <d v="2016-11-10T00:00:00"/>
    <x v="408"/>
    <x v="1"/>
    <s v="Estacionamiento"/>
    <n v="139"/>
    <s v="Venta"/>
    <n v="53782.400000000001"/>
    <n v="1408620"/>
    <n v="1126896"/>
    <n v="227941.6"/>
    <s v="Arturo"/>
    <n v="4.5999999999999996"/>
  </r>
  <r>
    <n v="879"/>
    <d v="2016-11-10T00:00:00"/>
    <x v="345"/>
    <x v="3"/>
    <s v="Estacionamiento"/>
    <n v="140"/>
    <s v="Venta"/>
    <n v="42044.28"/>
    <n v="1106792"/>
    <n v="885433.6"/>
    <n v="179314.12000000002"/>
    <s v="Arturo"/>
    <n v="4.0999999999999996"/>
  </r>
  <r>
    <n v="880"/>
    <d v="2016-11-11T00:00:00"/>
    <x v="282"/>
    <x v="1"/>
    <s v="Terreno"/>
    <n v="265"/>
    <s v="Venta"/>
    <n v="61022.36"/>
    <n v="1579269"/>
    <n v="1263415.2"/>
    <n v="254831.44000000006"/>
    <s v="Carlos"/>
    <n v="4.5999999999999996"/>
  </r>
  <r>
    <n v="881"/>
    <d v="2016-11-11T00:00:00"/>
    <x v="334"/>
    <x v="2"/>
    <s v="Depósito"/>
    <n v="109"/>
    <s v="Alquiler"/>
    <n v="25087.759999999998"/>
    <n v="682054"/>
    <n v="545643.19999999995"/>
    <n v="111323.04000000005"/>
    <s v="Romina"/>
    <n v="4.7"/>
  </r>
  <r>
    <n v="882"/>
    <d v="2016-11-11T00:00:00"/>
    <x v="398"/>
    <x v="1"/>
    <s v="Oficinas"/>
    <n v="216"/>
    <s v="Venta"/>
    <n v="37835.800000000003"/>
    <n v="1006905"/>
    <n v="805524"/>
    <n v="163545.20000000001"/>
    <s v="Sabrina"/>
    <n v="4.7"/>
  </r>
  <r>
    <n v="883"/>
    <d v="2016-11-11T00:00:00"/>
    <x v="409"/>
    <x v="0"/>
    <s v="Estacionamiento"/>
    <n v="261"/>
    <s v="Venta"/>
    <n v="53627.56"/>
    <n v="1407449"/>
    <n v="1125959.2"/>
    <n v="227862.24000000005"/>
    <s v="Ángeles"/>
    <n v="4.5999999999999996"/>
  </r>
  <r>
    <n v="884"/>
    <d v="2016-11-11T00:00:00"/>
    <x v="404"/>
    <x v="0"/>
    <s v="Depósito"/>
    <n v="120"/>
    <s v="Alquiler"/>
    <n v="22410"/>
    <n v="627360"/>
    <n v="501888"/>
    <n v="103062"/>
    <s v="Romina"/>
    <n v="4.7"/>
  </r>
  <r>
    <n v="885"/>
    <d v="2016-11-11T00:00:00"/>
    <x v="239"/>
    <x v="2"/>
    <s v="Oficinas"/>
    <n v="148"/>
    <s v="Alquiler"/>
    <n v="27775.52"/>
    <n v="755698"/>
    <n v="604558.4"/>
    <n v="123364.07999999997"/>
    <s v="Iván"/>
    <n v="4.5"/>
  </r>
  <r>
    <n v="886"/>
    <d v="2016-11-12T00:00:00"/>
    <x v="270"/>
    <x v="3"/>
    <s v="Oficinas"/>
    <n v="127"/>
    <s v="Venta"/>
    <n v="46525.24"/>
    <n v="1227766"/>
    <n v="982212.8"/>
    <n v="199027.95999999996"/>
    <s v="Carlos"/>
    <n v="3.9"/>
  </r>
  <r>
    <n v="887"/>
    <d v="2016-11-13T00:00:00"/>
    <x v="410"/>
    <x v="0"/>
    <s v="Casa"/>
    <n v="155"/>
    <s v="Venta"/>
    <n v="53537.4"/>
    <n v="1392645"/>
    <n v="1114116"/>
    <n v="224991.6"/>
    <s v="Sabrina"/>
    <n v="3.9"/>
  </r>
  <r>
    <n v="888"/>
    <d v="2016-11-13T00:00:00"/>
    <x v="411"/>
    <x v="0"/>
    <s v="Casa"/>
    <n v="89"/>
    <s v="Alquiler"/>
    <n v="15629.8"/>
    <n v="448880"/>
    <n v="359104"/>
    <n v="74146.2"/>
    <s v="Ángeles"/>
    <n v="3.9"/>
  </r>
  <r>
    <n v="889"/>
    <d v="2016-11-13T00:00:00"/>
    <x v="412"/>
    <x v="0"/>
    <s v="Oficinas"/>
    <n v="229"/>
    <s v="Venta"/>
    <n v="55769.48"/>
    <n v="1456497"/>
    <n v="1165197.6000000001"/>
    <n v="235529.9199999999"/>
    <s v="Arturo"/>
    <n v="4.2"/>
  </r>
  <r>
    <n v="890"/>
    <d v="2016-11-13T00:00:00"/>
    <x v="413"/>
    <x v="0"/>
    <s v="Casa"/>
    <n v="159"/>
    <s v="Venta"/>
    <n v="62967.8"/>
    <n v="1635005"/>
    <n v="1308004"/>
    <n v="264033.2"/>
    <s v="Arturo"/>
    <n v="3.8"/>
  </r>
  <r>
    <n v="891"/>
    <d v="2016-11-13T00:00:00"/>
    <x v="407"/>
    <x v="2"/>
    <s v="Estacionamiento"/>
    <n v="252"/>
    <s v="Venta"/>
    <n v="100927"/>
    <n v="2580110"/>
    <n v="2064088"/>
    <n v="415095"/>
    <s v="Arturo"/>
    <n v="4.0999999999999996"/>
  </r>
  <r>
    <n v="892"/>
    <d v="2016-11-14T00:00:00"/>
    <x v="249"/>
    <x v="2"/>
    <s v="Depósito"/>
    <n v="222"/>
    <s v="Venta"/>
    <n v="80102.52"/>
    <n v="2062123"/>
    <n v="1649698.4"/>
    <n v="332322.08000000007"/>
    <s v="Ángeles"/>
    <n v="4.3"/>
  </r>
  <r>
    <n v="893"/>
    <d v="2016-11-14T00:00:00"/>
    <x v="414"/>
    <x v="0"/>
    <s v="Oficinas"/>
    <n v="222"/>
    <s v="Venta"/>
    <n v="43757.16"/>
    <n v="1152089"/>
    <n v="921671.2"/>
    <n v="186660.64000000004"/>
    <s v="Arturo"/>
    <n v="4.5999999999999996"/>
  </r>
  <r>
    <n v="894"/>
    <d v="2016-11-14T00:00:00"/>
    <x v="249"/>
    <x v="3"/>
    <s v="Local Comercial"/>
    <n v="88"/>
    <s v="Alquiler"/>
    <n v="23321.84"/>
    <n v="647181"/>
    <n v="517744.8"/>
    <n v="106114.36000000002"/>
    <s v="Iván"/>
    <n v="4.5999999999999996"/>
  </r>
  <r>
    <n v="895"/>
    <d v="2016-11-14T00:00:00"/>
    <x v="415"/>
    <x v="2"/>
    <s v="Estacionamiento"/>
    <n v="223"/>
    <s v="Venta"/>
    <n v="52459.96"/>
    <n v="1377509"/>
    <n v="1102007.2"/>
    <n v="223041.84000000005"/>
    <s v="Iván"/>
    <n v="4.5999999999999996"/>
  </r>
  <r>
    <n v="896"/>
    <d v="2016-11-14T00:00:00"/>
    <x v="381"/>
    <x v="2"/>
    <s v="Terreno"/>
    <n v="219"/>
    <s v="Venta"/>
    <n v="52399.28"/>
    <n v="1377117"/>
    <n v="1101693.6000000001"/>
    <n v="223024.11999999991"/>
    <s v="Sabrina"/>
    <n v="4.3"/>
  </r>
  <r>
    <n v="897"/>
    <d v="2016-11-15T00:00:00"/>
    <x v="185"/>
    <x v="1"/>
    <s v="Terreno"/>
    <n v="58"/>
    <s v="Alquiler"/>
    <n v="22042.720000000001"/>
    <n v="618053"/>
    <n v="494442.4"/>
    <n v="101567.87999999998"/>
    <s v="Romina"/>
    <n v="4.0999999999999996"/>
  </r>
  <r>
    <n v="898"/>
    <d v="2016-11-15T00:00:00"/>
    <x v="339"/>
    <x v="3"/>
    <s v="Departamento"/>
    <n v="253"/>
    <s v="Venta"/>
    <n v="96801.08"/>
    <n v="2485937"/>
    <n v="1988749.6"/>
    <n v="400386.31999999989"/>
    <s v="Iván"/>
    <n v="4.5999999999999996"/>
  </r>
  <r>
    <n v="899"/>
    <d v="2016-11-16T00:00:00"/>
    <x v="286"/>
    <x v="2"/>
    <s v="Departamento"/>
    <n v="52"/>
    <s v="Alquiler"/>
    <n v="11850.4"/>
    <n v="352295"/>
    <n v="281836"/>
    <n v="58608.6"/>
    <s v="Iván"/>
    <n v="4.5"/>
  </r>
  <r>
    <n v="900"/>
    <d v="2016-11-16T00:00:00"/>
    <x v="262"/>
    <x v="3"/>
    <s v="Local Comercial"/>
    <n v="132"/>
    <s v="Venta"/>
    <n v="41705.72"/>
    <n v="1109253"/>
    <n v="887402.4"/>
    <n v="180144.87999999998"/>
    <s v="Arturo"/>
    <n v="3.7"/>
  </r>
  <r>
    <n v="901"/>
    <d v="2016-11-16T00:00:00"/>
    <x v="383"/>
    <x v="3"/>
    <s v="Local Comercial"/>
    <n v="287"/>
    <s v="Venta"/>
    <n v="64999.24"/>
    <n v="1689941"/>
    <n v="1351952.8"/>
    <n v="272988.95999999996"/>
    <s v="Arturo"/>
    <n v="3.9"/>
  </r>
  <r>
    <n v="902"/>
    <d v="2016-11-17T00:00:00"/>
    <x v="416"/>
    <x v="1"/>
    <s v="Depósito"/>
    <n v="288"/>
    <s v="Venta"/>
    <n v="108258.84"/>
    <n v="2758631"/>
    <n v="2206904.7999999998"/>
    <n v="443467.36000000022"/>
    <s v="Carlos"/>
    <n v="4.5"/>
  </r>
  <r>
    <n v="903"/>
    <d v="2016-11-17T00:00:00"/>
    <x v="245"/>
    <x v="3"/>
    <s v="Local Comercial"/>
    <n v="147"/>
    <s v="Venta"/>
    <n v="40387.68"/>
    <n v="1065852"/>
    <n v="852681.6"/>
    <n v="172782.72000000003"/>
    <s v="Romina"/>
    <n v="4.9000000000000004"/>
  </r>
  <r>
    <n v="904"/>
    <d v="2016-11-17T00:00:00"/>
    <x v="347"/>
    <x v="2"/>
    <s v="Oficinas"/>
    <n v="56"/>
    <s v="Alquiler"/>
    <n v="17559.48"/>
    <n v="492247"/>
    <n v="393797.6"/>
    <n v="80889.920000000027"/>
    <s v="Arturo"/>
    <n v="4.4000000000000004"/>
  </r>
  <r>
    <n v="905"/>
    <d v="2016-11-18T00:00:00"/>
    <x v="417"/>
    <x v="0"/>
    <s v="Oficinas"/>
    <n v="110"/>
    <s v="Alquiler"/>
    <n v="18331.68"/>
    <n v="516377"/>
    <n v="413101.6"/>
    <n v="84943.72000000003"/>
    <s v="Carlos"/>
    <n v="4.9000000000000004"/>
  </r>
  <r>
    <n v="906"/>
    <d v="2016-11-18T00:00:00"/>
    <x v="418"/>
    <x v="1"/>
    <s v="Estacionamiento"/>
    <n v="63"/>
    <s v="Alquiler"/>
    <n v="19029.599999999999"/>
    <n v="536625"/>
    <n v="429300"/>
    <n v="88295.4"/>
    <s v="Arturo"/>
    <n v="5"/>
  </r>
  <r>
    <n v="907"/>
    <d v="2016-11-18T00:00:00"/>
    <x v="269"/>
    <x v="1"/>
    <s v="Casa"/>
    <n v="55"/>
    <s v="Alquiler"/>
    <n v="18430.240000000002"/>
    <n v="528191"/>
    <n v="422552.8"/>
    <n v="87207.96"/>
    <s v="Iván"/>
    <n v="3.7"/>
  </r>
  <r>
    <n v="908"/>
    <d v="2016-11-18T00:00:00"/>
    <x v="210"/>
    <x v="1"/>
    <s v="Oficinas"/>
    <n v="129"/>
    <s v="Venta"/>
    <n v="36340.76"/>
    <n v="969929"/>
    <n v="775943.2"/>
    <n v="157645.04000000004"/>
    <s v="Arturo"/>
    <n v="4"/>
  </r>
  <r>
    <n v="909"/>
    <d v="2016-11-18T00:00:00"/>
    <x v="311"/>
    <x v="1"/>
    <s v="Oficinas"/>
    <n v="120"/>
    <s v="Venta"/>
    <n v="47182.8"/>
    <n v="1241080"/>
    <n v="992864"/>
    <n v="201033.2"/>
    <s v="Romina"/>
    <n v="3.6"/>
  </r>
  <r>
    <n v="910"/>
    <d v="2016-11-19T00:00:00"/>
    <x v="419"/>
    <x v="1"/>
    <s v="Casa"/>
    <n v="190"/>
    <s v="Venta"/>
    <n v="59542.12"/>
    <n v="1543338"/>
    <n v="1234670.3999999999"/>
    <n v="249125.4800000001"/>
    <s v="Iván"/>
    <n v="4.7"/>
  </r>
  <r>
    <n v="911"/>
    <d v="2016-11-20T00:00:00"/>
    <x v="410"/>
    <x v="3"/>
    <s v="Terreno"/>
    <n v="131"/>
    <s v="Venta"/>
    <n v="40858.6"/>
    <n v="1073150"/>
    <n v="858520"/>
    <n v="173771.4"/>
    <s v="Arturo"/>
    <n v="4.5999999999999996"/>
  </r>
  <r>
    <n v="912"/>
    <d v="2016-11-20T00:00:00"/>
    <x v="385"/>
    <x v="2"/>
    <s v="Terreno"/>
    <n v="193"/>
    <s v="Venta"/>
    <n v="77794"/>
    <n v="2003885"/>
    <n v="1603108"/>
    <n v="322983"/>
    <s v="Arturo"/>
    <n v="4.2"/>
  </r>
  <r>
    <n v="913"/>
    <d v="2016-11-20T00:00:00"/>
    <x v="385"/>
    <x v="3"/>
    <s v="Oficinas"/>
    <n v="243"/>
    <s v="Venta"/>
    <n v="66184"/>
    <n v="1712985"/>
    <n v="1370388"/>
    <n v="276413"/>
    <s v="Arturo"/>
    <n v="4.5"/>
  </r>
  <r>
    <n v="914"/>
    <d v="2016-11-20T00:00:00"/>
    <x v="420"/>
    <x v="3"/>
    <s v="Depósito"/>
    <n v="45"/>
    <s v="Alquiler"/>
    <n v="13648.2"/>
    <n v="402965"/>
    <n v="322372"/>
    <n v="66944.800000000003"/>
    <s v="Arturo"/>
    <n v="4.5999999999999996"/>
  </r>
  <r>
    <n v="915"/>
    <d v="2016-11-20T00:00:00"/>
    <x v="331"/>
    <x v="3"/>
    <s v="Oficinas"/>
    <n v="282"/>
    <s v="Venta"/>
    <n v="73773.399999999994"/>
    <n v="1906370"/>
    <n v="1525096"/>
    <n v="307500.59999999998"/>
    <s v="Iván"/>
    <n v="4"/>
  </r>
  <r>
    <n v="916"/>
    <d v="2016-11-21T00:00:00"/>
    <x v="421"/>
    <x v="3"/>
    <s v="Terreno"/>
    <n v="151"/>
    <s v="Venta"/>
    <n v="59369.8"/>
    <n v="1547580"/>
    <n v="1238064"/>
    <n v="250146.2"/>
    <s v="Ángeles"/>
    <n v="4"/>
  </r>
  <r>
    <n v="917"/>
    <d v="2016-11-21T00:00:00"/>
    <x v="398"/>
    <x v="0"/>
    <s v="Depósito"/>
    <n v="257"/>
    <s v="Venta"/>
    <n v="68025.279999999999"/>
    <n v="1756242"/>
    <n v="1404993.6"/>
    <n v="283223.11999999988"/>
    <s v="Arturo"/>
    <n v="4.7"/>
  </r>
  <r>
    <n v="918"/>
    <d v="2016-11-22T00:00:00"/>
    <x v="310"/>
    <x v="2"/>
    <s v="Oficinas"/>
    <n v="193"/>
    <s v="Venta"/>
    <n v="65695.56"/>
    <n v="1698574"/>
    <n v="1358859.2"/>
    <n v="274019.24000000005"/>
    <s v="Romina"/>
    <n v="4.3"/>
  </r>
  <r>
    <n v="919"/>
    <d v="2016-11-22T00:00:00"/>
    <x v="413"/>
    <x v="2"/>
    <s v="Local Comercial"/>
    <n v="264"/>
    <s v="Venta"/>
    <n v="51676.4"/>
    <n v="1348145"/>
    <n v="1078516"/>
    <n v="217952.6"/>
    <s v="Ángeles"/>
    <n v="3.7"/>
  </r>
  <r>
    <n v="920"/>
    <d v="2016-11-23T00:00:00"/>
    <x v="352"/>
    <x v="0"/>
    <s v="Departamento"/>
    <n v="131"/>
    <s v="Venta"/>
    <n v="48710.68"/>
    <n v="1278527"/>
    <n v="1022821.6"/>
    <n v="206994.72000000003"/>
    <s v="Sabrina"/>
    <n v="3.8"/>
  </r>
  <r>
    <n v="921"/>
    <d v="2016-11-24T00:00:00"/>
    <x v="261"/>
    <x v="2"/>
    <s v="Oficinas"/>
    <n v="158"/>
    <s v="Venta"/>
    <n v="49874.2"/>
    <n v="1309515"/>
    <n v="1047612"/>
    <n v="212028.79999999999"/>
    <s v="Sabrina"/>
    <n v="4.2"/>
  </r>
  <r>
    <n v="922"/>
    <d v="2016-11-24T00:00:00"/>
    <x v="301"/>
    <x v="2"/>
    <s v="Oficinas"/>
    <n v="214"/>
    <s v="Venta"/>
    <n v="48709.08"/>
    <n v="1274687"/>
    <n v="1019749.6"/>
    <n v="206228.32"/>
    <s v="Carlos"/>
    <n v="4.0999999999999996"/>
  </r>
  <r>
    <n v="923"/>
    <d v="2016-11-24T00:00:00"/>
    <x v="354"/>
    <x v="0"/>
    <s v="Depósito"/>
    <n v="250"/>
    <s v="Venta"/>
    <n v="56951.68"/>
    <n v="1477227"/>
    <n v="1181781.6000000001"/>
    <n v="238493.71999999991"/>
    <s v="Romina"/>
    <n v="3.6"/>
  </r>
  <r>
    <n v="924"/>
    <d v="2016-11-25T00:00:00"/>
    <x v="223"/>
    <x v="0"/>
    <s v="Departamento"/>
    <n v="279"/>
    <s v="Venta"/>
    <n v="87518.36"/>
    <n v="2250394"/>
    <n v="1800315.2"/>
    <n v="362560.44000000006"/>
    <s v="Sabrina"/>
    <n v="4"/>
  </r>
  <r>
    <n v="925"/>
    <d v="2016-11-25T00:00:00"/>
    <x v="413"/>
    <x v="1"/>
    <s v="Departamento"/>
    <n v="295"/>
    <s v="Venta"/>
    <n v="80779.48"/>
    <n v="2075997"/>
    <n v="1660797.6"/>
    <n v="334419.91999999993"/>
    <s v="Carlos"/>
    <n v="4.5"/>
  </r>
  <r>
    <n v="926"/>
    <d v="2016-11-25T00:00:00"/>
    <x v="422"/>
    <x v="2"/>
    <s v="Departamento"/>
    <n v="292"/>
    <s v="Venta"/>
    <n v="94254"/>
    <n v="2413035"/>
    <n v="1930428"/>
    <n v="388353"/>
    <s v="Sabrina"/>
    <n v="3.6"/>
  </r>
  <r>
    <n v="927"/>
    <d v="2016-11-25T00:00:00"/>
    <x v="204"/>
    <x v="1"/>
    <s v="Local Comercial"/>
    <n v="144"/>
    <s v="Alquiler"/>
    <n v="27623"/>
    <n v="746185"/>
    <n v="596948"/>
    <n v="121614"/>
    <s v="Romina"/>
    <n v="3.6"/>
  </r>
  <r>
    <n v="928"/>
    <d v="2016-11-26T00:00:00"/>
    <x v="423"/>
    <x v="0"/>
    <s v="Casa"/>
    <n v="277"/>
    <s v="Venta"/>
    <n v="63474.879999999997"/>
    <n v="1652132"/>
    <n v="1321705.6000000001"/>
    <n v="266951.5199999999"/>
    <s v="Carlos"/>
    <n v="4.2"/>
  </r>
  <r>
    <n v="929"/>
    <d v="2016-11-27T00:00:00"/>
    <x v="424"/>
    <x v="3"/>
    <s v="Estacionamiento"/>
    <n v="67"/>
    <s v="Alquiler"/>
    <n v="15173.4"/>
    <n v="446745"/>
    <n v="357396"/>
    <n v="74175.600000000006"/>
    <s v="Romina"/>
    <n v="4.3"/>
  </r>
  <r>
    <n v="930"/>
    <d v="2016-11-27T00:00:00"/>
    <x v="317"/>
    <x v="2"/>
    <s v="Local Comercial"/>
    <n v="156"/>
    <s v="Venta"/>
    <n v="63065.48"/>
    <n v="1641172"/>
    <n v="1312937.6000000001"/>
    <n v="265168.91999999993"/>
    <s v="Sabrina"/>
    <n v="3.7"/>
  </r>
  <r>
    <n v="931"/>
    <d v="2016-11-27T00:00:00"/>
    <x v="425"/>
    <x v="1"/>
    <s v="Local Comercial"/>
    <n v="219"/>
    <s v="Venta"/>
    <n v="81518.36"/>
    <n v="2089869"/>
    <n v="1671895.2"/>
    <n v="336455.44000000006"/>
    <s v="Romina"/>
    <n v="4.5"/>
  </r>
  <r>
    <n v="932"/>
    <d v="2016-11-29T00:00:00"/>
    <x v="355"/>
    <x v="0"/>
    <s v="Local Comercial"/>
    <n v="115"/>
    <s v="Alquiler"/>
    <n v="29558.400000000001"/>
    <n v="790920"/>
    <n v="632736"/>
    <n v="128625.60000000001"/>
    <s v="Carlos"/>
    <n v="4.2"/>
  </r>
  <r>
    <n v="933"/>
    <d v="2016-11-29T00:00:00"/>
    <x v="426"/>
    <x v="0"/>
    <s v="Departamento"/>
    <n v="144"/>
    <s v="Venta"/>
    <n v="30785"/>
    <n v="831485"/>
    <n v="665188"/>
    <n v="135512"/>
    <s v="Sabrina"/>
    <n v="4.0999999999999996"/>
  </r>
  <r>
    <n v="934"/>
    <d v="2016-11-29T00:00:00"/>
    <x v="427"/>
    <x v="1"/>
    <s v="Casa"/>
    <n v="223"/>
    <s v="Venta"/>
    <n v="87443.6"/>
    <n v="2249225"/>
    <n v="1799380"/>
    <n v="362401.4"/>
    <s v="Iván"/>
    <n v="3.7"/>
  </r>
  <r>
    <n v="935"/>
    <d v="2016-11-30T00:00:00"/>
    <x v="251"/>
    <x v="2"/>
    <s v="Casa"/>
    <n v="158"/>
    <s v="Venta"/>
    <n v="54034.32"/>
    <n v="1409493"/>
    <n v="1127594.3999999999"/>
    <n v="227864.28000000009"/>
    <s v="Arturo"/>
    <n v="4.0999999999999996"/>
  </r>
  <r>
    <n v="936"/>
    <d v="2016-12-01T00:00:00"/>
    <x v="428"/>
    <x v="3"/>
    <s v="Casa"/>
    <n v="110"/>
    <s v="Alquiler"/>
    <n v="22236.6"/>
    <n v="609525"/>
    <n v="487620"/>
    <n v="99668.4"/>
    <s v="Ángeles"/>
    <n v="3.9"/>
  </r>
  <r>
    <n v="937"/>
    <d v="2016-12-01T00:00:00"/>
    <x v="429"/>
    <x v="3"/>
    <s v="Terreno"/>
    <n v="269"/>
    <s v="Venta"/>
    <n v="76418.080000000002"/>
    <n v="1969037"/>
    <n v="1575229.6"/>
    <n v="317389.31999999989"/>
    <s v="Ángeles"/>
    <n v="3.6"/>
  </r>
  <r>
    <n v="938"/>
    <d v="2016-12-01T00:00:00"/>
    <x v="224"/>
    <x v="2"/>
    <s v="Local Comercial"/>
    <n v="155"/>
    <s v="Venta"/>
    <n v="29704.959999999999"/>
    <n v="803259"/>
    <n v="642607.19999999995"/>
    <n v="130946.84000000005"/>
    <s v="Arturo"/>
    <n v="4.8"/>
  </r>
  <r>
    <n v="939"/>
    <d v="2016-12-01T00:00:00"/>
    <x v="267"/>
    <x v="1"/>
    <s v="Depósito"/>
    <n v="210"/>
    <s v="Venta"/>
    <n v="77354.399999999994"/>
    <n v="1998845"/>
    <n v="1599076"/>
    <n v="322414.59999999998"/>
    <s v="Arturo"/>
    <n v="4.4000000000000004"/>
  </r>
  <r>
    <n v="940"/>
    <d v="2016-12-02T00:00:00"/>
    <x v="292"/>
    <x v="2"/>
    <s v="Terreno"/>
    <n v="245"/>
    <s v="Venta"/>
    <n v="65392.88"/>
    <n v="1699307"/>
    <n v="1359445.6"/>
    <n v="274468.5199999999"/>
    <s v="Sabrina"/>
    <n v="4.0999999999999996"/>
  </r>
  <r>
    <n v="941"/>
    <d v="2016-12-02T00:00:00"/>
    <x v="301"/>
    <x v="2"/>
    <s v="Casa"/>
    <n v="64"/>
    <s v="Alquiler"/>
    <n v="23673.759999999998"/>
    <n v="650729"/>
    <n v="520583.2"/>
    <n v="106472.04"/>
    <s v="Iván"/>
    <n v="4.4000000000000004"/>
  </r>
  <r>
    <n v="942"/>
    <d v="2016-12-02T00:00:00"/>
    <x v="346"/>
    <x v="2"/>
    <s v="Departamento"/>
    <n v="172"/>
    <s v="Venta"/>
    <n v="58232.6"/>
    <n v="1522400"/>
    <n v="1217920"/>
    <n v="246247.4"/>
    <s v="Romina"/>
    <n v="4.4000000000000004"/>
  </r>
  <r>
    <n v="943"/>
    <d v="2016-12-03T00:00:00"/>
    <x v="261"/>
    <x v="0"/>
    <s v="Oficinas"/>
    <n v="262"/>
    <s v="Venta"/>
    <n v="49773"/>
    <n v="1309485"/>
    <n v="1047588"/>
    <n v="212124"/>
    <s v="Romina"/>
    <n v="4.5999999999999996"/>
  </r>
  <r>
    <n v="944"/>
    <d v="2016-12-03T00:00:00"/>
    <x v="430"/>
    <x v="2"/>
    <s v="Departamento"/>
    <n v="60"/>
    <s v="Alquiler"/>
    <n v="21691.200000000001"/>
    <n v="594515"/>
    <n v="475612"/>
    <n v="97211.8"/>
    <s v="Romina"/>
    <n v="4.5"/>
  </r>
  <r>
    <n v="945"/>
    <d v="2016-12-04T00:00:00"/>
    <x v="168"/>
    <x v="3"/>
    <s v="Terreno"/>
    <n v="155"/>
    <s v="Venta"/>
    <n v="34955.519999999997"/>
    <n v="931373"/>
    <n v="745098.4"/>
    <n v="151319.07999999999"/>
    <s v="Arturo"/>
    <n v="4.4000000000000004"/>
  </r>
  <r>
    <n v="946"/>
    <d v="2016-12-04T00:00:00"/>
    <x v="431"/>
    <x v="2"/>
    <s v="Depósito"/>
    <n v="239"/>
    <s v="Venta"/>
    <n v="57102.04"/>
    <n v="1484036"/>
    <n v="1187228.8"/>
    <n v="239705.15999999995"/>
    <s v="Arturo"/>
    <n v="4.9000000000000004"/>
  </r>
  <r>
    <n v="947"/>
    <d v="2016-12-04T00:00:00"/>
    <x v="281"/>
    <x v="3"/>
    <s v="Departamento"/>
    <n v="96"/>
    <s v="Alquiler"/>
    <n v="18254.96"/>
    <n v="511109"/>
    <n v="408887.2"/>
    <n v="83966.84"/>
    <s v="Romina"/>
    <n v="4.4000000000000004"/>
  </r>
  <r>
    <n v="948"/>
    <d v="2016-12-05T00:00:00"/>
    <x v="356"/>
    <x v="0"/>
    <s v="Terreno"/>
    <n v="234"/>
    <s v="Venta"/>
    <n v="68328.88"/>
    <n v="1762082"/>
    <n v="1409665.6"/>
    <n v="284087.5199999999"/>
    <s v="Arturo"/>
    <n v="4.8"/>
  </r>
  <r>
    <n v="949"/>
    <d v="2016-12-05T00:00:00"/>
    <x v="314"/>
    <x v="3"/>
    <s v="Terreno"/>
    <n v="202"/>
    <s v="Venta"/>
    <n v="48933.48"/>
    <n v="1278047"/>
    <n v="1022437.6"/>
    <n v="206675.92"/>
    <s v="Ángeles"/>
    <n v="4.5"/>
  </r>
  <r>
    <n v="950"/>
    <d v="2016-12-05T00:00:00"/>
    <x v="432"/>
    <x v="0"/>
    <s v="Terreno"/>
    <n v="226"/>
    <s v="Venta"/>
    <n v="85049.08"/>
    <n v="2190337"/>
    <n v="1752269.6"/>
    <n v="353018.31999999989"/>
    <s v="Arturo"/>
    <n v="4.7"/>
  </r>
  <r>
    <n v="951"/>
    <d v="2016-12-06T00:00:00"/>
    <x v="413"/>
    <x v="0"/>
    <s v="Depósito"/>
    <n v="58"/>
    <s v="Alquiler"/>
    <n v="11700.2"/>
    <n v="343740"/>
    <n v="274992"/>
    <n v="57047.8"/>
    <s v="Romina"/>
    <n v="3.9"/>
  </r>
  <r>
    <n v="952"/>
    <d v="2016-12-07T00:00:00"/>
    <x v="372"/>
    <x v="0"/>
    <s v="Casa"/>
    <n v="136"/>
    <s v="Venta"/>
    <n v="36998.32"/>
    <n v="991293"/>
    <n v="793034.4"/>
    <n v="161260.27999999997"/>
    <s v="Ángeles"/>
    <n v="4"/>
  </r>
  <r>
    <n v="953"/>
    <d v="2016-12-07T00:00:00"/>
    <x v="422"/>
    <x v="0"/>
    <s v="Local Comercial"/>
    <n v="233"/>
    <s v="Venta"/>
    <n v="59408.800000000003"/>
    <n v="1546805"/>
    <n v="1237444"/>
    <n v="249952.2"/>
    <s v="Romina"/>
    <n v="4.8"/>
  </r>
  <r>
    <n v="954"/>
    <d v="2016-12-08T00:00:00"/>
    <x v="402"/>
    <x v="2"/>
    <s v="Departamento"/>
    <n v="61"/>
    <s v="Alquiler"/>
    <n v="12348.24"/>
    <n v="367441"/>
    <n v="293952.8"/>
    <n v="61139.960000000014"/>
    <s v="Ángeles"/>
    <n v="3.6"/>
  </r>
  <r>
    <n v="955"/>
    <d v="2016-12-09T00:00:00"/>
    <x v="370"/>
    <x v="2"/>
    <s v="Terreno"/>
    <n v="194"/>
    <s v="Venta"/>
    <n v="76486"/>
    <n v="1974885"/>
    <n v="1579908"/>
    <n v="318491"/>
    <s v="Ángeles"/>
    <n v="4"/>
  </r>
  <r>
    <n v="956"/>
    <d v="2016-12-09T00:00:00"/>
    <x v="228"/>
    <x v="2"/>
    <s v="Departamento"/>
    <n v="76"/>
    <s v="Alquiler"/>
    <n v="19584.599999999999"/>
    <n v="546325"/>
    <n v="437060"/>
    <n v="89680.4"/>
    <s v="Romina"/>
    <n v="3.8"/>
  </r>
  <r>
    <n v="957"/>
    <d v="2016-12-09T00:00:00"/>
    <x v="322"/>
    <x v="1"/>
    <s v="Oficinas"/>
    <n v="78"/>
    <s v="Alquiler"/>
    <n v="14082.4"/>
    <n v="405245"/>
    <n v="324196"/>
    <n v="66966.600000000006"/>
    <s v="Sabrina"/>
    <n v="4"/>
  </r>
  <r>
    <n v="958"/>
    <d v="2016-12-10T00:00:00"/>
    <x v="266"/>
    <x v="3"/>
    <s v="Local Comercial"/>
    <n v="223"/>
    <s v="Venta"/>
    <n v="41844.68"/>
    <n v="1108152"/>
    <n v="886521.6"/>
    <n v="179785.72000000003"/>
    <s v="Romina"/>
    <n v="4.4000000000000004"/>
  </r>
  <r>
    <n v="959"/>
    <d v="2016-12-10T00:00:00"/>
    <x v="277"/>
    <x v="1"/>
    <s v="Local Comercial"/>
    <n v="284"/>
    <s v="Venta"/>
    <n v="74308.039999999994"/>
    <n v="1909361"/>
    <n v="1527488.8"/>
    <n v="307564.15999999997"/>
    <s v="Ángeles"/>
    <n v="4.0999999999999996"/>
  </r>
  <r>
    <n v="960"/>
    <d v="2016-12-10T00:00:00"/>
    <x v="345"/>
    <x v="1"/>
    <s v="Terreno"/>
    <n v="270"/>
    <s v="Venta"/>
    <n v="68654"/>
    <n v="1768985"/>
    <n v="1415188"/>
    <n v="285143"/>
    <s v="Carlos"/>
    <n v="4.5"/>
  </r>
  <r>
    <n v="961"/>
    <d v="2016-12-10T00:00:00"/>
    <x v="409"/>
    <x v="1"/>
    <s v="Estacionamiento"/>
    <n v="89"/>
    <s v="Alquiler"/>
    <n v="20425.36"/>
    <n v="572069"/>
    <n v="457655.2"/>
    <n v="93988.439999999988"/>
    <s v="Romina"/>
    <n v="4"/>
  </r>
  <r>
    <n v="962"/>
    <d v="2016-12-10T00:00:00"/>
    <x v="350"/>
    <x v="3"/>
    <s v="Local Comercial"/>
    <n v="169"/>
    <s v="Venta"/>
    <n v="50211.68"/>
    <n v="1308077"/>
    <n v="1046461.6"/>
    <n v="211403.72000000003"/>
    <s v="Carlos"/>
    <n v="4.5999999999999996"/>
  </r>
  <r>
    <n v="963"/>
    <d v="2016-12-11T00:00:00"/>
    <x v="433"/>
    <x v="3"/>
    <s v="Casa"/>
    <n v="184"/>
    <s v="Venta"/>
    <n v="62713.8"/>
    <n v="1630205"/>
    <n v="1304164"/>
    <n v="263327.2"/>
    <s v="Arturo"/>
    <n v="3.8"/>
  </r>
  <r>
    <n v="964"/>
    <d v="2016-12-11T00:00:00"/>
    <x v="434"/>
    <x v="3"/>
    <s v="Terreno"/>
    <n v="181"/>
    <s v="Venta"/>
    <n v="40800.6"/>
    <n v="1075075"/>
    <n v="860060"/>
    <n v="174214.39999999999"/>
    <s v="Sabrina"/>
    <n v="4.7"/>
  </r>
  <r>
    <n v="965"/>
    <d v="2016-12-11T00:00:00"/>
    <x v="435"/>
    <x v="2"/>
    <s v="Local Comercial"/>
    <n v="53"/>
    <s v="Alquiler"/>
    <n v="19884.64"/>
    <n v="562101"/>
    <n v="449680.8"/>
    <n v="92535.560000000012"/>
    <s v="Carlos"/>
    <n v="3.8"/>
  </r>
  <r>
    <n v="966"/>
    <d v="2016-12-11T00:00:00"/>
    <x v="436"/>
    <x v="1"/>
    <s v="Oficinas"/>
    <n v="208"/>
    <s v="Venta"/>
    <n v="78752.28"/>
    <n v="2031017"/>
    <n v="1624813.6"/>
    <n v="327451.11999999988"/>
    <s v="Ángeles"/>
    <n v="3.6"/>
  </r>
  <r>
    <n v="967"/>
    <d v="2016-12-12T00:00:00"/>
    <x v="196"/>
    <x v="3"/>
    <s v="Terreno"/>
    <n v="171"/>
    <s v="Alquiler"/>
    <n v="28193"/>
    <n v="759410"/>
    <n v="607528"/>
    <n v="123689"/>
    <s v="Romina"/>
    <n v="3.8"/>
  </r>
  <r>
    <n v="968"/>
    <d v="2016-12-12T00:00:00"/>
    <x v="437"/>
    <x v="1"/>
    <s v="Departamento"/>
    <n v="92"/>
    <s v="Venta"/>
    <n v="29679.96"/>
    <n v="806309"/>
    <n v="645047.19999999995"/>
    <n v="131581.84000000005"/>
    <s v="Iván"/>
    <n v="5"/>
  </r>
  <r>
    <n v="969"/>
    <d v="2016-12-14T00:00:00"/>
    <x v="409"/>
    <x v="2"/>
    <s v="Terreno"/>
    <n v="267"/>
    <s v="Venta"/>
    <n v="102384.08"/>
    <n v="2618037"/>
    <n v="2094429.6"/>
    <n v="421223.31999999989"/>
    <s v="Arturo"/>
    <n v="4.0999999999999996"/>
  </r>
  <r>
    <n v="970"/>
    <d v="2016-12-14T00:00:00"/>
    <x v="275"/>
    <x v="1"/>
    <s v="Depósito"/>
    <n v="228"/>
    <s v="Venta"/>
    <n v="47048.32"/>
    <n v="1229893"/>
    <n v="983914.4"/>
    <n v="198930.27999999997"/>
    <s v="Sabrina"/>
    <n v="4.3"/>
  </r>
  <r>
    <n v="971"/>
    <d v="2016-12-14T00:00:00"/>
    <x v="397"/>
    <x v="1"/>
    <s v="Oficinas"/>
    <n v="194"/>
    <s v="Venta"/>
    <n v="44712"/>
    <n v="1182085"/>
    <n v="945668"/>
    <n v="191705"/>
    <s v="Ángeles"/>
    <n v="4.8"/>
  </r>
  <r>
    <n v="972"/>
    <d v="2016-12-14T00:00:00"/>
    <x v="314"/>
    <x v="0"/>
    <s v="Casa"/>
    <n v="213"/>
    <s v="Venta"/>
    <n v="41634.120000000003"/>
    <n v="1095788"/>
    <n v="876630.4"/>
    <n v="177523.47999999998"/>
    <s v="Carlos"/>
    <n v="3.7"/>
  </r>
  <r>
    <n v="973"/>
    <d v="2016-12-15T00:00:00"/>
    <x v="421"/>
    <x v="0"/>
    <s v="Depósito"/>
    <n v="120"/>
    <s v="Alquiler"/>
    <n v="22856.68"/>
    <n v="637127"/>
    <n v="509701.6"/>
    <n v="104568.72000000003"/>
    <s v="Iván"/>
    <n v="3.7"/>
  </r>
  <r>
    <n v="974"/>
    <d v="2016-12-15T00:00:00"/>
    <x v="438"/>
    <x v="1"/>
    <s v="Estacionamiento"/>
    <n v="125"/>
    <s v="Venta"/>
    <n v="36200.76"/>
    <n v="956629"/>
    <n v="765303.2"/>
    <n v="155125.04000000004"/>
    <s v="Iván"/>
    <n v="4.8"/>
  </r>
  <r>
    <n v="975"/>
    <d v="2016-12-16T00:00:00"/>
    <x v="322"/>
    <x v="1"/>
    <s v="Casa"/>
    <n v="73"/>
    <s v="Alquiler"/>
    <n v="15251.52"/>
    <n v="446048"/>
    <n v="356838.40000000002"/>
    <n v="73958.079999999973"/>
    <s v="Arturo"/>
    <n v="4.7"/>
  </r>
  <r>
    <n v="976"/>
    <d v="2016-12-16T00:00:00"/>
    <x v="439"/>
    <x v="0"/>
    <s v="Departamento"/>
    <n v="227"/>
    <s v="Venta"/>
    <n v="48862.400000000001"/>
    <n v="1273045"/>
    <n v="1018436"/>
    <n v="205746.6"/>
    <s v="Arturo"/>
    <n v="4"/>
  </r>
  <r>
    <n v="977"/>
    <d v="2016-12-16T00:00:00"/>
    <x v="386"/>
    <x v="1"/>
    <s v="Local Comercial"/>
    <n v="196"/>
    <s v="Venta"/>
    <n v="59099.6"/>
    <n v="1530975"/>
    <n v="1224780"/>
    <n v="247095.4"/>
    <s v="Carlos"/>
    <n v="5"/>
  </r>
  <r>
    <n v="978"/>
    <d v="2016-12-17T00:00:00"/>
    <x v="440"/>
    <x v="3"/>
    <s v="Local Comercial"/>
    <n v="110"/>
    <s v="Alquiler"/>
    <n v="25136.799999999999"/>
    <n v="695780"/>
    <n v="556624"/>
    <n v="114019.2"/>
    <s v="Ángeles"/>
    <n v="4.0999999999999996"/>
  </r>
  <r>
    <n v="979"/>
    <d v="2016-12-18T00:00:00"/>
    <x v="233"/>
    <x v="3"/>
    <s v="Terreno"/>
    <n v="94"/>
    <s v="Alquiler"/>
    <n v="26194.68"/>
    <n v="709277"/>
    <n v="567421.6"/>
    <n v="115660.72000000003"/>
    <s v="Carlos"/>
    <n v="4.4000000000000004"/>
  </r>
  <r>
    <n v="980"/>
    <d v="2016-12-18T00:00:00"/>
    <x v="441"/>
    <x v="2"/>
    <s v="Oficinas"/>
    <n v="119"/>
    <s v="Alquiler"/>
    <n v="22360.639999999999"/>
    <n v="625501"/>
    <n v="500400.8"/>
    <n v="102739.56000000001"/>
    <s v="Carlos"/>
    <n v="4.4000000000000004"/>
  </r>
  <r>
    <n v="981"/>
    <d v="2016-12-18T00:00:00"/>
    <x v="442"/>
    <x v="3"/>
    <s v="Local Comercial"/>
    <n v="275"/>
    <s v="Venta"/>
    <n v="90211.48"/>
    <n v="2310247"/>
    <n v="1848197.6"/>
    <n v="371837.91999999993"/>
    <s v="Arturo"/>
    <n v="4.7"/>
  </r>
  <r>
    <n v="982"/>
    <d v="2016-12-19T00:00:00"/>
    <x v="407"/>
    <x v="0"/>
    <s v="Oficinas"/>
    <n v="207"/>
    <s v="Venta"/>
    <n v="62711.6"/>
    <n v="1625425"/>
    <n v="1300340"/>
    <n v="262373.40000000002"/>
    <s v="Romina"/>
    <n v="4.4000000000000004"/>
  </r>
  <r>
    <n v="983"/>
    <d v="2016-12-19T00:00:00"/>
    <x v="386"/>
    <x v="3"/>
    <s v="Departamento"/>
    <n v="245"/>
    <s v="Venta"/>
    <n v="44384"/>
    <n v="1164235"/>
    <n v="931388"/>
    <n v="188463"/>
    <s v="Sabrina"/>
    <n v="4.7"/>
  </r>
  <r>
    <n v="984"/>
    <d v="2016-12-19T00:00:00"/>
    <x v="340"/>
    <x v="0"/>
    <s v="Terreno"/>
    <n v="273"/>
    <s v="Venta"/>
    <n v="66481.440000000002"/>
    <n v="1714771"/>
    <n v="1371816.8"/>
    <n v="276472.75999999995"/>
    <s v="Iván"/>
    <n v="5"/>
  </r>
  <r>
    <n v="985"/>
    <d v="2016-12-20T00:00:00"/>
    <x v="378"/>
    <x v="2"/>
    <s v="Casa"/>
    <n v="267"/>
    <s v="Venta"/>
    <n v="96267"/>
    <n v="2463785"/>
    <n v="1971028"/>
    <n v="396490"/>
    <s v="Arturo"/>
    <n v="4.4000000000000004"/>
  </r>
  <r>
    <n v="986"/>
    <d v="2016-12-20T00:00:00"/>
    <x v="242"/>
    <x v="3"/>
    <s v="Local Comercial"/>
    <n v="206"/>
    <s v="Venta"/>
    <n v="68957.600000000006"/>
    <n v="1789725"/>
    <n v="1431780"/>
    <n v="288987.40000000002"/>
    <s v="Carlos"/>
    <n v="3.8"/>
  </r>
  <r>
    <n v="987"/>
    <d v="2016-12-21T00:00:00"/>
    <x v="443"/>
    <x v="0"/>
    <s v="Depósito"/>
    <n v="255"/>
    <s v="Venta"/>
    <n v="75088.08"/>
    <n v="1931237"/>
    <n v="1544989.6"/>
    <n v="311159.31999999989"/>
    <s v="Romina"/>
    <n v="4.4000000000000004"/>
  </r>
  <r>
    <n v="988"/>
    <d v="2016-12-21T00:00:00"/>
    <x v="391"/>
    <x v="3"/>
    <s v="Oficinas"/>
    <n v="221"/>
    <s v="Venta"/>
    <n v="79354"/>
    <n v="2036960"/>
    <n v="1629568"/>
    <n v="328038"/>
    <s v="Iván"/>
    <n v="4.2"/>
  </r>
  <r>
    <n v="989"/>
    <d v="2016-12-21T00:00:00"/>
    <x v="354"/>
    <x v="3"/>
    <s v="Departamento"/>
    <n v="76"/>
    <s v="Alquiler"/>
    <n v="20315.8"/>
    <n v="564605"/>
    <n v="451684"/>
    <n v="92605.2"/>
    <s v="Carlos"/>
    <n v="3.6"/>
  </r>
  <r>
    <n v="990"/>
    <d v="2016-12-21T00:00:00"/>
    <x v="218"/>
    <x v="0"/>
    <s v="Oficinas"/>
    <n v="177"/>
    <s v="Venta"/>
    <n v="67916.92"/>
    <n v="1754383"/>
    <n v="1403506.4"/>
    <n v="282959.68000000011"/>
    <s v="Arturo"/>
    <n v="3.8"/>
  </r>
  <r>
    <n v="991"/>
    <d v="2016-12-21T00:00:00"/>
    <x v="444"/>
    <x v="0"/>
    <s v="Estacionamiento"/>
    <n v="227"/>
    <s v="Venta"/>
    <n v="73952.28"/>
    <n v="1907242"/>
    <n v="1525793.6"/>
    <n v="307496.11999999988"/>
    <s v="Sabrina"/>
    <n v="4.7"/>
  </r>
  <r>
    <n v="992"/>
    <d v="2016-12-22T00:00:00"/>
    <x v="445"/>
    <x v="1"/>
    <s v="Local Comercial"/>
    <n v="278"/>
    <s v="Venta"/>
    <n v="91868.72"/>
    <n v="2362603"/>
    <n v="1890082.4"/>
    <n v="380651.88000000012"/>
    <s v="Ángeles"/>
    <n v="5"/>
  </r>
  <r>
    <n v="993"/>
    <d v="2016-12-22T00:00:00"/>
    <x v="263"/>
    <x v="0"/>
    <s v="Depósito"/>
    <n v="196"/>
    <s v="Venta"/>
    <n v="75449.399999999994"/>
    <n v="1947995"/>
    <n v="1558396"/>
    <n v="314149.59999999998"/>
    <s v="Sabrina"/>
    <n v="4.0999999999999996"/>
  </r>
  <r>
    <n v="994"/>
    <d v="2016-12-22T00:00:00"/>
    <x v="446"/>
    <x v="0"/>
    <s v="Casa"/>
    <n v="184"/>
    <s v="Venta"/>
    <n v="52866.44"/>
    <n v="1383446"/>
    <n v="1106756.8"/>
    <n v="223822.75999999995"/>
    <s v="Carlos"/>
    <n v="3.7"/>
  </r>
  <r>
    <n v="995"/>
    <d v="2016-12-22T00:00:00"/>
    <x v="244"/>
    <x v="0"/>
    <s v="Local Comercial"/>
    <n v="174"/>
    <s v="Venta"/>
    <n v="55807"/>
    <n v="1451285"/>
    <n v="1161028"/>
    <n v="234450"/>
    <s v="Carlos"/>
    <n v="3.8"/>
  </r>
  <r>
    <n v="996"/>
    <d v="2016-12-23T00:00:00"/>
    <x v="244"/>
    <x v="1"/>
    <s v="Depósito"/>
    <n v="81"/>
    <s v="Alquiler"/>
    <n v="26475.360000000001"/>
    <n v="726669"/>
    <n v="581335.19999999995"/>
    <n v="118858.44000000005"/>
    <s v="Romina"/>
    <n v="3.8"/>
  </r>
  <r>
    <n v="997"/>
    <d v="2016-12-23T00:00:00"/>
    <x v="389"/>
    <x v="2"/>
    <s v="Departamento"/>
    <n v="63"/>
    <s v="Alquiler"/>
    <n v="16765.28"/>
    <n v="485417"/>
    <n v="388333.6"/>
    <n v="80318.120000000024"/>
    <s v="Arturo"/>
    <n v="4.3"/>
  </r>
  <r>
    <n v="998"/>
    <d v="2016-12-23T00:00:00"/>
    <x v="322"/>
    <x v="3"/>
    <s v="Terreno"/>
    <n v="213"/>
    <s v="Venta"/>
    <n v="83268.72"/>
    <n v="2138228"/>
    <n v="1710582.4"/>
    <n v="344376.88000000012"/>
    <s v="Sabrina"/>
    <n v="4.0999999999999996"/>
  </r>
  <r>
    <n v="999"/>
    <d v="2016-12-23T00:00:00"/>
    <x v="423"/>
    <x v="2"/>
    <s v="Terreno"/>
    <n v="60"/>
    <s v="Alquiler"/>
    <n v="16112.72"/>
    <n v="467228"/>
    <n v="373782.4"/>
    <n v="77332.879999999976"/>
    <s v="Arturo"/>
    <n v="3.7"/>
  </r>
  <r>
    <n v="1000"/>
    <d v="2016-12-24T00:00:00"/>
    <x v="447"/>
    <x v="2"/>
    <s v="Local Comercial"/>
    <n v="293"/>
    <s v="Venta"/>
    <n v="107635"/>
    <n v="2743685"/>
    <n v="2194948"/>
    <n v="441102"/>
    <s v="Sabrina"/>
    <n v="4.7"/>
  </r>
  <r>
    <n v="1001"/>
    <d v="2016-12-25T00:00:00"/>
    <x v="275"/>
    <x v="1"/>
    <s v="Oficinas"/>
    <n v="245"/>
    <s v="Venta"/>
    <n v="53749"/>
    <n v="1405235"/>
    <n v="1124188"/>
    <n v="227298"/>
    <s v="Sabrina"/>
    <n v="3.7"/>
  </r>
  <r>
    <n v="1002"/>
    <d v="2016-12-25T00:00:00"/>
    <x v="445"/>
    <x v="0"/>
    <s v="Oficinas"/>
    <n v="286"/>
    <s v="Venta"/>
    <n v="106310.24"/>
    <n v="2713541"/>
    <n v="2170832.7999999998"/>
    <n v="436397.9600000002"/>
    <s v="Ángeles"/>
    <n v="4.7"/>
  </r>
  <r>
    <n v="1003"/>
    <d v="2016-12-25T00:00:00"/>
    <x v="388"/>
    <x v="1"/>
    <s v="Departamento"/>
    <n v="80"/>
    <s v="Alquiler"/>
    <n v="24593.32"/>
    <n v="674543"/>
    <n v="539634.4"/>
    <n v="110315.27999999997"/>
    <s v="Iván"/>
    <n v="3.9"/>
  </r>
  <r>
    <n v="1004"/>
    <d v="2016-12-26T00:00:00"/>
    <x v="311"/>
    <x v="1"/>
    <s v="Departamento"/>
    <n v="89"/>
    <s v="Venta"/>
    <n v="34055.199999999997"/>
    <n v="903265"/>
    <n v="722612"/>
    <n v="146597.79999999999"/>
    <s v="Iván"/>
    <n v="4.2"/>
  </r>
  <r>
    <n v="1005"/>
    <d v="2016-12-26T00:00:00"/>
    <x v="287"/>
    <x v="3"/>
    <s v="Terreno"/>
    <n v="156"/>
    <s v="Venta"/>
    <n v="56889.4"/>
    <n v="1473845"/>
    <n v="1179076"/>
    <n v="237879.6"/>
    <s v="Sabrina"/>
    <n v="4.0999999999999996"/>
  </r>
  <r>
    <n v="1006"/>
    <d v="2016-12-26T00:00:00"/>
    <x v="253"/>
    <x v="1"/>
    <s v="Oficinas"/>
    <n v="209"/>
    <s v="Venta"/>
    <n v="67389.600000000006"/>
    <n v="1742725"/>
    <n v="1394180"/>
    <n v="281155.40000000002"/>
    <s v="Arturo"/>
    <n v="4.5999999999999996"/>
  </r>
  <r>
    <n v="1007"/>
    <d v="2016-12-27T00:00:00"/>
    <x v="373"/>
    <x v="2"/>
    <s v="Casa"/>
    <n v="82"/>
    <s v="Venta"/>
    <n v="32081.16"/>
    <n v="858989"/>
    <n v="687191.2"/>
    <n v="139716.64000000004"/>
    <s v="Iván"/>
    <n v="4.3"/>
  </r>
  <r>
    <n v="1008"/>
    <d v="2016-12-27T00:00:00"/>
    <x v="313"/>
    <x v="2"/>
    <s v="Estacionamiento"/>
    <n v="115"/>
    <s v="Alquiler"/>
    <n v="24032.48"/>
    <n v="659272"/>
    <n v="527417.59999999998"/>
    <n v="107821.92000000003"/>
    <s v="Romina"/>
    <n v="4.2"/>
  </r>
  <r>
    <n v="1009"/>
    <d v="2016-12-27T00:00:00"/>
    <x v="263"/>
    <x v="0"/>
    <s v="Oficinas"/>
    <n v="219"/>
    <s v="Venta"/>
    <n v="49876.28"/>
    <n v="1303217"/>
    <n v="1042573.6"/>
    <n v="210767.12000000002"/>
    <s v="Arturo"/>
    <n v="5"/>
  </r>
  <r>
    <n v="1010"/>
    <d v="2016-12-27T00:00:00"/>
    <x v="448"/>
    <x v="3"/>
    <s v="Casa"/>
    <n v="206"/>
    <s v="Venta"/>
    <n v="36632.080000000002"/>
    <n v="982187"/>
    <n v="785749.6"/>
    <n v="159805.32"/>
    <s v="Sabrina"/>
    <n v="4"/>
  </r>
  <r>
    <n v="1011"/>
    <d v="2016-12-27T00:00:00"/>
    <x v="449"/>
    <x v="3"/>
    <s v="Casa"/>
    <n v="91"/>
    <s v="Venta"/>
    <n v="33473.919999999998"/>
    <n v="899333"/>
    <n v="719466.4"/>
    <n v="146392.68"/>
    <s v="Ángeles"/>
    <n v="4.4000000000000004"/>
  </r>
  <r>
    <n v="1012"/>
    <d v="2016-12-30T00:00:00"/>
    <x v="450"/>
    <x v="2"/>
    <s v="Terreno"/>
    <n v="167"/>
    <s v="Venta"/>
    <n v="39367.839999999997"/>
    <n v="1044556"/>
    <n v="835644.8"/>
    <n v="169543.35999999996"/>
    <s v="Iván"/>
    <n v="3.7"/>
  </r>
  <r>
    <n v="1013"/>
    <d v="2016-12-31T00:00:00"/>
    <x v="378"/>
    <x v="1"/>
    <s v="Casa"/>
    <n v="185"/>
    <s v="Venta"/>
    <n v="65341.2"/>
    <n v="1694365"/>
    <n v="1355492"/>
    <n v="273531.8"/>
    <s v="Arturo"/>
    <n v="3.9"/>
  </r>
  <r>
    <n v="1014"/>
    <d v="2016-12-31T00:00:00"/>
    <x v="416"/>
    <x v="2"/>
    <s v="Local Comercial"/>
    <n v="141"/>
    <s v="Venta"/>
    <n v="57359.040000000001"/>
    <n v="1493711"/>
    <n v="1194968.8"/>
    <n v="241383.15999999995"/>
    <s v="Ángeles"/>
    <n v="5"/>
  </r>
  <r>
    <n v="1015"/>
    <d v="2016-12-31T00:00:00"/>
    <x v="451"/>
    <x v="3"/>
    <s v="Oficinas"/>
    <n v="162"/>
    <s v="Venta"/>
    <n v="59572.88"/>
    <n v="1544957"/>
    <n v="1235965.6000000001"/>
    <n v="249418.5199999999"/>
    <s v="Sabrina"/>
    <n v="3.6"/>
  </r>
  <r>
    <n v="1016"/>
    <d v="2017-01-01T00:00:00"/>
    <x v="452"/>
    <x v="0"/>
    <s v="Oficinas"/>
    <n v="138"/>
    <s v="Venta"/>
    <n v="50074.559999999998"/>
    <n v="1313349"/>
    <n v="1050679.2"/>
    <n v="212595.24000000005"/>
    <s v="Ángeles"/>
    <n v="4.7"/>
  </r>
  <r>
    <n v="1017"/>
    <d v="2017-01-01T00:00:00"/>
    <x v="395"/>
    <x v="1"/>
    <s v="Oficinas"/>
    <n v="210"/>
    <s v="Venta"/>
    <n v="83132.479999999996"/>
    <n v="2138347"/>
    <n v="1710677.6"/>
    <n v="344536.91999999993"/>
    <s v="Romina"/>
    <n v="5"/>
  </r>
  <r>
    <n v="1018"/>
    <d v="2017-01-01T00:00:00"/>
    <x v="373"/>
    <x v="1"/>
    <s v="Depósito"/>
    <n v="265"/>
    <s v="Venta"/>
    <n v="53263.56"/>
    <n v="1396549"/>
    <n v="1117239.2"/>
    <n v="226046.24000000005"/>
    <s v="Iván"/>
    <n v="4.5"/>
  </r>
  <r>
    <n v="1019"/>
    <d v="2017-01-02T00:00:00"/>
    <x v="392"/>
    <x v="2"/>
    <s v="Terreno"/>
    <n v="40"/>
    <s v="Alquiler"/>
    <n v="13845.36"/>
    <n v="406469"/>
    <n v="325175.2"/>
    <n v="67448.439999999988"/>
    <s v="Iván"/>
    <n v="4.5999999999999996"/>
  </r>
  <r>
    <n v="1020"/>
    <d v="2017-01-02T00:00:00"/>
    <x v="453"/>
    <x v="1"/>
    <s v="Local Comercial"/>
    <n v="194"/>
    <s v="Venta"/>
    <n v="45984.2"/>
    <n v="1213340"/>
    <n v="970672"/>
    <n v="196683.8"/>
    <s v="Ángeles"/>
    <n v="4.2"/>
  </r>
  <r>
    <n v="1021"/>
    <d v="2017-01-02T00:00:00"/>
    <x v="452"/>
    <x v="0"/>
    <s v="Casa"/>
    <n v="82"/>
    <s v="Alquiler"/>
    <n v="17154.48"/>
    <n v="489447"/>
    <n v="391557.6"/>
    <n v="80734.920000000027"/>
    <s v="Carlos"/>
    <n v="4.0999999999999996"/>
  </r>
  <r>
    <n v="1022"/>
    <d v="2017-01-03T00:00:00"/>
    <x v="454"/>
    <x v="0"/>
    <s v="Depósito"/>
    <n v="233"/>
    <s v="Venta"/>
    <n v="45995.12"/>
    <n v="1214138"/>
    <n v="971310.4"/>
    <n v="196832.47999999998"/>
    <s v="Carlos"/>
    <n v="4.5999999999999996"/>
  </r>
  <r>
    <n v="1023"/>
    <d v="2017-01-03T00:00:00"/>
    <x v="455"/>
    <x v="3"/>
    <s v="Departamento"/>
    <n v="100"/>
    <s v="Venta"/>
    <n v="34460.199999999997"/>
    <n v="926465"/>
    <n v="741172"/>
    <n v="150832.79999999999"/>
    <s v="Arturo"/>
    <n v="4.0999999999999996"/>
  </r>
  <r>
    <n v="1024"/>
    <d v="2017-01-03T00:00:00"/>
    <x v="456"/>
    <x v="0"/>
    <s v="Local Comercial"/>
    <n v="167"/>
    <s v="Venta"/>
    <n v="63952.959999999999"/>
    <n v="1651909"/>
    <n v="1321527.2"/>
    <n v="266428.84000000003"/>
    <s v="Romina"/>
    <n v="4.9000000000000004"/>
  </r>
  <r>
    <n v="1025"/>
    <d v="2017-01-04T00:00:00"/>
    <x v="289"/>
    <x v="2"/>
    <s v="Local Comercial"/>
    <n v="210"/>
    <s v="Venta"/>
    <n v="80198.960000000006"/>
    <n v="2059109"/>
    <n v="1647287.2"/>
    <n v="331622.84000000003"/>
    <s v="Iván"/>
    <n v="4.4000000000000004"/>
  </r>
  <r>
    <n v="1026"/>
    <d v="2017-01-04T00:00:00"/>
    <x v="345"/>
    <x v="3"/>
    <s v="Terreno"/>
    <n v="203"/>
    <s v="Venta"/>
    <n v="48250.48"/>
    <n v="1267747"/>
    <n v="1014197.6"/>
    <n v="205298.92"/>
    <s v="Sabrina"/>
    <n v="4.5"/>
  </r>
  <r>
    <n v="1027"/>
    <d v="2017-01-04T00:00:00"/>
    <x v="457"/>
    <x v="3"/>
    <s v="Depósito"/>
    <n v="75"/>
    <s v="Alquiler"/>
    <n v="13082.88"/>
    <n v="389457"/>
    <n v="311565.59999999998"/>
    <n v="64808.520000000026"/>
    <s v="Carlos"/>
    <n v="3.9"/>
  </r>
  <r>
    <n v="1028"/>
    <d v="2017-01-05T00:00:00"/>
    <x v="458"/>
    <x v="2"/>
    <s v="Local Comercial"/>
    <n v="78"/>
    <s v="Alquiler"/>
    <n v="23439.64"/>
    <n v="646901"/>
    <n v="517520.8"/>
    <n v="105940.56000000001"/>
    <s v="Carlos"/>
    <n v="4.9000000000000004"/>
  </r>
  <r>
    <n v="1029"/>
    <d v="2017-01-05T00:00:00"/>
    <x v="347"/>
    <x v="1"/>
    <s v="Local Comercial"/>
    <n v="264"/>
    <s v="Venta"/>
    <n v="42459.24"/>
    <n v="1125666"/>
    <n v="900532.8"/>
    <n v="182673.95999999996"/>
    <s v="Carlos"/>
    <n v="4.3"/>
  </r>
  <r>
    <n v="1030"/>
    <d v="2017-01-05T00:00:00"/>
    <x v="459"/>
    <x v="0"/>
    <s v="Depósito"/>
    <n v="216"/>
    <s v="Venta"/>
    <n v="46876.2"/>
    <n v="1230990"/>
    <n v="984792"/>
    <n v="199321.8"/>
    <s v="Ángeles"/>
    <n v="4.5999999999999996"/>
  </r>
  <r>
    <n v="1031"/>
    <d v="2017-01-05T00:00:00"/>
    <x v="352"/>
    <x v="3"/>
    <s v="Departamento"/>
    <n v="138"/>
    <s v="Venta"/>
    <n v="43443.08"/>
    <n v="1143162"/>
    <n v="914529.6"/>
    <n v="185189.32"/>
    <s v="Ángeles"/>
    <n v="4.2"/>
  </r>
  <r>
    <n v="1032"/>
    <d v="2017-01-06T00:00:00"/>
    <x v="460"/>
    <x v="2"/>
    <s v="Terreno"/>
    <n v="164"/>
    <s v="Venta"/>
    <n v="49432"/>
    <n v="1298735"/>
    <n v="1038988"/>
    <n v="210315"/>
    <s v="Sabrina"/>
    <n v="4.3"/>
  </r>
  <r>
    <n v="1033"/>
    <d v="2017-01-06T00:00:00"/>
    <x v="275"/>
    <x v="0"/>
    <s v="Estacionamiento"/>
    <n v="168"/>
    <s v="Venta"/>
    <n v="48851.88"/>
    <n v="1273157"/>
    <n v="1018525.6"/>
    <n v="205779.52000000002"/>
    <s v="Sabrina"/>
    <n v="4.5"/>
  </r>
  <r>
    <n v="1034"/>
    <d v="2017-01-06T00:00:00"/>
    <x v="356"/>
    <x v="3"/>
    <s v="Estacionamiento"/>
    <n v="150"/>
    <s v="Venta"/>
    <n v="35883.199999999997"/>
    <n v="959840"/>
    <n v="767872"/>
    <n v="156084.79999999999"/>
    <s v="Sabrina"/>
    <n v="4"/>
  </r>
  <r>
    <n v="1035"/>
    <d v="2017-01-07T00:00:00"/>
    <x v="456"/>
    <x v="2"/>
    <s v="Depósito"/>
    <n v="245"/>
    <s v="Venta"/>
    <n v="94867.520000000004"/>
    <n v="2435273"/>
    <n v="1948218.4"/>
    <n v="392187.08000000007"/>
    <s v="Iván"/>
    <n v="4.8"/>
  </r>
  <r>
    <n v="1036"/>
    <d v="2017-01-07T00:00:00"/>
    <x v="396"/>
    <x v="0"/>
    <s v="Departamento"/>
    <n v="174"/>
    <s v="Venta"/>
    <n v="64799.4"/>
    <n v="1673045"/>
    <n v="1338436"/>
    <n v="269809.59999999998"/>
    <s v="Sabrina"/>
    <n v="4"/>
  </r>
  <r>
    <n v="1037"/>
    <d v="2017-01-08T00:00:00"/>
    <x v="459"/>
    <x v="2"/>
    <s v="Departamento"/>
    <n v="267"/>
    <s v="Venta"/>
    <n v="99215.92"/>
    <n v="2533208"/>
    <n v="2026566.4"/>
    <n v="407425.68000000011"/>
    <s v="Iván"/>
    <n v="4.8"/>
  </r>
  <r>
    <n v="1038"/>
    <d v="2017-01-08T00:00:00"/>
    <x v="276"/>
    <x v="0"/>
    <s v="Local Comercial"/>
    <n v="53"/>
    <s v="Alquiler"/>
    <n v="12042.04"/>
    <n v="361811"/>
    <n v="289448.8"/>
    <n v="60320.160000000011"/>
    <s v="Romina"/>
    <n v="4.2"/>
  </r>
  <r>
    <n v="1039"/>
    <d v="2017-01-09T00:00:00"/>
    <x v="401"/>
    <x v="3"/>
    <s v="Local Comercial"/>
    <n v="260"/>
    <s v="Venta"/>
    <n v="56779.6"/>
    <n v="1477925"/>
    <n v="1182340"/>
    <n v="238805.4"/>
    <s v="Arturo"/>
    <n v="4.5"/>
  </r>
  <r>
    <n v="1040"/>
    <d v="2017-01-09T00:00:00"/>
    <x v="364"/>
    <x v="0"/>
    <s v="Estacionamiento"/>
    <n v="159"/>
    <s v="Venta"/>
    <n v="52028.6"/>
    <n v="1351925"/>
    <n v="1081540"/>
    <n v="218356.4"/>
    <s v="Iván"/>
    <n v="4"/>
  </r>
  <r>
    <n v="1041"/>
    <d v="2017-01-09T00:00:00"/>
    <x v="382"/>
    <x v="3"/>
    <s v="Departamento"/>
    <n v="279"/>
    <s v="Venta"/>
    <n v="68098.080000000002"/>
    <n v="1768787"/>
    <n v="1415029.6"/>
    <n v="285659.31999999989"/>
    <s v="Carlos"/>
    <n v="4"/>
  </r>
  <r>
    <n v="1042"/>
    <d v="2017-01-10T00:00:00"/>
    <x v="461"/>
    <x v="2"/>
    <s v="Casa"/>
    <n v="84"/>
    <s v="Alquiler"/>
    <n v="14225.4"/>
    <n v="410795"/>
    <n v="328636"/>
    <n v="67933.600000000006"/>
    <s v="Ángeles"/>
    <n v="3.6"/>
  </r>
  <r>
    <n v="1043"/>
    <d v="2017-01-11T00:00:00"/>
    <x v="362"/>
    <x v="2"/>
    <s v="Oficinas"/>
    <n v="183"/>
    <s v="Venta"/>
    <n v="72741.16"/>
    <n v="1880489"/>
    <n v="1504391.2"/>
    <n v="303356.64"/>
    <s v="Arturo"/>
    <n v="3.6"/>
  </r>
  <r>
    <n v="1044"/>
    <d v="2017-01-11T00:00:00"/>
    <x v="462"/>
    <x v="3"/>
    <s v="Departamento"/>
    <n v="212"/>
    <s v="Venta"/>
    <n v="63356.84"/>
    <n v="1639681"/>
    <n v="1311744.8"/>
    <n v="264579.36"/>
    <s v="Carlos"/>
    <n v="4.8"/>
  </r>
  <r>
    <n v="1045"/>
    <d v="2017-01-11T00:00:00"/>
    <x v="440"/>
    <x v="0"/>
    <s v="Oficinas"/>
    <n v="255"/>
    <s v="Venta"/>
    <n v="94971.8"/>
    <n v="2439405"/>
    <n v="1951524"/>
    <n v="392909.2"/>
    <s v="Carlos"/>
    <n v="3.8"/>
  </r>
  <r>
    <n v="1046"/>
    <d v="2017-01-11T00:00:00"/>
    <x v="387"/>
    <x v="3"/>
    <s v="Casa"/>
    <n v="233"/>
    <s v="Venta"/>
    <n v="71936.2"/>
    <n v="1859765"/>
    <n v="1487812"/>
    <n v="300016.8"/>
    <s v="Sabrina"/>
    <n v="4.8"/>
  </r>
  <r>
    <n v="1047"/>
    <d v="2017-01-11T00:00:00"/>
    <x v="463"/>
    <x v="2"/>
    <s v="Local Comercial"/>
    <n v="154"/>
    <s v="Venta"/>
    <n v="37106.720000000001"/>
    <n v="986178"/>
    <n v="788942.4"/>
    <n v="160128.87999999998"/>
    <s v="Iván"/>
    <n v="4.3"/>
  </r>
  <r>
    <n v="1048"/>
    <d v="2017-01-12T00:00:00"/>
    <x v="376"/>
    <x v="0"/>
    <s v="Casa"/>
    <n v="275"/>
    <s v="Venta"/>
    <n v="93875.88"/>
    <n v="2399057"/>
    <n v="1919245.6"/>
    <n v="385935.5199999999"/>
    <s v="Sabrina"/>
    <n v="5"/>
  </r>
  <r>
    <n v="1049"/>
    <d v="2017-01-12T00:00:00"/>
    <x v="303"/>
    <x v="3"/>
    <s v="Terreno"/>
    <n v="68"/>
    <s v="Alquiler"/>
    <n v="25716.48"/>
    <n v="709472"/>
    <n v="567577.59999999998"/>
    <n v="116177.92000000003"/>
    <s v="Carlos"/>
    <n v="4.9000000000000004"/>
  </r>
  <r>
    <n v="1050"/>
    <d v="2017-01-12T00:00:00"/>
    <x v="364"/>
    <x v="2"/>
    <s v="Estacionamiento"/>
    <n v="114"/>
    <s v="Alquiler"/>
    <n v="27259.200000000001"/>
    <n v="740165"/>
    <n v="592132"/>
    <n v="120773.8"/>
    <s v="Romina"/>
    <n v="4.5"/>
  </r>
  <r>
    <n v="1051"/>
    <d v="2017-01-12T00:00:00"/>
    <x v="464"/>
    <x v="1"/>
    <s v="Casa"/>
    <n v="243"/>
    <s v="Venta"/>
    <n v="76478.92"/>
    <n v="1976933"/>
    <n v="1581546.4"/>
    <n v="318907.68000000011"/>
    <s v="Arturo"/>
    <n v="4.5"/>
  </r>
  <r>
    <n v="1052"/>
    <d v="2017-01-12T00:00:00"/>
    <x v="459"/>
    <x v="1"/>
    <s v="Casa"/>
    <n v="68"/>
    <s v="Alquiler"/>
    <n v="23791"/>
    <n v="661085"/>
    <n v="528868"/>
    <n v="108426"/>
    <s v="Ángeles"/>
    <n v="5"/>
  </r>
  <r>
    <n v="1053"/>
    <d v="2017-01-13T00:00:00"/>
    <x v="345"/>
    <x v="3"/>
    <s v="Casa"/>
    <n v="36"/>
    <s v="Alquiler"/>
    <n v="8004.2"/>
    <n v="260765"/>
    <n v="208612"/>
    <n v="44148.800000000003"/>
    <s v="Ángeles"/>
    <n v="4"/>
  </r>
  <r>
    <n v="1054"/>
    <d v="2017-01-14T00:00:00"/>
    <x v="465"/>
    <x v="1"/>
    <s v="Casa"/>
    <n v="245"/>
    <s v="Venta"/>
    <n v="84935.84"/>
    <n v="2175256"/>
    <n v="1740204.8"/>
    <n v="350115.36"/>
    <s v="Romina"/>
    <n v="4.3"/>
  </r>
  <r>
    <n v="1055"/>
    <d v="2017-01-14T00:00:00"/>
    <x v="466"/>
    <x v="0"/>
    <s v="Terreno"/>
    <n v="144"/>
    <s v="Venta"/>
    <n v="49411.32"/>
    <n v="1286893"/>
    <n v="1029514.4"/>
    <n v="207967.27999999997"/>
    <s v="Arturo"/>
    <n v="3.6"/>
  </r>
  <r>
    <n v="1056"/>
    <d v="2017-01-15T00:00:00"/>
    <x v="235"/>
    <x v="2"/>
    <s v="Casa"/>
    <n v="41"/>
    <s v="Alquiler"/>
    <n v="11264.2"/>
    <n v="336590"/>
    <n v="269272"/>
    <n v="56053.8"/>
    <s v="Romina"/>
    <n v="3.7"/>
  </r>
  <r>
    <n v="1057"/>
    <d v="2017-01-15T00:00:00"/>
    <x v="467"/>
    <x v="0"/>
    <s v="Depósito"/>
    <n v="86"/>
    <s v="Alquiler"/>
    <n v="22840"/>
    <n v="636335"/>
    <n v="509068"/>
    <n v="104427"/>
    <s v="Ángeles"/>
    <n v="3.9"/>
  </r>
  <r>
    <n v="1058"/>
    <d v="2017-01-15T00:00:00"/>
    <x v="468"/>
    <x v="2"/>
    <s v="Depósito"/>
    <n v="215"/>
    <s v="Venta"/>
    <n v="76162.080000000002"/>
    <n v="1956312"/>
    <n v="1565049.6"/>
    <n v="315100.31999999989"/>
    <s v="Carlos"/>
    <n v="4.5"/>
  </r>
  <r>
    <n v="1059"/>
    <d v="2017-01-16T00:00:00"/>
    <x v="404"/>
    <x v="0"/>
    <s v="Estacionamiento"/>
    <n v="127"/>
    <s v="Alquiler"/>
    <n v="22025.200000000001"/>
    <n v="609715"/>
    <n v="487772"/>
    <n v="99917.8"/>
    <s v="Iván"/>
    <n v="4.5999999999999996"/>
  </r>
  <r>
    <n v="1060"/>
    <d v="2017-01-17T00:00:00"/>
    <x v="462"/>
    <x v="0"/>
    <s v="Estacionamiento"/>
    <n v="74"/>
    <s v="Alquiler"/>
    <n v="18788.400000000001"/>
    <n v="537045"/>
    <n v="429636"/>
    <n v="88620.6"/>
    <s v="Iván"/>
    <n v="4.4000000000000004"/>
  </r>
  <r>
    <n v="1061"/>
    <d v="2017-01-17T00:00:00"/>
    <x v="469"/>
    <x v="1"/>
    <s v="Departamento"/>
    <n v="39"/>
    <s v="Alquiler"/>
    <n v="9246.6"/>
    <n v="296000"/>
    <n v="236800"/>
    <n v="49953.4"/>
    <s v="Carlos"/>
    <n v="3.9"/>
  </r>
  <r>
    <n v="1062"/>
    <d v="2017-01-18T00:00:00"/>
    <x v="404"/>
    <x v="0"/>
    <s v="Local Comercial"/>
    <n v="64"/>
    <s v="Alquiler"/>
    <n v="24947.08"/>
    <n v="688537"/>
    <n v="550829.6"/>
    <n v="112760.32000000002"/>
    <s v="Carlos"/>
    <n v="4"/>
  </r>
  <r>
    <n v="1063"/>
    <d v="2017-01-19T00:00:00"/>
    <x v="470"/>
    <x v="3"/>
    <s v="Terreno"/>
    <n v="206"/>
    <s v="Venta"/>
    <n v="74275.64"/>
    <n v="1923026"/>
    <n v="1538420.8"/>
    <n v="310329.55999999994"/>
    <s v="Iván"/>
    <n v="4.3"/>
  </r>
  <r>
    <n v="1064"/>
    <d v="2017-01-19T00:00:00"/>
    <x v="439"/>
    <x v="2"/>
    <s v="Oficinas"/>
    <n v="76"/>
    <s v="Alquiler"/>
    <n v="23188"/>
    <n v="643685"/>
    <n v="514948"/>
    <n v="105549"/>
    <s v="Romina"/>
    <n v="3.6"/>
  </r>
  <r>
    <n v="1065"/>
    <d v="2017-01-19T00:00:00"/>
    <x v="471"/>
    <x v="3"/>
    <s v="Terreno"/>
    <n v="196"/>
    <s v="Venta"/>
    <n v="59073"/>
    <n v="1539285"/>
    <n v="1231428"/>
    <n v="248784"/>
    <s v="Carlos"/>
    <n v="4.3"/>
  </r>
  <r>
    <n v="1066"/>
    <d v="2017-01-20T00:00:00"/>
    <x v="282"/>
    <x v="3"/>
    <s v="Estacionamiento"/>
    <n v="280"/>
    <s v="Venta"/>
    <n v="111689.32"/>
    <n v="2844493"/>
    <n v="2275594.4"/>
    <n v="457209.28000000009"/>
    <s v="Arturo"/>
    <n v="4.9000000000000004"/>
  </r>
  <r>
    <n v="1067"/>
    <d v="2017-01-20T00:00:00"/>
    <x v="410"/>
    <x v="1"/>
    <s v="Casa"/>
    <n v="104"/>
    <s v="Venta"/>
    <n v="34879.800000000003"/>
    <n v="929105"/>
    <n v="743284"/>
    <n v="150941.20000000001"/>
    <s v="Arturo"/>
    <n v="4.2"/>
  </r>
  <r>
    <n v="1068"/>
    <d v="2017-01-21T00:00:00"/>
    <x v="426"/>
    <x v="1"/>
    <s v="Oficinas"/>
    <n v="218"/>
    <s v="Venta"/>
    <n v="57697.88"/>
    <n v="1507682"/>
    <n v="1206145.6000000001"/>
    <n v="243838.5199999999"/>
    <s v="Carlos"/>
    <n v="4.4000000000000004"/>
  </r>
  <r>
    <n v="1069"/>
    <d v="2017-01-21T00:00:00"/>
    <x v="227"/>
    <x v="2"/>
    <s v="Estacionamiento"/>
    <n v="105"/>
    <s v="Venta"/>
    <n v="41722.76"/>
    <n v="1102229"/>
    <n v="881783.2"/>
    <n v="178723.04000000004"/>
    <s v="Arturo"/>
    <n v="4"/>
  </r>
  <r>
    <n v="1070"/>
    <d v="2017-01-21T00:00:00"/>
    <x v="472"/>
    <x v="2"/>
    <s v="Departamento"/>
    <n v="227"/>
    <s v="Venta"/>
    <n v="45873.36"/>
    <n v="1199269"/>
    <n v="959415.2"/>
    <n v="193980.44000000006"/>
    <s v="Arturo"/>
    <n v="3.6"/>
  </r>
  <r>
    <n v="1071"/>
    <d v="2017-01-21T00:00:00"/>
    <x v="212"/>
    <x v="1"/>
    <s v="Estacionamiento"/>
    <n v="114"/>
    <s v="Venta"/>
    <n v="44571.08"/>
    <n v="1170937"/>
    <n v="936749.6"/>
    <n v="189616.32"/>
    <s v="Romina"/>
    <n v="4.5999999999999996"/>
  </r>
  <r>
    <n v="1072"/>
    <d v="2017-01-22T00:00:00"/>
    <x v="355"/>
    <x v="2"/>
    <s v="Oficinas"/>
    <n v="128"/>
    <s v="Alquiler"/>
    <n v="22918.080000000002"/>
    <n v="628637"/>
    <n v="502909.6"/>
    <n v="102809.32000000002"/>
    <s v="Romina"/>
    <n v="3.7"/>
  </r>
  <r>
    <n v="1073"/>
    <d v="2017-01-22T00:00:00"/>
    <x v="347"/>
    <x v="1"/>
    <s v="Depósito"/>
    <n v="241"/>
    <s v="Venta"/>
    <n v="82237.64"/>
    <n v="2120351"/>
    <n v="1696280.8"/>
    <n v="341832.55999999994"/>
    <s v="Sabrina"/>
    <n v="4.5999999999999996"/>
  </r>
  <r>
    <n v="1074"/>
    <d v="2017-01-22T00:00:00"/>
    <x v="420"/>
    <x v="3"/>
    <s v="Departamento"/>
    <n v="287"/>
    <s v="Venta"/>
    <n v="84556.2"/>
    <n v="2178315"/>
    <n v="1742652"/>
    <n v="351106.8"/>
    <s v="Carlos"/>
    <n v="4.5999999999999996"/>
  </r>
  <r>
    <n v="1075"/>
    <d v="2017-01-23T00:00:00"/>
    <x v="404"/>
    <x v="0"/>
    <s v="Oficinas"/>
    <n v="286"/>
    <s v="Venta"/>
    <n v="89884"/>
    <n v="2311535"/>
    <n v="1849228"/>
    <n v="372423"/>
    <s v="Iván"/>
    <n v="4.7"/>
  </r>
  <r>
    <n v="1076"/>
    <d v="2017-01-23T00:00:00"/>
    <x v="237"/>
    <x v="3"/>
    <s v="Departamento"/>
    <n v="65"/>
    <s v="Alquiler"/>
    <n v="11201.72"/>
    <n v="334853"/>
    <n v="267882.40000000002"/>
    <n v="55768.879999999976"/>
    <s v="Sabrina"/>
    <n v="4.2"/>
  </r>
  <r>
    <n v="1077"/>
    <d v="2017-01-23T00:00:00"/>
    <x v="473"/>
    <x v="0"/>
    <s v="Terreno"/>
    <n v="207"/>
    <s v="Venta"/>
    <n v="75245.16"/>
    <n v="1948089"/>
    <n v="1558471.2"/>
    <n v="314372.64"/>
    <s v="Ángeles"/>
    <n v="3.7"/>
  </r>
  <r>
    <n v="1078"/>
    <d v="2017-01-24T00:00:00"/>
    <x v="474"/>
    <x v="1"/>
    <s v="Departamento"/>
    <n v="248"/>
    <s v="Venta"/>
    <n v="73282.759999999995"/>
    <n v="1887129"/>
    <n v="1509703.2"/>
    <n v="304143.04000000004"/>
    <s v="Romina"/>
    <n v="4.5"/>
  </r>
  <r>
    <n v="1079"/>
    <d v="2017-01-24T00:00:00"/>
    <x v="422"/>
    <x v="0"/>
    <s v="Oficinas"/>
    <n v="88"/>
    <s v="Venta"/>
    <n v="29933.439999999999"/>
    <n v="814171"/>
    <n v="651336.80000000005"/>
    <n v="132900.75999999995"/>
    <s v="Sabrina"/>
    <n v="3.9"/>
  </r>
  <r>
    <n v="1080"/>
    <d v="2017-01-24T00:00:00"/>
    <x v="475"/>
    <x v="2"/>
    <s v="Local Comercial"/>
    <n v="284"/>
    <s v="Venta"/>
    <n v="90092.160000000003"/>
    <n v="2315839"/>
    <n v="1852671.2"/>
    <n v="373075.64"/>
    <s v="Carlos"/>
    <n v="4"/>
  </r>
  <r>
    <n v="1081"/>
    <d v="2017-01-24T00:00:00"/>
    <x v="444"/>
    <x v="3"/>
    <s v="Terreno"/>
    <n v="176"/>
    <s v="Venta"/>
    <n v="44330.8"/>
    <n v="1164905"/>
    <n v="931924"/>
    <n v="188650.2"/>
    <s v="Romina"/>
    <n v="4.5"/>
  </r>
  <r>
    <n v="1082"/>
    <d v="2017-01-25T00:00:00"/>
    <x v="273"/>
    <x v="2"/>
    <s v="Oficinas"/>
    <n v="169"/>
    <s v="Venta"/>
    <n v="63401.120000000003"/>
    <n v="1651613"/>
    <n v="1321290.3999999999"/>
    <n v="266921.4800000001"/>
    <s v="Romina"/>
    <n v="4.4000000000000004"/>
  </r>
  <r>
    <n v="1083"/>
    <d v="2017-01-25T00:00:00"/>
    <x v="476"/>
    <x v="1"/>
    <s v="Departamento"/>
    <n v="207"/>
    <s v="Venta"/>
    <n v="52506.2"/>
    <n v="1368515"/>
    <n v="1094812"/>
    <n v="221196.79999999999"/>
    <s v="Romina"/>
    <n v="4.2"/>
  </r>
  <r>
    <n v="1084"/>
    <d v="2017-01-25T00:00:00"/>
    <x v="227"/>
    <x v="3"/>
    <s v="Depósito"/>
    <n v="283"/>
    <s v="Venta"/>
    <n v="54176.52"/>
    <n v="1406623"/>
    <n v="1125298.3999999999"/>
    <n v="227148.0800000001"/>
    <s v="Carlos"/>
    <n v="4.8"/>
  </r>
  <r>
    <n v="1085"/>
    <d v="2017-01-25T00:00:00"/>
    <x v="362"/>
    <x v="2"/>
    <s v="Terreno"/>
    <n v="42"/>
    <s v="Alquiler"/>
    <n v="16314"/>
    <n v="460660"/>
    <n v="368528"/>
    <n v="75818"/>
    <s v="Carlos"/>
    <n v="4.5"/>
  </r>
  <r>
    <n v="1086"/>
    <d v="2017-01-25T00:00:00"/>
    <x v="233"/>
    <x v="0"/>
    <s v="Depósito"/>
    <n v="253"/>
    <s v="Venta"/>
    <n v="100690.2"/>
    <n v="2582665"/>
    <n v="2066132"/>
    <n v="415842.8"/>
    <s v="Romina"/>
    <n v="5"/>
  </r>
  <r>
    <n v="1087"/>
    <d v="2017-01-26T00:00:00"/>
    <x v="477"/>
    <x v="3"/>
    <s v="Departamento"/>
    <n v="194"/>
    <s v="Venta"/>
    <n v="46937.2"/>
    <n v="1236215"/>
    <n v="988972"/>
    <n v="200305.8"/>
    <s v="Sabrina"/>
    <n v="4.5"/>
  </r>
  <r>
    <n v="1088"/>
    <d v="2017-01-26T00:00:00"/>
    <x v="429"/>
    <x v="1"/>
    <s v="Departamento"/>
    <n v="139"/>
    <s v="Alquiler"/>
    <n v="29172.04"/>
    <n v="796661"/>
    <n v="637328.80000000005"/>
    <n v="130160.15999999995"/>
    <s v="Arturo"/>
    <n v="4.5"/>
  </r>
  <r>
    <n v="1089"/>
    <d v="2017-01-27T00:00:00"/>
    <x v="258"/>
    <x v="3"/>
    <s v="Terreno"/>
    <n v="165"/>
    <s v="Venta"/>
    <n v="42208.92"/>
    <n v="1117733"/>
    <n v="894186.4"/>
    <n v="181337.68"/>
    <s v="Romina"/>
    <n v="4.2"/>
  </r>
  <r>
    <n v="1090"/>
    <d v="2017-01-28T00:00:00"/>
    <x v="409"/>
    <x v="0"/>
    <s v="Departamento"/>
    <n v="249"/>
    <s v="Venta"/>
    <n v="71950.720000000001"/>
    <n v="1853278"/>
    <n v="1482622.4"/>
    <n v="298704.88000000012"/>
    <s v="Arturo"/>
    <n v="4.0999999999999996"/>
  </r>
  <r>
    <n v="1091"/>
    <d v="2017-01-28T00:00:00"/>
    <x v="478"/>
    <x v="3"/>
    <s v="Depósito"/>
    <n v="103"/>
    <s v="Venta"/>
    <n v="36931"/>
    <n v="980285"/>
    <n v="784228"/>
    <n v="159126"/>
    <s v="Iván"/>
    <n v="4.2"/>
  </r>
  <r>
    <n v="1092"/>
    <d v="2017-01-29T00:00:00"/>
    <x v="401"/>
    <x v="2"/>
    <s v="Estacionamiento"/>
    <n v="294"/>
    <s v="Venta"/>
    <n v="84411"/>
    <n v="2166860"/>
    <n v="1733488"/>
    <n v="348961"/>
    <s v="Romina"/>
    <n v="4"/>
  </r>
  <r>
    <n v="1093"/>
    <d v="2017-01-31T00:00:00"/>
    <x v="479"/>
    <x v="3"/>
    <s v="Terreno"/>
    <n v="215"/>
    <s v="Venta"/>
    <n v="87573.759999999995"/>
    <n v="2245829"/>
    <n v="1796663.2"/>
    <n v="361592.04000000004"/>
    <s v="Romina"/>
    <n v="3.8"/>
  </r>
  <r>
    <n v="1094"/>
    <d v="2017-02-01T00:00:00"/>
    <x v="480"/>
    <x v="3"/>
    <s v="Departamento"/>
    <n v="136"/>
    <s v="Venta"/>
    <n v="46445.08"/>
    <n v="1223962"/>
    <n v="979169.6"/>
    <n v="198347.32"/>
    <s v="Romina"/>
    <n v="4.7"/>
  </r>
  <r>
    <n v="1095"/>
    <d v="2017-02-01T00:00:00"/>
    <x v="481"/>
    <x v="1"/>
    <s v="Departamento"/>
    <n v="296"/>
    <s v="Venta"/>
    <n v="70209"/>
    <n v="1809185"/>
    <n v="1447348"/>
    <n v="291628"/>
    <s v="Ángeles"/>
    <n v="4.4000000000000004"/>
  </r>
  <r>
    <n v="1096"/>
    <d v="2017-02-01T00:00:00"/>
    <x v="315"/>
    <x v="2"/>
    <s v="Estacionamiento"/>
    <n v="57"/>
    <s v="Alquiler"/>
    <n v="20834.68"/>
    <n v="575877"/>
    <n v="460701.6"/>
    <n v="94340.72000000003"/>
    <s v="Arturo"/>
    <n v="4.3"/>
  </r>
  <r>
    <n v="1097"/>
    <d v="2017-02-01T00:00:00"/>
    <x v="347"/>
    <x v="2"/>
    <s v="Oficinas"/>
    <n v="153"/>
    <s v="Venta"/>
    <n v="30037.32"/>
    <n v="807593"/>
    <n v="646074.4"/>
    <n v="131481.27999999997"/>
    <s v="Sabrina"/>
    <n v="4.3"/>
  </r>
  <r>
    <n v="1098"/>
    <d v="2017-02-01T00:00:00"/>
    <x v="365"/>
    <x v="1"/>
    <s v="Estacionamiento"/>
    <n v="259"/>
    <s v="Venta"/>
    <n v="77229.320000000007"/>
    <n v="1997293"/>
    <n v="1597834.4"/>
    <n v="322229.28000000009"/>
    <s v="Arturo"/>
    <n v="5"/>
  </r>
  <r>
    <n v="1099"/>
    <d v="2017-02-02T00:00:00"/>
    <x v="405"/>
    <x v="0"/>
    <s v="Estacionamiento"/>
    <n v="79"/>
    <s v="Alquiler"/>
    <n v="24262.560000000001"/>
    <n v="657799"/>
    <n v="526239.19999999995"/>
    <n v="107297.24000000005"/>
    <s v="Sabrina"/>
    <n v="4.2"/>
  </r>
  <r>
    <n v="1100"/>
    <d v="2017-02-02T00:00:00"/>
    <x v="482"/>
    <x v="3"/>
    <s v="Departamento"/>
    <n v="239"/>
    <s v="Venta"/>
    <n v="71576.52"/>
    <n v="1850723"/>
    <n v="1480578.4"/>
    <n v="298568.08000000007"/>
    <s v="Iván"/>
    <n v="4.9000000000000004"/>
  </r>
  <r>
    <n v="1101"/>
    <d v="2017-02-02T00:00:00"/>
    <x v="399"/>
    <x v="2"/>
    <s v="Estacionamiento"/>
    <n v="67"/>
    <s v="Alquiler"/>
    <n v="17575.080000000002"/>
    <n v="505437"/>
    <n v="404349.6"/>
    <n v="83512.320000000022"/>
    <s v="Carlos"/>
    <n v="4.5"/>
  </r>
  <r>
    <n v="1102"/>
    <d v="2017-02-02T00:00:00"/>
    <x v="235"/>
    <x v="3"/>
    <s v="Casa"/>
    <n v="264"/>
    <s v="Venta"/>
    <n v="76871.88"/>
    <n v="1987257"/>
    <n v="1589805.6"/>
    <n v="320579.5199999999"/>
    <s v="Carlos"/>
    <n v="5"/>
  </r>
  <r>
    <n v="1103"/>
    <d v="2017-02-03T00:00:00"/>
    <x v="315"/>
    <x v="0"/>
    <s v="Terreno"/>
    <n v="120"/>
    <s v="Venta"/>
    <n v="36344"/>
    <n v="968735"/>
    <n v="774988"/>
    <n v="157403"/>
    <s v="Ángeles"/>
    <n v="3.7"/>
  </r>
  <r>
    <n v="1104"/>
    <d v="2017-02-03T00:00:00"/>
    <x v="387"/>
    <x v="0"/>
    <s v="Depósito"/>
    <n v="110"/>
    <s v="Venta"/>
    <n v="30820.560000000001"/>
    <n v="823199"/>
    <n v="658559.19999999995"/>
    <n v="133819.24000000005"/>
    <s v="Sabrina"/>
    <n v="4.7"/>
  </r>
  <r>
    <n v="1105"/>
    <d v="2017-02-03T00:00:00"/>
    <x v="399"/>
    <x v="2"/>
    <s v="Local Comercial"/>
    <n v="91"/>
    <s v="Alquiler"/>
    <n v="20642.919999999998"/>
    <n v="578133"/>
    <n v="462506.4"/>
    <n v="94983.679999999978"/>
    <s v="Romina"/>
    <n v="4.0999999999999996"/>
  </r>
  <r>
    <n v="1106"/>
    <d v="2017-02-04T00:00:00"/>
    <x v="371"/>
    <x v="3"/>
    <s v="Departamento"/>
    <n v="137"/>
    <s v="Venta"/>
    <n v="50147.360000000001"/>
    <n v="1315919"/>
    <n v="1052735.2"/>
    <n v="213036.44000000006"/>
    <s v="Romina"/>
    <n v="4.2"/>
  </r>
  <r>
    <n v="1107"/>
    <d v="2017-02-05T00:00:00"/>
    <x v="266"/>
    <x v="0"/>
    <s v="Oficinas"/>
    <n v="101"/>
    <s v="Alquiler"/>
    <n v="24969.200000000001"/>
    <n v="687065"/>
    <n v="549652"/>
    <n v="112443.8"/>
    <s v="Romina"/>
    <n v="4.0999999999999996"/>
  </r>
  <r>
    <n v="1108"/>
    <d v="2017-02-05T00:00:00"/>
    <x v="448"/>
    <x v="2"/>
    <s v="Depósito"/>
    <n v="193"/>
    <s v="Venta"/>
    <n v="39758.120000000003"/>
    <n v="1045813"/>
    <n v="836650.4"/>
    <n v="169404.47999999998"/>
    <s v="Arturo"/>
    <n v="4.7"/>
  </r>
  <r>
    <n v="1109"/>
    <d v="2017-02-05T00:00:00"/>
    <x v="266"/>
    <x v="2"/>
    <s v="Departamento"/>
    <n v="279"/>
    <s v="Venta"/>
    <n v="81927.360000000001"/>
    <n v="2101119"/>
    <n v="1680895.2"/>
    <n v="338296.44000000006"/>
    <s v="Romina"/>
    <n v="3.8"/>
  </r>
  <r>
    <n v="1110"/>
    <d v="2017-02-05T00:00:00"/>
    <x v="376"/>
    <x v="0"/>
    <s v="Local Comercial"/>
    <n v="107"/>
    <s v="Venta"/>
    <n v="36373.599999999999"/>
    <n v="961475"/>
    <n v="769180"/>
    <n v="155921.4"/>
    <s v="Arturo"/>
    <n v="4.4000000000000004"/>
  </r>
  <r>
    <n v="1111"/>
    <d v="2017-02-06T00:00:00"/>
    <x v="390"/>
    <x v="2"/>
    <s v="Local Comercial"/>
    <n v="81"/>
    <s v="Alquiler"/>
    <n v="13731.88"/>
    <n v="408932"/>
    <n v="327145.59999999998"/>
    <n v="68054.520000000019"/>
    <s v="Iván"/>
    <n v="3.9"/>
  </r>
  <r>
    <n v="1112"/>
    <d v="2017-02-06T00:00:00"/>
    <x v="295"/>
    <x v="1"/>
    <s v="Departamento"/>
    <n v="205"/>
    <s v="Venta"/>
    <n v="63456"/>
    <n v="1638785"/>
    <n v="1311028"/>
    <n v="264301"/>
    <s v="Arturo"/>
    <n v="4.5"/>
  </r>
  <r>
    <n v="1113"/>
    <d v="2017-02-06T00:00:00"/>
    <x v="347"/>
    <x v="3"/>
    <s v="Terreno"/>
    <n v="153"/>
    <s v="Venta"/>
    <n v="51801.120000000003"/>
    <n v="1359838"/>
    <n v="1087870.3999999999"/>
    <n v="220166.4800000001"/>
    <s v="Sabrina"/>
    <n v="4.5"/>
  </r>
  <r>
    <n v="1114"/>
    <d v="2017-02-07T00:00:00"/>
    <x v="321"/>
    <x v="1"/>
    <s v="Estacionamiento"/>
    <n v="69"/>
    <s v="Alquiler"/>
    <n v="19346.759999999998"/>
    <n v="535729"/>
    <n v="428583.2"/>
    <n v="87799.039999999994"/>
    <s v="Sabrina"/>
    <n v="4.7"/>
  </r>
  <r>
    <n v="1115"/>
    <d v="2017-02-08T00:00:00"/>
    <x v="457"/>
    <x v="0"/>
    <s v="Estacionamiento"/>
    <n v="173"/>
    <s v="Venta"/>
    <n v="37418.800000000003"/>
    <n v="999505"/>
    <n v="799604"/>
    <n v="162482.20000000001"/>
    <s v="Arturo"/>
    <n v="4.5"/>
  </r>
  <r>
    <n v="1116"/>
    <d v="2017-02-08T00:00:00"/>
    <x v="477"/>
    <x v="3"/>
    <s v="Depósito"/>
    <n v="90"/>
    <s v="Alquiler"/>
    <n v="18722.28"/>
    <n v="530117"/>
    <n v="424093.6"/>
    <n v="87301.120000000024"/>
    <s v="Iván"/>
    <n v="4.9000000000000004"/>
  </r>
  <r>
    <n v="1117"/>
    <d v="2017-02-08T00:00:00"/>
    <x v="404"/>
    <x v="0"/>
    <s v="Departamento"/>
    <n v="147"/>
    <s v="Venta"/>
    <n v="40750.92"/>
    <n v="1073983"/>
    <n v="859186.4"/>
    <n v="174045.68"/>
    <s v="Sabrina"/>
    <n v="3.6"/>
  </r>
  <r>
    <n v="1118"/>
    <d v="2017-02-09T00:00:00"/>
    <x v="429"/>
    <x v="0"/>
    <s v="Oficinas"/>
    <n v="290"/>
    <s v="Venta"/>
    <n v="108533.32"/>
    <n v="2777793"/>
    <n v="2222234.4"/>
    <n v="447025.28000000009"/>
    <s v="Ángeles"/>
    <n v="4.7"/>
  </r>
  <r>
    <n v="1119"/>
    <d v="2017-02-10T00:00:00"/>
    <x v="483"/>
    <x v="2"/>
    <s v="Local Comercial"/>
    <n v="283"/>
    <s v="Venta"/>
    <n v="75383.28"/>
    <n v="1948967"/>
    <n v="1559173.6"/>
    <n v="314410.11999999988"/>
    <s v="Arturo"/>
    <n v="4"/>
  </r>
  <r>
    <n v="1120"/>
    <d v="2017-02-10T00:00:00"/>
    <x v="324"/>
    <x v="3"/>
    <s v="Estacionamiento"/>
    <n v="173"/>
    <s v="Venta"/>
    <n v="67684.399999999994"/>
    <n v="1744145"/>
    <n v="1395316"/>
    <n v="281144.59999999998"/>
    <s v="Carlos"/>
    <n v="4.5"/>
  </r>
  <r>
    <n v="1121"/>
    <d v="2017-02-10T00:00:00"/>
    <x v="367"/>
    <x v="1"/>
    <s v="Terreno"/>
    <n v="173"/>
    <s v="Venta"/>
    <n v="62657.96"/>
    <n v="1629109"/>
    <n v="1303287.2"/>
    <n v="263163.84000000003"/>
    <s v="Romina"/>
    <n v="3.9"/>
  </r>
  <r>
    <n v="1122"/>
    <d v="2017-02-11T00:00:00"/>
    <x v="484"/>
    <x v="0"/>
    <s v="Departamento"/>
    <n v="221"/>
    <s v="Venta"/>
    <n v="52428.76"/>
    <n v="1375529"/>
    <n v="1100423.2"/>
    <n v="222677.04000000004"/>
    <s v="Arturo"/>
    <n v="3.7"/>
  </r>
  <r>
    <n v="1123"/>
    <d v="2017-02-11T00:00:00"/>
    <x v="267"/>
    <x v="0"/>
    <s v="Departamento"/>
    <n v="150"/>
    <s v="Venta"/>
    <n v="34157.279999999999"/>
    <n v="915842"/>
    <n v="732673.6"/>
    <n v="149011.12000000002"/>
    <s v="Carlos"/>
    <n v="4.8"/>
  </r>
  <r>
    <n v="1124"/>
    <d v="2017-02-11T00:00:00"/>
    <x v="349"/>
    <x v="1"/>
    <s v="Depósito"/>
    <n v="204"/>
    <s v="Venta"/>
    <n v="47738.76"/>
    <n v="1251829"/>
    <n v="1001463.2"/>
    <n v="202627.04000000004"/>
    <s v="Iván"/>
    <n v="3.9"/>
  </r>
  <r>
    <n v="1125"/>
    <d v="2017-02-13T00:00:00"/>
    <x v="485"/>
    <x v="2"/>
    <s v="Terreno"/>
    <n v="241"/>
    <s v="Venta"/>
    <n v="90862"/>
    <n v="2323560"/>
    <n v="1858848"/>
    <n v="373850"/>
    <s v="Sabrina"/>
    <n v="4.5"/>
  </r>
  <r>
    <n v="1126"/>
    <d v="2017-02-13T00:00:00"/>
    <x v="477"/>
    <x v="1"/>
    <s v="Casa"/>
    <n v="104"/>
    <s v="Alquiler"/>
    <n v="17828.599999999999"/>
    <n v="498800"/>
    <n v="399040"/>
    <n v="81931.399999999994"/>
    <s v="Sabrina"/>
    <n v="4.0999999999999996"/>
  </r>
  <r>
    <n v="1127"/>
    <d v="2017-02-14T00:00:00"/>
    <x v="244"/>
    <x v="1"/>
    <s v="Oficinas"/>
    <n v="68"/>
    <s v="Alquiler"/>
    <n v="13542"/>
    <n v="396260"/>
    <n v="317008"/>
    <n v="65710"/>
    <s v="Ángeles"/>
    <n v="3.8"/>
  </r>
  <r>
    <n v="1128"/>
    <d v="2017-02-14T00:00:00"/>
    <x v="468"/>
    <x v="1"/>
    <s v="Casa"/>
    <n v="224"/>
    <s v="Venta"/>
    <n v="73507.199999999997"/>
    <n v="1895965"/>
    <n v="1516772"/>
    <n v="305685.8"/>
    <s v="Carlos"/>
    <n v="3.9"/>
  </r>
  <r>
    <n v="1129"/>
    <d v="2017-02-14T00:00:00"/>
    <x v="459"/>
    <x v="1"/>
    <s v="Estacionamiento"/>
    <n v="116"/>
    <s v="Venta"/>
    <n v="34791.599999999999"/>
    <n v="936125"/>
    <n v="748900"/>
    <n v="152433.4"/>
    <s v="Arturo"/>
    <n v="4"/>
  </r>
  <r>
    <n v="1130"/>
    <d v="2017-02-15T00:00:00"/>
    <x v="250"/>
    <x v="0"/>
    <s v="Local Comercial"/>
    <n v="52"/>
    <s v="Alquiler"/>
    <n v="16730.52"/>
    <n v="480823"/>
    <n v="384658.4"/>
    <n v="79434.079999999973"/>
    <s v="Romina"/>
    <n v="5"/>
  </r>
  <r>
    <n v="1131"/>
    <d v="2017-02-15T00:00:00"/>
    <x v="468"/>
    <x v="2"/>
    <s v="Casa"/>
    <n v="151"/>
    <s v="Venta"/>
    <n v="30727.48"/>
    <n v="832397"/>
    <n v="665917.6"/>
    <n v="135751.92000000001"/>
    <s v="Romina"/>
    <n v="5"/>
  </r>
  <r>
    <n v="1132"/>
    <d v="2017-02-15T00:00:00"/>
    <x v="286"/>
    <x v="3"/>
    <s v="Terreno"/>
    <n v="88"/>
    <s v="Venta"/>
    <n v="35245.24"/>
    <n v="937441"/>
    <n v="749952.8"/>
    <n v="152242.95999999996"/>
    <s v="Arturo"/>
    <n v="4.5999999999999996"/>
  </r>
  <r>
    <n v="1133"/>
    <d v="2017-02-15T00:00:00"/>
    <x v="315"/>
    <x v="2"/>
    <s v="Terreno"/>
    <n v="128"/>
    <s v="Alquiler"/>
    <n v="27690.16"/>
    <n v="748889"/>
    <n v="599111.19999999995"/>
    <n v="122087.64000000004"/>
    <s v="Romina"/>
    <n v="4.0999999999999996"/>
  </r>
  <r>
    <n v="1134"/>
    <d v="2017-02-15T00:00:00"/>
    <x v="316"/>
    <x v="0"/>
    <s v="Casa"/>
    <n v="117"/>
    <s v="Venta"/>
    <n v="34504.160000000003"/>
    <n v="915739"/>
    <n v="732591.2"/>
    <n v="148643.64000000004"/>
    <s v="Sabrina"/>
    <n v="3.6"/>
  </r>
  <r>
    <n v="1135"/>
    <d v="2017-02-16T00:00:00"/>
    <x v="409"/>
    <x v="3"/>
    <s v="Oficinas"/>
    <n v="53"/>
    <s v="Alquiler"/>
    <n v="12872.08"/>
    <n v="385587"/>
    <n v="308469.59999999998"/>
    <n v="64245.320000000022"/>
    <s v="Romina"/>
    <n v="3.9"/>
  </r>
  <r>
    <n v="1136"/>
    <d v="2017-02-16T00:00:00"/>
    <x v="486"/>
    <x v="1"/>
    <s v="Departamento"/>
    <n v="63"/>
    <s v="Alquiler"/>
    <n v="10821.28"/>
    <n v="334367"/>
    <n v="267493.59999999998"/>
    <n v="56052.120000000024"/>
    <s v="Carlos"/>
    <n v="4.4000000000000004"/>
  </r>
  <r>
    <n v="1137"/>
    <d v="2017-02-16T00:00:00"/>
    <x v="487"/>
    <x v="1"/>
    <s v="Estacionamiento"/>
    <n v="70"/>
    <s v="Alquiler"/>
    <n v="21497"/>
    <n v="599960"/>
    <n v="479968"/>
    <n v="98495"/>
    <s v="Arturo"/>
    <n v="4.3"/>
  </r>
  <r>
    <n v="1138"/>
    <d v="2017-02-16T00:00:00"/>
    <x v="488"/>
    <x v="3"/>
    <s v="Estacionamiento"/>
    <n v="253"/>
    <s v="Venta"/>
    <n v="41638"/>
    <n v="1103035"/>
    <n v="882428"/>
    <n v="178969"/>
    <s v="Romina"/>
    <n v="3.9"/>
  </r>
  <r>
    <n v="1139"/>
    <d v="2017-02-16T00:00:00"/>
    <x v="475"/>
    <x v="1"/>
    <s v="Depósito"/>
    <n v="90"/>
    <s v="Alquiler"/>
    <n v="28755.040000000001"/>
    <n v="778661"/>
    <n v="622928.80000000005"/>
    <n v="126977.15999999995"/>
    <s v="Arturo"/>
    <n v="4.5999999999999996"/>
  </r>
  <r>
    <n v="1140"/>
    <d v="2017-02-16T00:00:00"/>
    <x v="455"/>
    <x v="3"/>
    <s v="Depósito"/>
    <n v="137"/>
    <s v="Venta"/>
    <n v="52143.4"/>
    <n v="1355145"/>
    <n v="1084116"/>
    <n v="218885.6"/>
    <s v="Arturo"/>
    <n v="4.5999999999999996"/>
  </r>
  <r>
    <n v="1141"/>
    <d v="2017-02-16T00:00:00"/>
    <x v="489"/>
    <x v="0"/>
    <s v="Departamento"/>
    <n v="172"/>
    <s v="Venta"/>
    <n v="62883.360000000001"/>
    <n v="1637819"/>
    <n v="1310255.2"/>
    <n v="264680.44000000006"/>
    <s v="Iván"/>
    <n v="3.8"/>
  </r>
  <r>
    <n v="1142"/>
    <d v="2017-02-16T00:00:00"/>
    <x v="466"/>
    <x v="0"/>
    <s v="Oficinas"/>
    <n v="225"/>
    <s v="Venta"/>
    <n v="40691"/>
    <n v="1070335"/>
    <n v="856268"/>
    <n v="173376"/>
    <s v="Ángeles"/>
    <n v="4"/>
  </r>
  <r>
    <n v="1143"/>
    <d v="2017-02-17T00:00:00"/>
    <x v="433"/>
    <x v="3"/>
    <s v="Terreno"/>
    <n v="248"/>
    <s v="Venta"/>
    <n v="54908.24"/>
    <n v="1430691"/>
    <n v="1144552.8"/>
    <n v="231229.95999999996"/>
    <s v="Romina"/>
    <n v="4.0999999999999996"/>
  </r>
  <r>
    <n v="1144"/>
    <d v="2017-02-17T00:00:00"/>
    <x v="490"/>
    <x v="1"/>
    <s v="Estacionamiento"/>
    <n v="249"/>
    <s v="Venta"/>
    <n v="86101.72"/>
    <n v="2213253"/>
    <n v="1770602.4"/>
    <n v="356548.88000000012"/>
    <s v="Romina"/>
    <n v="3.7"/>
  </r>
  <r>
    <n v="1145"/>
    <d v="2017-02-17T00:00:00"/>
    <x v="374"/>
    <x v="3"/>
    <s v="Oficinas"/>
    <n v="101"/>
    <s v="Venta"/>
    <n v="33193.040000000001"/>
    <n v="886711"/>
    <n v="709368.8"/>
    <n v="144149.15999999995"/>
    <s v="Carlos"/>
    <n v="4.2"/>
  </r>
  <r>
    <n v="1146"/>
    <d v="2017-02-17T00:00:00"/>
    <x v="491"/>
    <x v="0"/>
    <s v="Depósito"/>
    <n v="195"/>
    <s v="Venta"/>
    <n v="42749.279999999999"/>
    <n v="1127267"/>
    <n v="901813.6"/>
    <n v="182704.12000000002"/>
    <s v="Carlos"/>
    <n v="4.2"/>
  </r>
  <r>
    <n v="1147"/>
    <d v="2017-02-18T00:00:00"/>
    <x v="293"/>
    <x v="2"/>
    <s v="Estacionamiento"/>
    <n v="146"/>
    <s v="Venta"/>
    <n v="59621.48"/>
    <n v="1555622"/>
    <n v="1244497.6000000001"/>
    <n v="251502.9199999999"/>
    <s v="Romina"/>
    <n v="4.3"/>
  </r>
  <r>
    <n v="1148"/>
    <d v="2017-02-18T00:00:00"/>
    <x v="492"/>
    <x v="0"/>
    <s v="Casa"/>
    <n v="230"/>
    <s v="Venta"/>
    <n v="38145.68"/>
    <n v="1020677"/>
    <n v="816541.6"/>
    <n v="165989.72000000003"/>
    <s v="Iván"/>
    <n v="5"/>
  </r>
  <r>
    <n v="1149"/>
    <d v="2017-02-18T00:00:00"/>
    <x v="402"/>
    <x v="1"/>
    <s v="Casa"/>
    <n v="57"/>
    <s v="Alquiler"/>
    <n v="18027.240000000002"/>
    <n v="518141"/>
    <n v="414512.8"/>
    <n v="85600.960000000006"/>
    <s v="Romina"/>
    <n v="4"/>
  </r>
  <r>
    <n v="1150"/>
    <d v="2017-02-18T00:00:00"/>
    <x v="493"/>
    <x v="2"/>
    <s v="Terreno"/>
    <n v="100"/>
    <s v="Venta"/>
    <n v="35221.599999999999"/>
    <n v="945575"/>
    <n v="756460"/>
    <n v="153893.4"/>
    <s v="Iván"/>
    <n v="4.7"/>
  </r>
  <r>
    <n v="1151"/>
    <d v="2017-02-18T00:00:00"/>
    <x v="494"/>
    <x v="2"/>
    <s v="Oficinas"/>
    <n v="154"/>
    <s v="Venta"/>
    <n v="51427.92"/>
    <n v="1344883"/>
    <n v="1075906.3999999999"/>
    <n v="217548.68000000011"/>
    <s v="Romina"/>
    <n v="4.2"/>
  </r>
  <r>
    <n v="1152"/>
    <d v="2017-02-19T00:00:00"/>
    <x v="495"/>
    <x v="0"/>
    <s v="Oficinas"/>
    <n v="219"/>
    <s v="Venta"/>
    <n v="77414.880000000005"/>
    <n v="2002757"/>
    <n v="1602205.6"/>
    <n v="323136.5199999999"/>
    <s v="Arturo"/>
    <n v="4.9000000000000004"/>
  </r>
  <r>
    <n v="1153"/>
    <d v="2017-02-19T00:00:00"/>
    <x v="455"/>
    <x v="2"/>
    <s v="Depósito"/>
    <n v="268"/>
    <s v="Venta"/>
    <n v="79935.28"/>
    <n v="2057717"/>
    <n v="1646173.6"/>
    <n v="331608.11999999988"/>
    <s v="Iván"/>
    <n v="4"/>
  </r>
  <r>
    <n v="1154"/>
    <d v="2017-02-20T00:00:00"/>
    <x v="443"/>
    <x v="0"/>
    <s v="Casa"/>
    <n v="287"/>
    <s v="Venta"/>
    <n v="113686.52"/>
    <n v="2902173"/>
    <n v="2321738.4"/>
    <n v="466748.08000000007"/>
    <s v="Romina"/>
    <n v="4.0999999999999996"/>
  </r>
  <r>
    <n v="1155"/>
    <d v="2017-02-20T00:00:00"/>
    <x v="462"/>
    <x v="3"/>
    <s v="Casa"/>
    <n v="89"/>
    <s v="Venta"/>
    <n v="33249.96"/>
    <n v="893859"/>
    <n v="715087.2"/>
    <n v="145521.84000000005"/>
    <s v="Romina"/>
    <n v="4"/>
  </r>
  <r>
    <n v="1156"/>
    <d v="2017-02-20T00:00:00"/>
    <x v="496"/>
    <x v="3"/>
    <s v="Oficinas"/>
    <n v="244"/>
    <s v="Venta"/>
    <n v="51508"/>
    <n v="1341685"/>
    <n v="1073348"/>
    <n v="216829"/>
    <s v="Sabrina"/>
    <n v="4.7"/>
  </r>
  <r>
    <n v="1157"/>
    <d v="2017-02-20T00:00:00"/>
    <x v="497"/>
    <x v="1"/>
    <s v="Depósito"/>
    <n v="248"/>
    <s v="Venta"/>
    <n v="63757.8"/>
    <n v="1650655"/>
    <n v="1320524"/>
    <n v="266373.2"/>
    <s v="Ángeles"/>
    <n v="4.3"/>
  </r>
  <r>
    <n v="1158"/>
    <d v="2017-02-20T00:00:00"/>
    <x v="366"/>
    <x v="1"/>
    <s v="Departamento"/>
    <n v="291"/>
    <s v="Venta"/>
    <n v="96863.92"/>
    <n v="2472933"/>
    <n v="1978346.4"/>
    <n v="397722.68000000011"/>
    <s v="Romina"/>
    <n v="4.9000000000000004"/>
  </r>
  <r>
    <n v="1159"/>
    <d v="2017-02-20T00:00:00"/>
    <x v="364"/>
    <x v="0"/>
    <s v="Depósito"/>
    <n v="207"/>
    <s v="Venta"/>
    <n v="72002.320000000007"/>
    <n v="1860193"/>
    <n v="1488154.4"/>
    <n v="300036.28000000009"/>
    <s v="Carlos"/>
    <n v="3.8"/>
  </r>
  <r>
    <n v="1160"/>
    <d v="2017-02-21T00:00:00"/>
    <x v="498"/>
    <x v="2"/>
    <s v="Terreno"/>
    <n v="272"/>
    <s v="Venta"/>
    <n v="85172.36"/>
    <n v="2184869"/>
    <n v="1747895.2"/>
    <n v="351801.44000000006"/>
    <s v="Iván"/>
    <n v="4.2"/>
  </r>
  <r>
    <n v="1161"/>
    <d v="2017-02-22T00:00:00"/>
    <x v="499"/>
    <x v="3"/>
    <s v="Oficinas"/>
    <n v="191"/>
    <s v="Venta"/>
    <n v="62847.6"/>
    <n v="1631200"/>
    <n v="1304960"/>
    <n v="263392.40000000002"/>
    <s v="Sabrina"/>
    <n v="4"/>
  </r>
  <r>
    <n v="1162"/>
    <d v="2017-02-22T00:00:00"/>
    <x v="395"/>
    <x v="1"/>
    <s v="Terreno"/>
    <n v="104"/>
    <s v="Alquiler"/>
    <n v="26742.04"/>
    <n v="734786"/>
    <n v="587828.80000000005"/>
    <n v="120215.15999999995"/>
    <s v="Carlos"/>
    <n v="3.8"/>
  </r>
  <r>
    <n v="1163"/>
    <d v="2017-02-22T00:00:00"/>
    <x v="444"/>
    <x v="2"/>
    <s v="Estacionamiento"/>
    <n v="78"/>
    <s v="Alquiler"/>
    <n v="20111.560000000001"/>
    <n v="560474"/>
    <n v="448379.2"/>
    <n v="91983.239999999991"/>
    <s v="Carlos"/>
    <n v="3.6"/>
  </r>
  <r>
    <n v="1164"/>
    <d v="2017-02-22T00:00:00"/>
    <x v="356"/>
    <x v="1"/>
    <s v="Estacionamiento"/>
    <n v="167"/>
    <s v="Alquiler"/>
    <n v="29065.360000000001"/>
    <n v="787469"/>
    <n v="629975.19999999995"/>
    <n v="128428.44000000005"/>
    <s v="Carlos"/>
    <n v="4.0999999999999996"/>
  </r>
  <r>
    <n v="1165"/>
    <d v="2017-02-23T00:00:00"/>
    <x v="500"/>
    <x v="1"/>
    <s v="Local Comercial"/>
    <n v="209"/>
    <s v="Venta"/>
    <n v="65742.36"/>
    <n v="1701619"/>
    <n v="1361295.2"/>
    <n v="274581.44000000006"/>
    <s v="Arturo"/>
    <n v="4.7"/>
  </r>
  <r>
    <n v="1166"/>
    <d v="2017-02-23T00:00:00"/>
    <x v="498"/>
    <x v="0"/>
    <s v="Estacionamiento"/>
    <n v="224"/>
    <s v="Venta"/>
    <n v="71696.600000000006"/>
    <n v="1857025"/>
    <n v="1485620"/>
    <n v="299708.40000000002"/>
    <s v="Sabrina"/>
    <n v="4.2"/>
  </r>
  <r>
    <n v="1167"/>
    <d v="2017-02-23T00:00:00"/>
    <x v="349"/>
    <x v="0"/>
    <s v="Depósito"/>
    <n v="149"/>
    <s v="Venta"/>
    <n v="42165.56"/>
    <n v="1112949"/>
    <n v="890359.2"/>
    <n v="180424.24000000005"/>
    <s v="Arturo"/>
    <n v="4.9000000000000004"/>
  </r>
  <r>
    <n v="1168"/>
    <d v="2017-02-24T00:00:00"/>
    <x v="501"/>
    <x v="3"/>
    <s v="Casa"/>
    <n v="202"/>
    <s v="Venta"/>
    <n v="44697.08"/>
    <n v="1172987"/>
    <n v="938389.6"/>
    <n v="189900.32"/>
    <s v="Arturo"/>
    <n v="4.5"/>
  </r>
  <r>
    <n v="1169"/>
    <d v="2017-02-24T00:00:00"/>
    <x v="502"/>
    <x v="2"/>
    <s v="Terreno"/>
    <n v="143"/>
    <s v="Venta"/>
    <n v="41036"/>
    <n v="1087985"/>
    <n v="870388"/>
    <n v="176561"/>
    <s v="Carlos"/>
    <n v="3.8"/>
  </r>
  <r>
    <n v="1170"/>
    <d v="2017-02-24T00:00:00"/>
    <x v="393"/>
    <x v="3"/>
    <s v="Local Comercial"/>
    <n v="159"/>
    <s v="Alquiler"/>
    <n v="28871.200000000001"/>
    <n v="780965"/>
    <n v="624772"/>
    <n v="127321.8"/>
    <s v="Iván"/>
    <n v="4.0999999999999996"/>
  </r>
  <r>
    <n v="1171"/>
    <d v="2017-02-24T00:00:00"/>
    <x v="374"/>
    <x v="3"/>
    <s v="Departamento"/>
    <n v="115"/>
    <s v="Alquiler"/>
    <n v="25040.2"/>
    <n v="683765"/>
    <n v="547012"/>
    <n v="111712.8"/>
    <s v="Iván"/>
    <n v="4.7"/>
  </r>
  <r>
    <n v="1172"/>
    <d v="2017-02-24T00:00:00"/>
    <x v="343"/>
    <x v="0"/>
    <s v="Oficinas"/>
    <n v="185"/>
    <s v="Venta"/>
    <n v="67276.600000000006"/>
    <n v="1734125"/>
    <n v="1387300"/>
    <n v="279548.40000000002"/>
    <s v="Sabrina"/>
    <n v="4.5"/>
  </r>
  <r>
    <n v="1173"/>
    <d v="2017-02-25T00:00:00"/>
    <x v="387"/>
    <x v="3"/>
    <s v="Estacionamiento"/>
    <n v="77"/>
    <s v="Alquiler"/>
    <n v="17816.240000000002"/>
    <n v="499791"/>
    <n v="399832.8"/>
    <n v="82141.960000000006"/>
    <s v="Ángeles"/>
    <n v="4"/>
  </r>
  <r>
    <n v="1174"/>
    <d v="2017-02-26T00:00:00"/>
    <x v="315"/>
    <x v="0"/>
    <s v="Local Comercial"/>
    <n v="65"/>
    <s v="Alquiler"/>
    <n v="11681.76"/>
    <n v="358829"/>
    <n v="287063.2"/>
    <n v="60084.039999999986"/>
    <s v="Ángeles"/>
    <n v="4.5"/>
  </r>
  <r>
    <n v="1175"/>
    <d v="2017-02-26T00:00:00"/>
    <x v="440"/>
    <x v="3"/>
    <s v="Departamento"/>
    <n v="57"/>
    <s v="Alquiler"/>
    <n v="18339.68"/>
    <n v="521077"/>
    <n v="416861.6"/>
    <n v="85875.72000000003"/>
    <s v="Ángeles"/>
    <n v="4.7"/>
  </r>
  <r>
    <n v="1176"/>
    <d v="2017-02-26T00:00:00"/>
    <x v="503"/>
    <x v="3"/>
    <s v="Terreno"/>
    <n v="128"/>
    <s v="Venta"/>
    <n v="51244.160000000003"/>
    <n v="1341614"/>
    <n v="1073291.2"/>
    <n v="217078.64000000004"/>
    <s v="Carlos"/>
    <n v="4.7"/>
  </r>
  <r>
    <n v="1177"/>
    <d v="2017-02-27T00:00:00"/>
    <x v="454"/>
    <x v="1"/>
    <s v="Oficinas"/>
    <n v="73"/>
    <s v="Alquiler"/>
    <n v="27298.36"/>
    <n v="748119"/>
    <n v="598495.19999999995"/>
    <n v="122325.44000000005"/>
    <s v="Iván"/>
    <n v="3.6"/>
  </r>
  <r>
    <n v="1178"/>
    <d v="2017-02-27T00:00:00"/>
    <x v="427"/>
    <x v="1"/>
    <s v="Oficinas"/>
    <n v="215"/>
    <s v="Venta"/>
    <n v="57515.56"/>
    <n v="1505099"/>
    <n v="1204079.2"/>
    <n v="243504.24000000005"/>
    <s v="Arturo"/>
    <n v="3.6"/>
  </r>
  <r>
    <n v="1179"/>
    <d v="2017-02-27T00:00:00"/>
    <x v="489"/>
    <x v="1"/>
    <s v="Oficinas"/>
    <n v="85"/>
    <s v="Venta"/>
    <n v="30463.919999999998"/>
    <n v="817083"/>
    <n v="653666.4"/>
    <n v="132952.68"/>
    <s v="Iván"/>
    <n v="3.6"/>
  </r>
  <r>
    <n v="1180"/>
    <d v="2017-02-28T00:00:00"/>
    <x v="504"/>
    <x v="1"/>
    <s v="Local Comercial"/>
    <n v="67"/>
    <s v="Alquiler"/>
    <n v="13196.8"/>
    <n v="390755"/>
    <n v="312604"/>
    <n v="64954.2"/>
    <s v="Iván"/>
    <n v="3.6"/>
  </r>
  <r>
    <n v="1181"/>
    <d v="2017-02-28T00:00:00"/>
    <x v="505"/>
    <x v="2"/>
    <s v="Terreno"/>
    <n v="42"/>
    <s v="Alquiler"/>
    <n v="16196.6"/>
    <n v="462275"/>
    <n v="369820"/>
    <n v="76258.399999999994"/>
    <s v="Ángeles"/>
    <n v="3.7"/>
  </r>
  <r>
    <n v="1182"/>
    <d v="2017-03-01T00:00:00"/>
    <x v="506"/>
    <x v="1"/>
    <s v="Estacionamiento"/>
    <n v="174"/>
    <s v="Venta"/>
    <n v="47328.84"/>
    <n v="1239731"/>
    <n v="991784.8"/>
    <n v="200617.35999999996"/>
    <s v="Romina"/>
    <n v="3.7"/>
  </r>
  <r>
    <n v="1183"/>
    <d v="2017-03-01T00:00:00"/>
    <x v="374"/>
    <x v="1"/>
    <s v="Departamento"/>
    <n v="38"/>
    <s v="Alquiler"/>
    <n v="13743.6"/>
    <n v="397025"/>
    <n v="317620"/>
    <n v="65661.399999999994"/>
    <s v="Ángeles"/>
    <n v="4.3"/>
  </r>
  <r>
    <n v="1184"/>
    <d v="2017-03-01T00:00:00"/>
    <x v="371"/>
    <x v="3"/>
    <s v="Casa"/>
    <n v="89"/>
    <s v="Alquiler"/>
    <n v="24641.08"/>
    <n v="676437"/>
    <n v="541149.6"/>
    <n v="110646.32000000002"/>
    <s v="Sabrina"/>
    <n v="4.8"/>
  </r>
  <r>
    <n v="1185"/>
    <d v="2017-03-02T00:00:00"/>
    <x v="507"/>
    <x v="1"/>
    <s v="Departamento"/>
    <n v="229"/>
    <s v="Venta"/>
    <n v="54761.52"/>
    <n v="1424873"/>
    <n v="1139898.3999999999"/>
    <n v="230213.0800000001"/>
    <s v="Carlos"/>
    <n v="4.5"/>
  </r>
  <r>
    <n v="1186"/>
    <d v="2017-03-03T00:00:00"/>
    <x v="490"/>
    <x v="2"/>
    <s v="Casa"/>
    <n v="146"/>
    <s v="Alquiler"/>
    <n v="29334.32"/>
    <n v="792693"/>
    <n v="634154.4"/>
    <n v="129204.27999999997"/>
    <s v="Sabrina"/>
    <n v="4"/>
  </r>
  <r>
    <n v="1187"/>
    <d v="2017-03-03T00:00:00"/>
    <x v="290"/>
    <x v="1"/>
    <s v="Oficinas"/>
    <n v="44"/>
    <s v="Alquiler"/>
    <n v="17013"/>
    <n v="478785"/>
    <n v="383028"/>
    <n v="78744"/>
    <s v="Ángeles"/>
    <n v="3.8"/>
  </r>
  <r>
    <n v="1188"/>
    <d v="2017-03-03T00:00:00"/>
    <x v="391"/>
    <x v="3"/>
    <s v="Departamento"/>
    <n v="86"/>
    <s v="Alquiler"/>
    <n v="13900.52"/>
    <n v="412298"/>
    <n v="329838.40000000002"/>
    <n v="68559.079999999973"/>
    <s v="Arturo"/>
    <n v="4.9000000000000004"/>
  </r>
  <r>
    <n v="1189"/>
    <d v="2017-03-03T00:00:00"/>
    <x v="413"/>
    <x v="2"/>
    <s v="Departamento"/>
    <n v="249"/>
    <s v="Venta"/>
    <n v="57650.2"/>
    <n v="1508090"/>
    <n v="1206472"/>
    <n v="243967.8"/>
    <s v="Romina"/>
    <n v="4.5"/>
  </r>
  <r>
    <n v="1190"/>
    <d v="2017-03-03T00:00:00"/>
    <x v="508"/>
    <x v="1"/>
    <s v="Terreno"/>
    <n v="149"/>
    <s v="Venta"/>
    <n v="54898.32"/>
    <n v="1438118"/>
    <n v="1150494.3999999999"/>
    <n v="232725.28000000009"/>
    <s v="Romina"/>
    <n v="3.6"/>
  </r>
  <r>
    <n v="1191"/>
    <d v="2017-03-03T00:00:00"/>
    <x v="450"/>
    <x v="1"/>
    <s v="Terreno"/>
    <n v="135"/>
    <s v="Venta"/>
    <n v="49302.96"/>
    <n v="1292759"/>
    <n v="1034207.2"/>
    <n v="209248.84000000005"/>
    <s v="Arturo"/>
    <n v="4.7"/>
  </r>
  <r>
    <n v="1192"/>
    <d v="2017-03-04T00:00:00"/>
    <x v="481"/>
    <x v="3"/>
    <s v="Estacionamiento"/>
    <n v="230"/>
    <s v="Venta"/>
    <n v="81278.399999999994"/>
    <n v="2091795"/>
    <n v="1673436"/>
    <n v="337080.6"/>
    <s v="Iván"/>
    <n v="4.3"/>
  </r>
  <r>
    <n v="1193"/>
    <d v="2017-03-04T00:00:00"/>
    <x v="315"/>
    <x v="2"/>
    <s v="Departamento"/>
    <n v="234"/>
    <s v="Venta"/>
    <n v="51598.44"/>
    <n v="1356721"/>
    <n v="1085376.8"/>
    <n v="219745.75999999995"/>
    <s v="Romina"/>
    <n v="3.6"/>
  </r>
  <r>
    <n v="1194"/>
    <d v="2017-03-04T00:00:00"/>
    <x v="509"/>
    <x v="0"/>
    <s v="Oficinas"/>
    <n v="185"/>
    <s v="Venta"/>
    <n v="37817.279999999999"/>
    <n v="1006192"/>
    <n v="804953.59999999998"/>
    <n v="163421.12000000002"/>
    <s v="Arturo"/>
    <n v="4.5999999999999996"/>
  </r>
  <r>
    <n v="1195"/>
    <d v="2017-03-04T00:00:00"/>
    <x v="510"/>
    <x v="2"/>
    <s v="Local Comercial"/>
    <n v="86"/>
    <s v="Alquiler"/>
    <n v="28526.400000000001"/>
    <n v="779845"/>
    <n v="623876"/>
    <n v="127442.6"/>
    <s v="Arturo"/>
    <n v="4.9000000000000004"/>
  </r>
  <r>
    <n v="1196"/>
    <d v="2017-03-05T00:00:00"/>
    <x v="350"/>
    <x v="3"/>
    <s v="Departamento"/>
    <n v="120"/>
    <s v="Alquiler"/>
    <n v="23561.919999999998"/>
    <n v="650533"/>
    <n v="520426.4"/>
    <n v="106544.67999999998"/>
    <s v="Carlos"/>
    <n v="3.9"/>
  </r>
  <r>
    <n v="1197"/>
    <d v="2017-03-06T00:00:00"/>
    <x v="496"/>
    <x v="3"/>
    <s v="Depósito"/>
    <n v="52"/>
    <s v="Alquiler"/>
    <n v="8225.32"/>
    <n v="269843"/>
    <n v="215874.4"/>
    <n v="45743.280000000006"/>
    <s v="Sabrina"/>
    <n v="3.6"/>
  </r>
  <r>
    <n v="1198"/>
    <d v="2017-03-06T00:00:00"/>
    <x v="511"/>
    <x v="3"/>
    <s v="Terreno"/>
    <n v="91"/>
    <s v="Venta"/>
    <n v="35703.120000000003"/>
    <n v="953863"/>
    <n v="763090.4"/>
    <n v="155069.47999999998"/>
    <s v="Arturo"/>
    <n v="4.2"/>
  </r>
  <r>
    <n v="1199"/>
    <d v="2017-03-06T00:00:00"/>
    <x v="347"/>
    <x v="0"/>
    <s v="Estacionamiento"/>
    <n v="39"/>
    <s v="Alquiler"/>
    <n v="8768.84"/>
    <n v="272231"/>
    <n v="217784.8"/>
    <n v="45677.360000000015"/>
    <s v="Carlos"/>
    <n v="4.8"/>
  </r>
  <r>
    <n v="1200"/>
    <d v="2017-03-06T00:00:00"/>
    <x v="384"/>
    <x v="0"/>
    <s v="Estacionamiento"/>
    <n v="57"/>
    <s v="Alquiler"/>
    <n v="18327"/>
    <n v="511085"/>
    <n v="408868"/>
    <n v="83890"/>
    <s v="Sabrina"/>
    <n v="4.5"/>
  </r>
  <r>
    <n v="1201"/>
    <d v="2017-03-07T00:00:00"/>
    <x v="286"/>
    <x v="3"/>
    <s v="Local Comercial"/>
    <n v="50"/>
    <s v="Alquiler"/>
    <n v="11108"/>
    <n v="334835"/>
    <n v="267868"/>
    <n v="55859"/>
    <s v="Romina"/>
    <n v="4.3"/>
  </r>
  <r>
    <n v="1202"/>
    <d v="2017-03-07T00:00:00"/>
    <x v="398"/>
    <x v="3"/>
    <s v="Local Comercial"/>
    <n v="132"/>
    <s v="Venta"/>
    <n v="43108.84"/>
    <n v="1136531"/>
    <n v="909224.8"/>
    <n v="184197.35999999996"/>
    <s v="Ángeles"/>
    <n v="4.4000000000000004"/>
  </r>
  <r>
    <n v="1203"/>
    <d v="2017-03-07T00:00:00"/>
    <x v="512"/>
    <x v="3"/>
    <s v="Oficinas"/>
    <n v="234"/>
    <s v="Venta"/>
    <n v="39431"/>
    <n v="1049660"/>
    <n v="839728"/>
    <n v="170501"/>
    <s v="Arturo"/>
    <n v="3.9"/>
  </r>
  <r>
    <n v="1204"/>
    <d v="2017-03-07T00:00:00"/>
    <x v="382"/>
    <x v="0"/>
    <s v="Oficinas"/>
    <n v="250"/>
    <s v="Venta"/>
    <n v="85078.399999999994"/>
    <n v="2187920"/>
    <n v="1750336"/>
    <n v="352505.59999999998"/>
    <s v="Arturo"/>
    <n v="4.2"/>
  </r>
  <r>
    <n v="1205"/>
    <d v="2017-03-07T00:00:00"/>
    <x v="347"/>
    <x v="0"/>
    <s v="Local Comercial"/>
    <n v="210"/>
    <s v="Venta"/>
    <n v="83425.16"/>
    <n v="2141564"/>
    <n v="1713251.2"/>
    <n v="344887.64"/>
    <s v="Carlos"/>
    <n v="3.6"/>
  </r>
  <r>
    <n v="1206"/>
    <d v="2017-03-07T00:00:00"/>
    <x v="513"/>
    <x v="3"/>
    <s v="Estacionamiento"/>
    <n v="113"/>
    <s v="Venta"/>
    <n v="37537.64"/>
    <n v="989801"/>
    <n v="791840.8"/>
    <n v="160422.55999999994"/>
    <s v="Ángeles"/>
    <n v="3.6"/>
  </r>
  <r>
    <n v="1207"/>
    <d v="2017-03-07T00:00:00"/>
    <x v="514"/>
    <x v="2"/>
    <s v="Departamento"/>
    <n v="245"/>
    <s v="Venta"/>
    <n v="60490"/>
    <n v="1567485"/>
    <n v="1253988"/>
    <n v="253007"/>
    <s v="Carlos"/>
    <n v="4.3"/>
  </r>
  <r>
    <n v="1208"/>
    <d v="2017-03-08T00:00:00"/>
    <x v="494"/>
    <x v="0"/>
    <s v="Terreno"/>
    <n v="232"/>
    <s v="Venta"/>
    <n v="57252.480000000003"/>
    <n v="1485997"/>
    <n v="1188797.6000000001"/>
    <n v="239946.9199999999"/>
    <s v="Carlos"/>
    <n v="4.4000000000000004"/>
  </r>
  <r>
    <n v="1209"/>
    <d v="2017-03-08T00:00:00"/>
    <x v="438"/>
    <x v="3"/>
    <s v="Casa"/>
    <n v="84"/>
    <s v="Alquiler"/>
    <n v="15079"/>
    <n v="432335"/>
    <n v="345868"/>
    <n v="71388"/>
    <s v="Romina"/>
    <n v="4.9000000000000004"/>
  </r>
  <r>
    <n v="1210"/>
    <d v="2017-03-09T00:00:00"/>
    <x v="481"/>
    <x v="2"/>
    <s v="Casa"/>
    <n v="240"/>
    <s v="Venta"/>
    <n v="59487.08"/>
    <n v="1540962"/>
    <n v="1232769.6000000001"/>
    <n v="248705.31999999989"/>
    <s v="Iván"/>
    <n v="4.0999999999999996"/>
  </r>
  <r>
    <n v="1211"/>
    <d v="2017-03-09T00:00:00"/>
    <x v="515"/>
    <x v="2"/>
    <s v="Casa"/>
    <n v="225"/>
    <s v="Venta"/>
    <n v="36548.76"/>
    <n v="972179"/>
    <n v="777743.2"/>
    <n v="157887.04000000004"/>
    <s v="Iván"/>
    <n v="4.5999999999999996"/>
  </r>
  <r>
    <n v="1212"/>
    <d v="2017-03-10T00:00:00"/>
    <x v="516"/>
    <x v="3"/>
    <s v="Estacionamiento"/>
    <n v="136"/>
    <s v="Venta"/>
    <n v="48653.4"/>
    <n v="1283445"/>
    <n v="1026756"/>
    <n v="208035.6"/>
    <s v="Romina"/>
    <n v="4"/>
  </r>
  <r>
    <n v="1213"/>
    <d v="2017-03-10T00:00:00"/>
    <x v="387"/>
    <x v="0"/>
    <s v="Casa"/>
    <n v="148"/>
    <s v="Venta"/>
    <n v="48481.24"/>
    <n v="1274491"/>
    <n v="1019592.8"/>
    <n v="206416.95999999996"/>
    <s v="Ángeles"/>
    <n v="4.7"/>
  </r>
  <r>
    <n v="1214"/>
    <d v="2017-03-10T00:00:00"/>
    <x v="380"/>
    <x v="0"/>
    <s v="Terreno"/>
    <n v="138"/>
    <s v="Alquiler"/>
    <n v="25533.599999999999"/>
    <n v="692175"/>
    <n v="553740"/>
    <n v="112901.4"/>
    <s v="Ángeles"/>
    <n v="4.4000000000000004"/>
  </r>
  <r>
    <n v="1215"/>
    <d v="2017-03-10T00:00:00"/>
    <x v="421"/>
    <x v="1"/>
    <s v="Departamento"/>
    <n v="38"/>
    <s v="Alquiler"/>
    <n v="10949.8"/>
    <n v="329855"/>
    <n v="263884"/>
    <n v="55021.2"/>
    <s v="Arturo"/>
    <n v="3.8"/>
  </r>
  <r>
    <n v="1216"/>
    <d v="2017-03-10T00:00:00"/>
    <x v="452"/>
    <x v="3"/>
    <s v="Departamento"/>
    <n v="274"/>
    <s v="Venta"/>
    <n v="106775.84"/>
    <n v="2724531"/>
    <n v="2179624.7999999998"/>
    <n v="438130.36000000022"/>
    <s v="Sabrina"/>
    <n v="4.7"/>
  </r>
  <r>
    <n v="1217"/>
    <d v="2017-03-11T00:00:00"/>
    <x v="517"/>
    <x v="2"/>
    <s v="Local Comercial"/>
    <n v="177"/>
    <s v="Venta"/>
    <n v="72640"/>
    <n v="1867285"/>
    <n v="1493828"/>
    <n v="300817"/>
    <s v="Arturo"/>
    <n v="4.8"/>
  </r>
  <r>
    <n v="1218"/>
    <d v="2017-03-11T00:00:00"/>
    <x v="402"/>
    <x v="1"/>
    <s v="Oficinas"/>
    <n v="234"/>
    <s v="Venta"/>
    <n v="68289.64"/>
    <n v="1765901"/>
    <n v="1412720.8"/>
    <n v="284890.55999999994"/>
    <s v="Romina"/>
    <n v="3.9"/>
  </r>
  <r>
    <n v="1219"/>
    <d v="2017-03-11T00:00:00"/>
    <x v="330"/>
    <x v="1"/>
    <s v="Depósito"/>
    <n v="247"/>
    <s v="Venta"/>
    <n v="88390.12"/>
    <n v="2271138"/>
    <n v="1816910.4"/>
    <n v="365837.4800000001"/>
    <s v="Sabrina"/>
    <n v="4.9000000000000004"/>
  </r>
  <r>
    <n v="1220"/>
    <d v="2017-03-12T00:00:00"/>
    <x v="395"/>
    <x v="3"/>
    <s v="Departamento"/>
    <n v="87"/>
    <s v="Alquiler"/>
    <n v="16383.2"/>
    <n v="474965"/>
    <n v="379972"/>
    <n v="78609.8"/>
    <s v="Carlos"/>
    <n v="4.3"/>
  </r>
  <r>
    <n v="1221"/>
    <d v="2017-03-12T00:00:00"/>
    <x v="463"/>
    <x v="0"/>
    <s v="Depósito"/>
    <n v="262"/>
    <s v="Venta"/>
    <n v="80358.8"/>
    <n v="2068780"/>
    <n v="1655024"/>
    <n v="333397.2"/>
    <s v="Carlos"/>
    <n v="3.9"/>
  </r>
  <r>
    <n v="1222"/>
    <d v="2017-03-12T00:00:00"/>
    <x v="345"/>
    <x v="1"/>
    <s v="Departamento"/>
    <n v="238"/>
    <s v="Venta"/>
    <n v="54498.2"/>
    <n v="1414365"/>
    <n v="1131492"/>
    <n v="228374.8"/>
    <s v="Carlos"/>
    <n v="4.0999999999999996"/>
  </r>
  <r>
    <n v="1223"/>
    <d v="2017-03-12T00:00:00"/>
    <x v="334"/>
    <x v="3"/>
    <s v="Depósito"/>
    <n v="176"/>
    <s v="Venta"/>
    <n v="71283"/>
    <n v="1841960"/>
    <n v="1473568"/>
    <n v="297109"/>
    <s v="Ángeles"/>
    <n v="4.7"/>
  </r>
  <r>
    <n v="1224"/>
    <d v="2017-03-13T00:00:00"/>
    <x v="503"/>
    <x v="3"/>
    <s v="Oficinas"/>
    <n v="121"/>
    <s v="Venta"/>
    <n v="41976.6"/>
    <n v="1107225"/>
    <n v="885780"/>
    <n v="179468.4"/>
    <s v="Romina"/>
    <n v="4.0999999999999996"/>
  </r>
  <r>
    <n v="1225"/>
    <d v="2017-03-14T00:00:00"/>
    <x v="501"/>
    <x v="2"/>
    <s v="Terreno"/>
    <n v="158"/>
    <s v="Venta"/>
    <n v="30572.720000000001"/>
    <n v="821553"/>
    <n v="657242.4"/>
    <n v="133737.87999999998"/>
    <s v="Iván"/>
    <n v="4.0999999999999996"/>
  </r>
  <r>
    <n v="1226"/>
    <d v="2017-03-14T00:00:00"/>
    <x v="373"/>
    <x v="0"/>
    <s v="Depósito"/>
    <n v="284"/>
    <s v="Venta"/>
    <n v="59103.8"/>
    <n v="1533680"/>
    <n v="1226944"/>
    <n v="247632.2"/>
    <s v="Ángeles"/>
    <n v="4.8"/>
  </r>
  <r>
    <n v="1227"/>
    <d v="2017-03-14T00:00:00"/>
    <x v="429"/>
    <x v="2"/>
    <s v="Depósito"/>
    <n v="160"/>
    <s v="Venta"/>
    <n v="60418.6"/>
    <n v="1563325"/>
    <n v="1250660"/>
    <n v="252246.39999999999"/>
    <s v="Ángeles"/>
    <n v="5"/>
  </r>
  <r>
    <n v="1228"/>
    <d v="2017-03-14T00:00:00"/>
    <x v="293"/>
    <x v="2"/>
    <s v="Departamento"/>
    <n v="182"/>
    <s v="Venta"/>
    <n v="38714.519999999997"/>
    <n v="1033073"/>
    <n v="826458.4"/>
    <n v="167900.08"/>
    <s v="Romina"/>
    <n v="4"/>
  </r>
  <r>
    <n v="1229"/>
    <d v="2017-03-14T00:00:00"/>
    <x v="499"/>
    <x v="2"/>
    <s v="Casa"/>
    <n v="72"/>
    <s v="Alquiler"/>
    <n v="17148.72"/>
    <n v="488128"/>
    <n v="390502.40000000002"/>
    <n v="80476.879999999976"/>
    <s v="Ángeles"/>
    <n v="3.6"/>
  </r>
  <r>
    <n v="1230"/>
    <d v="2017-03-15T00:00:00"/>
    <x v="463"/>
    <x v="3"/>
    <s v="Casa"/>
    <n v="262"/>
    <s v="Venta"/>
    <n v="95763.8"/>
    <n v="2459205"/>
    <n v="1967364"/>
    <n v="396077.2"/>
    <s v="Romina"/>
    <n v="5"/>
  </r>
  <r>
    <n v="1231"/>
    <d v="2017-03-16T00:00:00"/>
    <x v="417"/>
    <x v="1"/>
    <s v="Oficinas"/>
    <n v="125"/>
    <s v="Venta"/>
    <n v="50575.199999999997"/>
    <n v="1329465"/>
    <n v="1063572"/>
    <n v="215317.8"/>
    <s v="Sabrina"/>
    <n v="4.8"/>
  </r>
  <r>
    <n v="1232"/>
    <d v="2017-03-16T00:00:00"/>
    <x v="502"/>
    <x v="2"/>
    <s v="Estacionamiento"/>
    <n v="134"/>
    <s v="Venta"/>
    <n v="37258.120000000003"/>
    <n v="986063"/>
    <n v="788850.4"/>
    <n v="159954.47999999998"/>
    <s v="Ángeles"/>
    <n v="4.8"/>
  </r>
  <r>
    <n v="1233"/>
    <d v="2017-03-17T00:00:00"/>
    <x v="421"/>
    <x v="1"/>
    <s v="Terreno"/>
    <n v="84"/>
    <s v="Venta"/>
    <n v="31762.04"/>
    <n v="857261"/>
    <n v="685808.8"/>
    <n v="139690.15999999995"/>
    <s v="Romina"/>
    <n v="4.9000000000000004"/>
  </r>
  <r>
    <n v="1234"/>
    <d v="2017-03-17T00:00:00"/>
    <x v="368"/>
    <x v="0"/>
    <s v="Departamento"/>
    <n v="109"/>
    <s v="Venta"/>
    <n v="32977.519999999997"/>
    <n v="885373"/>
    <n v="708298.4"/>
    <n v="144097.07999999999"/>
    <s v="Iván"/>
    <n v="3.7"/>
  </r>
  <r>
    <n v="1235"/>
    <d v="2017-03-18T00:00:00"/>
    <x v="270"/>
    <x v="2"/>
    <s v="Estacionamiento"/>
    <n v="226"/>
    <s v="Venta"/>
    <n v="65744.92"/>
    <n v="1709658"/>
    <n v="1367726.4"/>
    <n v="276186.68000000011"/>
    <s v="Carlos"/>
    <n v="4"/>
  </r>
  <r>
    <n v="1236"/>
    <d v="2017-03-18T00:00:00"/>
    <x v="497"/>
    <x v="1"/>
    <s v="Terreno"/>
    <n v="111"/>
    <s v="Venta"/>
    <n v="33008.28"/>
    <n v="877717"/>
    <n v="702173.6"/>
    <n v="142535.12000000002"/>
    <s v="Ángeles"/>
    <n v="4.4000000000000004"/>
  </r>
  <r>
    <n v="1237"/>
    <d v="2017-03-19T00:00:00"/>
    <x v="518"/>
    <x v="2"/>
    <s v="Depósito"/>
    <n v="51"/>
    <s v="Alquiler"/>
    <n v="13943.6"/>
    <n v="412575"/>
    <n v="330060"/>
    <n v="68571.399999999994"/>
    <s v="Carlos"/>
    <n v="4.5999999999999996"/>
  </r>
  <r>
    <n v="1238"/>
    <d v="2017-03-19T00:00:00"/>
    <x v="324"/>
    <x v="1"/>
    <s v="Oficinas"/>
    <n v="188"/>
    <s v="Venta"/>
    <n v="31819.32"/>
    <n v="857093"/>
    <n v="685674.4"/>
    <n v="139599.27999999997"/>
    <s v="Sabrina"/>
    <n v="3.7"/>
  </r>
  <r>
    <n v="1239"/>
    <d v="2017-03-19T00:00:00"/>
    <x v="375"/>
    <x v="2"/>
    <s v="Terreno"/>
    <n v="142"/>
    <s v="Venta"/>
    <n v="32611.599999999999"/>
    <n v="876100"/>
    <n v="700880"/>
    <n v="142608.4"/>
    <s v="Ángeles"/>
    <n v="3.6"/>
  </r>
  <r>
    <n v="1240"/>
    <d v="2017-03-19T00:00:00"/>
    <x v="293"/>
    <x v="1"/>
    <s v="Oficinas"/>
    <n v="280"/>
    <s v="Venta"/>
    <n v="101761.4"/>
    <n v="2598920"/>
    <n v="2079136"/>
    <n v="418022.6"/>
    <s v="Romina"/>
    <n v="4.3"/>
  </r>
  <r>
    <n v="1241"/>
    <d v="2017-03-19T00:00:00"/>
    <x v="469"/>
    <x v="1"/>
    <s v="Local Comercial"/>
    <n v="83"/>
    <s v="Alquiler"/>
    <n v="24372.32"/>
    <n v="667093"/>
    <n v="533674.4"/>
    <n v="109046.27999999997"/>
    <s v="Carlos"/>
    <n v="4.2"/>
  </r>
  <r>
    <n v="1242"/>
    <d v="2017-03-20T00:00:00"/>
    <x v="519"/>
    <x v="0"/>
    <s v="Oficinas"/>
    <n v="93"/>
    <s v="Alquiler"/>
    <n v="18230"/>
    <n v="520685"/>
    <n v="416548"/>
    <n v="85907"/>
    <s v="Arturo"/>
    <n v="3.7"/>
  </r>
  <r>
    <n v="1243"/>
    <d v="2017-03-20T00:00:00"/>
    <x v="443"/>
    <x v="3"/>
    <s v="Local Comercial"/>
    <n v="46"/>
    <s v="Alquiler"/>
    <n v="9819.64"/>
    <n v="306001"/>
    <n v="244800.8"/>
    <n v="51380.560000000012"/>
    <s v="Romina"/>
    <n v="4.8"/>
  </r>
  <r>
    <n v="1244"/>
    <d v="2017-03-20T00:00:00"/>
    <x v="411"/>
    <x v="1"/>
    <s v="Departamento"/>
    <n v="270"/>
    <s v="Venta"/>
    <n v="44909.72"/>
    <n v="1189203"/>
    <n v="951362.4"/>
    <n v="192930.87999999998"/>
    <s v="Arturo"/>
    <n v="4"/>
  </r>
  <r>
    <n v="1245"/>
    <d v="2017-03-20T00:00:00"/>
    <x v="520"/>
    <x v="2"/>
    <s v="Local Comercial"/>
    <n v="273"/>
    <s v="Venta"/>
    <n v="57944.12"/>
    <n v="1513913"/>
    <n v="1211130.3999999999"/>
    <n v="244838.4800000001"/>
    <s v="Ángeles"/>
    <n v="3.7"/>
  </r>
  <r>
    <n v="1246"/>
    <d v="2017-03-21T00:00:00"/>
    <x v="396"/>
    <x v="0"/>
    <s v="Local Comercial"/>
    <n v="64"/>
    <s v="Alquiler"/>
    <n v="13550.28"/>
    <n v="403617"/>
    <n v="322893.59999999998"/>
    <n v="67173.120000000024"/>
    <s v="Carlos"/>
    <n v="4.0999999999999996"/>
  </r>
  <r>
    <n v="1247"/>
    <d v="2017-03-22T00:00:00"/>
    <x v="521"/>
    <x v="3"/>
    <s v="Local Comercial"/>
    <n v="263"/>
    <s v="Venta"/>
    <n v="61457.36"/>
    <n v="1594369"/>
    <n v="1275495.2"/>
    <n v="257416.44000000006"/>
    <s v="Sabrina"/>
    <n v="4.8"/>
  </r>
  <r>
    <n v="1248"/>
    <d v="2017-03-22T00:00:00"/>
    <x v="476"/>
    <x v="1"/>
    <s v="Oficinas"/>
    <n v="179"/>
    <s v="Venta"/>
    <n v="33059.279999999999"/>
    <n v="887517"/>
    <n v="710013.6"/>
    <n v="144444.12000000002"/>
    <s v="Romina"/>
    <n v="4.5"/>
  </r>
  <r>
    <n v="1249"/>
    <d v="2017-03-22T00:00:00"/>
    <x v="337"/>
    <x v="2"/>
    <s v="Local Comercial"/>
    <n v="92"/>
    <s v="Alquiler"/>
    <n v="19089.919999999998"/>
    <n v="536633"/>
    <n v="429306.4"/>
    <n v="88236.679999999978"/>
    <s v="Carlos"/>
    <n v="4.3"/>
  </r>
  <r>
    <n v="1250"/>
    <d v="2017-03-23T00:00:00"/>
    <x v="485"/>
    <x v="1"/>
    <s v="Depósito"/>
    <n v="156"/>
    <s v="Venta"/>
    <n v="53816.72"/>
    <n v="1399328"/>
    <n v="1119462.3999999999"/>
    <n v="226048.88000000009"/>
    <s v="Sabrina"/>
    <n v="4"/>
  </r>
  <r>
    <n v="1251"/>
    <d v="2017-03-23T00:00:00"/>
    <x v="270"/>
    <x v="0"/>
    <s v="Departamento"/>
    <n v="145"/>
    <s v="Alquiler"/>
    <n v="28201"/>
    <n v="766835"/>
    <n v="613468"/>
    <n v="125166"/>
    <s v="Romina"/>
    <n v="3.6"/>
  </r>
  <r>
    <n v="1252"/>
    <d v="2017-03-23T00:00:00"/>
    <x v="522"/>
    <x v="0"/>
    <s v="Oficinas"/>
    <n v="122"/>
    <s v="Venta"/>
    <n v="33551.440000000002"/>
    <n v="904121"/>
    <n v="723296.8"/>
    <n v="147272.75999999995"/>
    <s v="Sabrina"/>
    <n v="4.4000000000000004"/>
  </r>
  <r>
    <n v="1253"/>
    <d v="2017-03-23T00:00:00"/>
    <x v="478"/>
    <x v="2"/>
    <s v="Local Comercial"/>
    <n v="65"/>
    <s v="Alquiler"/>
    <n v="17194"/>
    <n v="496210"/>
    <n v="396968"/>
    <n v="82048"/>
    <s v="Carlos"/>
    <n v="3.8"/>
  </r>
  <r>
    <n v="1254"/>
    <d v="2017-03-24T00:00:00"/>
    <x v="506"/>
    <x v="0"/>
    <s v="Oficinas"/>
    <n v="122"/>
    <s v="Alquiler"/>
    <n v="29115.360000000001"/>
    <n v="794294"/>
    <n v="635435.19999999995"/>
    <n v="129743.44000000005"/>
    <s v="Sabrina"/>
    <n v="3.9"/>
  </r>
  <r>
    <n v="1255"/>
    <d v="2017-03-24T00:00:00"/>
    <x v="455"/>
    <x v="2"/>
    <s v="Terreno"/>
    <n v="33"/>
    <s v="Alquiler"/>
    <n v="13269.4"/>
    <n v="390845"/>
    <n v="312676"/>
    <n v="64899.6"/>
    <s v="Romina"/>
    <n v="5"/>
  </r>
  <r>
    <n v="1256"/>
    <d v="2017-03-24T00:00:00"/>
    <x v="440"/>
    <x v="0"/>
    <s v="Depósito"/>
    <n v="162"/>
    <s v="Venta"/>
    <n v="64087.68"/>
    <n v="1656677"/>
    <n v="1325341.6000000001"/>
    <n v="267247.71999999991"/>
    <s v="Ángeles"/>
    <n v="4.9000000000000004"/>
  </r>
  <r>
    <n v="1257"/>
    <d v="2017-03-25T00:00:00"/>
    <x v="518"/>
    <x v="3"/>
    <s v="Casa"/>
    <n v="112"/>
    <s v="Venta"/>
    <n v="45180"/>
    <n v="1186010"/>
    <n v="948808"/>
    <n v="192022"/>
    <s v="Arturo"/>
    <n v="3.6"/>
  </r>
  <r>
    <n v="1258"/>
    <d v="2017-03-25T00:00:00"/>
    <x v="523"/>
    <x v="0"/>
    <s v="Depósito"/>
    <n v="235"/>
    <s v="Venta"/>
    <n v="48815.48"/>
    <n v="1285347"/>
    <n v="1028277.6"/>
    <n v="208253.92"/>
    <s v="Iván"/>
    <n v="4.9000000000000004"/>
  </r>
  <r>
    <n v="1259"/>
    <d v="2017-03-25T00:00:00"/>
    <x v="524"/>
    <x v="3"/>
    <s v="Terreno"/>
    <n v="173"/>
    <s v="Venta"/>
    <n v="58682.400000000001"/>
    <n v="1531745"/>
    <n v="1225396"/>
    <n v="247666.6"/>
    <s v="Sabrina"/>
    <n v="4.5999999999999996"/>
  </r>
  <r>
    <n v="1260"/>
    <d v="2017-03-26T00:00:00"/>
    <x v="525"/>
    <x v="1"/>
    <s v="Depósito"/>
    <n v="87"/>
    <s v="Alquiler"/>
    <n v="18623.96"/>
    <n v="522334"/>
    <n v="417867.2"/>
    <n v="85842.84"/>
    <s v="Arturo"/>
    <n v="4.7"/>
  </r>
  <r>
    <n v="1261"/>
    <d v="2017-03-26T00:00:00"/>
    <x v="486"/>
    <x v="3"/>
    <s v="Estacionamiento"/>
    <n v="180"/>
    <s v="Venta"/>
    <n v="46749.2"/>
    <n v="1231415"/>
    <n v="985132"/>
    <n v="199533.8"/>
    <s v="Iván"/>
    <n v="3.8"/>
  </r>
  <r>
    <n v="1262"/>
    <d v="2017-03-26T00:00:00"/>
    <x v="369"/>
    <x v="3"/>
    <s v="Local Comercial"/>
    <n v="63"/>
    <s v="Alquiler"/>
    <n v="19995.84"/>
    <n v="561581"/>
    <n v="449264.8"/>
    <n v="92320.360000000015"/>
    <s v="Carlos"/>
    <n v="4.4000000000000004"/>
  </r>
  <r>
    <n v="1263"/>
    <d v="2017-03-27T00:00:00"/>
    <x v="526"/>
    <x v="1"/>
    <s v="Oficinas"/>
    <n v="192"/>
    <s v="Venta"/>
    <n v="33036.559999999998"/>
    <n v="885949"/>
    <n v="708759.2"/>
    <n v="144153.24000000005"/>
    <s v="Iván"/>
    <n v="3.9"/>
  </r>
  <r>
    <n v="1264"/>
    <d v="2017-03-28T00:00:00"/>
    <x v="441"/>
    <x v="2"/>
    <s v="Estacionamiento"/>
    <n v="180"/>
    <s v="Venta"/>
    <n v="73015.960000000006"/>
    <n v="1879559"/>
    <n v="1503647.2"/>
    <n v="302895.84000000003"/>
    <s v="Arturo"/>
    <n v="4.5"/>
  </r>
  <r>
    <n v="1265"/>
    <d v="2017-03-28T00:00:00"/>
    <x v="391"/>
    <x v="2"/>
    <s v="Terreno"/>
    <n v="63"/>
    <s v="Alquiler"/>
    <n v="24273.84"/>
    <n v="663806"/>
    <n v="531044.80000000005"/>
    <n v="108487.35999999996"/>
    <s v="Carlos"/>
    <n v="4"/>
  </r>
  <r>
    <n v="1266"/>
    <d v="2017-03-28T00:00:00"/>
    <x v="525"/>
    <x v="0"/>
    <s v="Depósito"/>
    <n v="52"/>
    <s v="Alquiler"/>
    <n v="13528.44"/>
    <n v="399746"/>
    <n v="319796.8"/>
    <n v="66420.760000000009"/>
    <s v="Carlos"/>
    <n v="4.3"/>
  </r>
  <r>
    <n v="1267"/>
    <d v="2017-03-29T00:00:00"/>
    <x v="527"/>
    <x v="0"/>
    <s v="Estacionamiento"/>
    <n v="33"/>
    <s v="Alquiler"/>
    <n v="12909.8"/>
    <n v="386205"/>
    <n v="308964"/>
    <n v="64331.199999999997"/>
    <s v="Sabrina"/>
    <n v="4.5"/>
  </r>
  <r>
    <n v="1268"/>
    <d v="2017-03-30T00:00:00"/>
    <x v="528"/>
    <x v="0"/>
    <s v="Depósito"/>
    <n v="163"/>
    <s v="Venta"/>
    <n v="46891.76"/>
    <n v="1227529"/>
    <n v="982023.2"/>
    <n v="198614.04000000004"/>
    <s v="Carlos"/>
    <n v="4.5999999999999996"/>
  </r>
  <r>
    <n v="1269"/>
    <d v="2017-03-30T00:00:00"/>
    <x v="529"/>
    <x v="1"/>
    <s v="Casa"/>
    <n v="134"/>
    <s v="Venta"/>
    <n v="51211.519999999997"/>
    <n v="1344173"/>
    <n v="1075338.3999999999"/>
    <n v="217623.0800000001"/>
    <s v="Ángeles"/>
    <n v="3.6"/>
  </r>
  <r>
    <n v="1270"/>
    <d v="2017-03-30T00:00:00"/>
    <x v="530"/>
    <x v="0"/>
    <s v="Oficinas"/>
    <n v="84"/>
    <s v="Alquiler"/>
    <n v="20348.36"/>
    <n v="568269"/>
    <n v="454615.2"/>
    <n v="93305.439999999988"/>
    <s v="Carlos"/>
    <n v="5"/>
  </r>
  <r>
    <n v="1271"/>
    <d v="2017-03-30T00:00:00"/>
    <x v="391"/>
    <x v="3"/>
    <s v="Terreno"/>
    <n v="192"/>
    <s v="Venta"/>
    <n v="68467.039999999994"/>
    <n v="1767361"/>
    <n v="1413888.8"/>
    <n v="285005.15999999997"/>
    <s v="Sabrina"/>
    <n v="4.4000000000000004"/>
  </r>
  <r>
    <n v="1272"/>
    <d v="2017-03-30T00:00:00"/>
    <x v="395"/>
    <x v="3"/>
    <s v="Estacionamiento"/>
    <n v="211"/>
    <s v="Venta"/>
    <n v="58840.36"/>
    <n v="1537469"/>
    <n v="1229975.2"/>
    <n v="248653.44000000006"/>
    <s v="Carlos"/>
    <n v="3.7"/>
  </r>
  <r>
    <n v="1273"/>
    <d v="2017-03-31T00:00:00"/>
    <x v="531"/>
    <x v="3"/>
    <s v="Depósito"/>
    <n v="278"/>
    <s v="Venta"/>
    <n v="62885.32"/>
    <n v="1635718"/>
    <n v="1308574.3999999999"/>
    <n v="264258.28000000009"/>
    <s v="Arturo"/>
    <n v="3.7"/>
  </r>
  <r>
    <n v="1274"/>
    <d v="2017-03-31T00:00:00"/>
    <x v="354"/>
    <x v="2"/>
    <s v="Depósito"/>
    <n v="185"/>
    <s v="Venta"/>
    <n v="72227.839999999997"/>
    <n v="1858256"/>
    <n v="1486604.8"/>
    <n v="299423.35999999999"/>
    <s v="Arturo"/>
    <n v="4.9000000000000004"/>
  </r>
  <r>
    <n v="1275"/>
    <d v="2017-04-01T00:00:00"/>
    <x v="451"/>
    <x v="2"/>
    <s v="Oficinas"/>
    <n v="273"/>
    <s v="Venta"/>
    <n v="69541.2"/>
    <n v="1790665"/>
    <n v="1432532"/>
    <n v="288591.8"/>
    <s v="Sabrina"/>
    <n v="4.5999999999999996"/>
  </r>
  <r>
    <n v="1276"/>
    <d v="2017-04-02T00:00:00"/>
    <x v="448"/>
    <x v="2"/>
    <s v="Local Comercial"/>
    <n v="217"/>
    <s v="Venta"/>
    <n v="63925.8"/>
    <n v="1653755"/>
    <n v="1323004"/>
    <n v="266825.2"/>
    <s v="Sabrina"/>
    <n v="4.2"/>
  </r>
  <r>
    <n v="1277"/>
    <d v="2017-04-02T00:00:00"/>
    <x v="482"/>
    <x v="2"/>
    <s v="Departamento"/>
    <n v="280"/>
    <s v="Venta"/>
    <n v="88533.6"/>
    <n v="2269175"/>
    <n v="1815340"/>
    <n v="365301.4"/>
    <s v="Ángeles"/>
    <n v="4.8"/>
  </r>
  <r>
    <n v="1278"/>
    <d v="2017-04-02T00:00:00"/>
    <x v="532"/>
    <x v="2"/>
    <s v="Departamento"/>
    <n v="126"/>
    <s v="Venta"/>
    <n v="40977.120000000003"/>
    <n v="1076513"/>
    <n v="861210.4"/>
    <n v="174325.47999999998"/>
    <s v="Ángeles"/>
    <n v="3.7"/>
  </r>
  <r>
    <n v="1279"/>
    <d v="2017-04-02T00:00:00"/>
    <x v="525"/>
    <x v="2"/>
    <s v="Terreno"/>
    <n v="117"/>
    <s v="Venta"/>
    <n v="31089.360000000001"/>
    <n v="841369"/>
    <n v="673095.2"/>
    <n v="137184.44000000006"/>
    <s v="Romina"/>
    <n v="4.0999999999999996"/>
  </r>
  <r>
    <n v="1280"/>
    <d v="2017-04-03T00:00:00"/>
    <x v="371"/>
    <x v="1"/>
    <s v="Casa"/>
    <n v="281"/>
    <s v="Venta"/>
    <n v="76491"/>
    <n v="1974485"/>
    <n v="1579588"/>
    <n v="318406"/>
    <s v="Carlos"/>
    <n v="3.8"/>
  </r>
  <r>
    <n v="1281"/>
    <d v="2017-04-04T00:00:00"/>
    <x v="468"/>
    <x v="2"/>
    <s v="Terreno"/>
    <n v="171"/>
    <s v="Venta"/>
    <n v="39143.32"/>
    <n v="1041093"/>
    <n v="832874.4"/>
    <n v="169075.27999999997"/>
    <s v="Iván"/>
    <n v="4.4000000000000004"/>
  </r>
  <r>
    <n v="1282"/>
    <d v="2017-04-04T00:00:00"/>
    <x v="390"/>
    <x v="0"/>
    <s v="Oficinas"/>
    <n v="97"/>
    <s v="Alquiler"/>
    <n v="19810.560000000001"/>
    <n v="557399"/>
    <n v="445919.2"/>
    <n v="91669.239999999991"/>
    <s v="Iván"/>
    <n v="5"/>
  </r>
  <r>
    <n v="1283"/>
    <d v="2017-04-04T00:00:00"/>
    <x v="412"/>
    <x v="2"/>
    <s v="Departamento"/>
    <n v="176"/>
    <s v="Venta"/>
    <n v="31331.4"/>
    <n v="849145"/>
    <n v="679316"/>
    <n v="138497.60000000001"/>
    <s v="Iván"/>
    <n v="4.9000000000000004"/>
  </r>
  <r>
    <n v="1284"/>
    <d v="2017-04-05T00:00:00"/>
    <x v="382"/>
    <x v="0"/>
    <s v="Casa"/>
    <n v="72"/>
    <s v="Alquiler"/>
    <n v="15000"/>
    <n v="437360"/>
    <n v="349888"/>
    <n v="72472"/>
    <s v="Carlos"/>
    <n v="4"/>
  </r>
  <r>
    <n v="1285"/>
    <d v="2017-04-05T00:00:00"/>
    <x v="382"/>
    <x v="0"/>
    <s v="Estacionamiento"/>
    <n v="65"/>
    <s v="Alquiler"/>
    <n v="26411.759999999998"/>
    <n v="718829"/>
    <n v="575063.19999999995"/>
    <n v="117354.04000000005"/>
    <s v="Arturo"/>
    <n v="3.7"/>
  </r>
  <r>
    <n v="1286"/>
    <d v="2017-04-05T00:00:00"/>
    <x v="364"/>
    <x v="2"/>
    <s v="Depósito"/>
    <n v="291"/>
    <s v="Venta"/>
    <n v="114033.48"/>
    <n v="2908772"/>
    <n v="2327017.6"/>
    <n v="467720.91999999993"/>
    <s v="Sabrina"/>
    <n v="4.5"/>
  </r>
  <r>
    <n v="1287"/>
    <d v="2017-04-05T00:00:00"/>
    <x v="414"/>
    <x v="0"/>
    <s v="Estacionamiento"/>
    <n v="190"/>
    <s v="Venta"/>
    <n v="63412.36"/>
    <n v="1648819"/>
    <n v="1319055.2"/>
    <n v="266351.44000000006"/>
    <s v="Iván"/>
    <n v="3.8"/>
  </r>
  <r>
    <n v="1288"/>
    <d v="2017-04-05T00:00:00"/>
    <x v="468"/>
    <x v="2"/>
    <s v="Casa"/>
    <n v="240"/>
    <s v="Venta"/>
    <n v="95576.92"/>
    <n v="2450133"/>
    <n v="1960106.4"/>
    <n v="394449.68000000011"/>
    <s v="Ángeles"/>
    <n v="4.9000000000000004"/>
  </r>
  <r>
    <n v="1289"/>
    <d v="2017-04-05T00:00:00"/>
    <x v="489"/>
    <x v="3"/>
    <s v="Terreno"/>
    <n v="253"/>
    <s v="Venta"/>
    <n v="73563.28"/>
    <n v="1894292"/>
    <n v="1515433.6"/>
    <n v="305295.11999999988"/>
    <s v="Sabrina"/>
    <n v="3.7"/>
  </r>
  <r>
    <n v="1290"/>
    <d v="2017-04-05T00:00:00"/>
    <x v="450"/>
    <x v="2"/>
    <s v="Casa"/>
    <n v="172"/>
    <s v="Venta"/>
    <n v="61521"/>
    <n v="1596610"/>
    <n v="1277288"/>
    <n v="257801"/>
    <s v="Sabrina"/>
    <n v="4.5999999999999996"/>
  </r>
  <r>
    <n v="1291"/>
    <d v="2017-04-06T00:00:00"/>
    <x v="442"/>
    <x v="3"/>
    <s v="Local Comercial"/>
    <n v="124"/>
    <s v="Venta"/>
    <n v="50144.800000000003"/>
    <n v="1309805"/>
    <n v="1047844"/>
    <n v="211816.2"/>
    <s v="Carlos"/>
    <n v="3.9"/>
  </r>
  <r>
    <n v="1292"/>
    <d v="2017-04-06T00:00:00"/>
    <x v="374"/>
    <x v="0"/>
    <s v="Casa"/>
    <n v="164"/>
    <s v="Venta"/>
    <n v="61457.8"/>
    <n v="1603205"/>
    <n v="1282564"/>
    <n v="259183.2"/>
    <s v="Arturo"/>
    <n v="4.8"/>
  </r>
  <r>
    <n v="1293"/>
    <d v="2017-04-06T00:00:00"/>
    <x v="442"/>
    <x v="1"/>
    <s v="Departamento"/>
    <n v="224"/>
    <s v="Venta"/>
    <n v="71237"/>
    <n v="1843135"/>
    <n v="1474508"/>
    <n v="297390"/>
    <s v="Arturo"/>
    <n v="4.9000000000000004"/>
  </r>
  <r>
    <n v="1294"/>
    <d v="2017-04-07T00:00:00"/>
    <x v="533"/>
    <x v="1"/>
    <s v="Oficinas"/>
    <n v="96"/>
    <s v="Alquiler"/>
    <n v="18601.72"/>
    <n v="516803"/>
    <n v="413442.4"/>
    <n v="84758.879999999976"/>
    <s v="Carlos"/>
    <n v="4.5"/>
  </r>
  <r>
    <n v="1295"/>
    <d v="2017-04-07T00:00:00"/>
    <x v="534"/>
    <x v="1"/>
    <s v="Oficinas"/>
    <n v="209"/>
    <s v="Venta"/>
    <n v="35376.120000000003"/>
    <n v="935713"/>
    <n v="748570.4"/>
    <n v="151766.47999999998"/>
    <s v="Sabrina"/>
    <n v="3.9"/>
  </r>
  <r>
    <n v="1296"/>
    <d v="2017-04-07T00:00:00"/>
    <x v="396"/>
    <x v="3"/>
    <s v="Oficinas"/>
    <n v="85"/>
    <s v="Alquiler"/>
    <n v="27827.88"/>
    <n v="752757"/>
    <n v="602205.6"/>
    <n v="122723.52000000002"/>
    <s v="Romina"/>
    <n v="4.2"/>
  </r>
  <r>
    <n v="1297"/>
    <d v="2017-04-07T00:00:00"/>
    <x v="356"/>
    <x v="3"/>
    <s v="Departamento"/>
    <n v="226"/>
    <s v="Venta"/>
    <n v="68958"/>
    <n v="1787935"/>
    <n v="1430348"/>
    <n v="288629"/>
    <s v="Iván"/>
    <n v="5"/>
  </r>
  <r>
    <n v="1298"/>
    <d v="2017-04-08T00:00:00"/>
    <x v="535"/>
    <x v="0"/>
    <s v="Depósito"/>
    <n v="245"/>
    <s v="Venta"/>
    <n v="46269.52"/>
    <n v="1215973"/>
    <n v="972778.4"/>
    <n v="196925.08"/>
    <s v="Iván"/>
    <n v="4.5"/>
  </r>
  <r>
    <n v="1299"/>
    <d v="2017-04-09T00:00:00"/>
    <x v="536"/>
    <x v="0"/>
    <s v="Departamento"/>
    <n v="283"/>
    <s v="Venta"/>
    <n v="67159.600000000006"/>
    <n v="1739075"/>
    <n v="1391260"/>
    <n v="280655.40000000002"/>
    <s v="Arturo"/>
    <n v="4.7"/>
  </r>
  <r>
    <n v="1300"/>
    <d v="2017-04-09T00:00:00"/>
    <x v="337"/>
    <x v="1"/>
    <s v="Terreno"/>
    <n v="68"/>
    <s v="Alquiler"/>
    <n v="11683.08"/>
    <n v="346187"/>
    <n v="276949.59999999998"/>
    <n v="57554.320000000022"/>
    <s v="Romina"/>
    <n v="4.5"/>
  </r>
  <r>
    <n v="1301"/>
    <d v="2017-04-10T00:00:00"/>
    <x v="496"/>
    <x v="1"/>
    <s v="Departamento"/>
    <n v="296"/>
    <s v="Venta"/>
    <n v="100603.36"/>
    <n v="2567819"/>
    <n v="2054255.2"/>
    <n v="412960.44000000006"/>
    <s v="Romina"/>
    <n v="4.2"/>
  </r>
  <r>
    <n v="1302"/>
    <d v="2017-04-11T00:00:00"/>
    <x v="532"/>
    <x v="2"/>
    <s v="Depósito"/>
    <n v="281"/>
    <s v="Venta"/>
    <n v="93917.68"/>
    <n v="2407877"/>
    <n v="1926301.6"/>
    <n v="387657.71999999991"/>
    <s v="Sabrina"/>
    <n v="4.4000000000000004"/>
  </r>
  <r>
    <n v="1303"/>
    <d v="2017-04-11T00:00:00"/>
    <x v="537"/>
    <x v="0"/>
    <s v="Depósito"/>
    <n v="126"/>
    <s v="Alquiler"/>
    <n v="25244.799999999999"/>
    <n v="693505"/>
    <n v="554804"/>
    <n v="113456.2"/>
    <s v="Arturo"/>
    <n v="4.8"/>
  </r>
  <r>
    <n v="1304"/>
    <d v="2017-04-13T00:00:00"/>
    <x v="538"/>
    <x v="3"/>
    <s v="Oficinas"/>
    <n v="99"/>
    <s v="Alquiler"/>
    <n v="24285"/>
    <n v="663785"/>
    <n v="531028"/>
    <n v="108472"/>
    <s v="Arturo"/>
    <n v="4"/>
  </r>
  <r>
    <n v="1305"/>
    <d v="2017-04-14T00:00:00"/>
    <x v="358"/>
    <x v="1"/>
    <s v="Local Comercial"/>
    <n v="84"/>
    <s v="Venta"/>
    <n v="30120.639999999999"/>
    <n v="814626"/>
    <n v="651700.80000000005"/>
    <n v="132804.55999999994"/>
    <s v="Iván"/>
    <n v="4.3"/>
  </r>
  <r>
    <n v="1306"/>
    <d v="2017-04-14T00:00:00"/>
    <x v="382"/>
    <x v="3"/>
    <s v="Depósito"/>
    <n v="269"/>
    <s v="Venta"/>
    <n v="88444.479999999996"/>
    <n v="2266297"/>
    <n v="1813037.6"/>
    <n v="364814.91999999993"/>
    <s v="Ángeles"/>
    <n v="4"/>
  </r>
  <r>
    <n v="1307"/>
    <d v="2017-04-15T00:00:00"/>
    <x v="305"/>
    <x v="0"/>
    <s v="Oficinas"/>
    <n v="258"/>
    <s v="Venta"/>
    <n v="102515.48"/>
    <n v="2625797"/>
    <n v="2100637.6"/>
    <n v="422643.91999999993"/>
    <s v="Arturo"/>
    <n v="3.8"/>
  </r>
  <r>
    <n v="1308"/>
    <d v="2017-04-15T00:00:00"/>
    <x v="497"/>
    <x v="3"/>
    <s v="Casa"/>
    <n v="144"/>
    <s v="Venta"/>
    <n v="39598.28"/>
    <n v="1041192"/>
    <n v="832953.6"/>
    <n v="168640.12000000002"/>
    <s v="Carlos"/>
    <n v="4.8"/>
  </r>
  <r>
    <n v="1309"/>
    <d v="2017-04-15T00:00:00"/>
    <x v="364"/>
    <x v="2"/>
    <s v="Casa"/>
    <n v="93"/>
    <s v="Alquiler"/>
    <n v="22071"/>
    <n v="610685"/>
    <n v="488548"/>
    <n v="100066"/>
    <s v="Arturo"/>
    <n v="5"/>
  </r>
  <r>
    <n v="1310"/>
    <d v="2017-04-15T00:00:00"/>
    <x v="527"/>
    <x v="3"/>
    <s v="Estacionamiento"/>
    <n v="264"/>
    <s v="Venta"/>
    <n v="60062.12"/>
    <n v="1554113"/>
    <n v="1243290.3999999999"/>
    <n v="250760.4800000001"/>
    <s v="Romina"/>
    <n v="5"/>
  </r>
  <r>
    <n v="1311"/>
    <d v="2017-04-15T00:00:00"/>
    <x v="332"/>
    <x v="1"/>
    <s v="Local Comercial"/>
    <n v="179"/>
    <s v="Venta"/>
    <n v="41624.199999999997"/>
    <n v="1096165"/>
    <n v="876932"/>
    <n v="177608.8"/>
    <s v="Arturo"/>
    <n v="4.8"/>
  </r>
  <r>
    <n v="1312"/>
    <d v="2017-04-16T00:00:00"/>
    <x v="417"/>
    <x v="0"/>
    <s v="Estacionamiento"/>
    <n v="174"/>
    <s v="Venta"/>
    <n v="59828.2"/>
    <n v="1560365"/>
    <n v="1248292"/>
    <n v="252244.8"/>
    <s v="Iván"/>
    <n v="4.0999999999999996"/>
  </r>
  <r>
    <n v="1313"/>
    <d v="2017-04-16T00:00:00"/>
    <x v="375"/>
    <x v="1"/>
    <s v="Terreno"/>
    <n v="158"/>
    <s v="Venta"/>
    <n v="35861.800000000003"/>
    <n v="957680"/>
    <n v="766144"/>
    <n v="155674.20000000001"/>
    <s v="Sabrina"/>
    <n v="4.5999999999999996"/>
  </r>
  <r>
    <n v="1314"/>
    <d v="2017-04-17T00:00:00"/>
    <x v="494"/>
    <x v="0"/>
    <s v="Estacionamiento"/>
    <n v="139"/>
    <s v="Venta"/>
    <n v="47200.56"/>
    <n v="1242349"/>
    <n v="993879.2"/>
    <n v="201269.24000000005"/>
    <s v="Sabrina"/>
    <n v="4.8"/>
  </r>
  <r>
    <n v="1315"/>
    <d v="2017-04-17T00:00:00"/>
    <x v="491"/>
    <x v="1"/>
    <s v="Local Comercial"/>
    <n v="112"/>
    <s v="Venta"/>
    <n v="40372.639999999999"/>
    <n v="1071901"/>
    <n v="857520.8"/>
    <n v="174007.55999999994"/>
    <s v="Ángeles"/>
    <n v="4.3"/>
  </r>
  <r>
    <n v="1316"/>
    <d v="2017-04-17T00:00:00"/>
    <x v="385"/>
    <x v="2"/>
    <s v="Local Comercial"/>
    <n v="219"/>
    <s v="Venta"/>
    <n v="70918.759999999995"/>
    <n v="1832304"/>
    <n v="1465843.2"/>
    <n v="295542.04000000004"/>
    <s v="Sabrina"/>
    <n v="3.8"/>
  </r>
  <r>
    <n v="1317"/>
    <d v="2017-04-17T00:00:00"/>
    <x v="533"/>
    <x v="1"/>
    <s v="Estacionamiento"/>
    <n v="90"/>
    <s v="Alquiler"/>
    <n v="14122.96"/>
    <n v="412484"/>
    <n v="329987.20000000001"/>
    <n v="68373.84"/>
    <s v="Arturo"/>
    <n v="3.6"/>
  </r>
  <r>
    <n v="1318"/>
    <d v="2017-04-17T00:00:00"/>
    <x v="539"/>
    <x v="1"/>
    <s v="Estacionamiento"/>
    <n v="270"/>
    <s v="Venta"/>
    <n v="60915"/>
    <n v="1580335"/>
    <n v="1264268"/>
    <n v="255152"/>
    <s v="Ángeles"/>
    <n v="3.7"/>
  </r>
  <r>
    <n v="1319"/>
    <d v="2017-04-18T00:00:00"/>
    <x v="540"/>
    <x v="1"/>
    <s v="Oficinas"/>
    <n v="276"/>
    <s v="Venta"/>
    <n v="68508.52"/>
    <n v="1764073"/>
    <n v="1411258.4"/>
    <n v="284306.08000000007"/>
    <s v="Sabrina"/>
    <n v="4.0999999999999996"/>
  </r>
  <r>
    <n v="1320"/>
    <d v="2017-04-18T00:00:00"/>
    <x v="540"/>
    <x v="0"/>
    <s v="Oficinas"/>
    <n v="159"/>
    <s v="Venta"/>
    <n v="32899.360000000001"/>
    <n v="877969"/>
    <n v="702375.2"/>
    <n v="142694.44000000006"/>
    <s v="Ángeles"/>
    <n v="4.9000000000000004"/>
  </r>
  <r>
    <n v="1321"/>
    <d v="2017-04-18T00:00:00"/>
    <x v="450"/>
    <x v="2"/>
    <s v="Local Comercial"/>
    <n v="268"/>
    <s v="Venta"/>
    <n v="98443.64"/>
    <n v="2515051"/>
    <n v="2012040.8"/>
    <n v="404566.55999999994"/>
    <s v="Arturo"/>
    <n v="4.5999999999999996"/>
  </r>
  <r>
    <n v="1322"/>
    <d v="2017-04-18T00:00:00"/>
    <x v="541"/>
    <x v="0"/>
    <s v="Estacionamiento"/>
    <n v="239"/>
    <s v="Venta"/>
    <n v="94982.399999999994"/>
    <n v="2433320"/>
    <n v="1946656"/>
    <n v="391681.6"/>
    <s v="Carlos"/>
    <n v="3.8"/>
  </r>
  <r>
    <n v="1323"/>
    <d v="2017-04-19T00:00:00"/>
    <x v="536"/>
    <x v="2"/>
    <s v="Terreno"/>
    <n v="77"/>
    <s v="Alquiler"/>
    <n v="16365.4"/>
    <n v="468245"/>
    <n v="374596"/>
    <n v="77283.600000000006"/>
    <s v="Romina"/>
    <n v="4.2"/>
  </r>
  <r>
    <n v="1324"/>
    <d v="2017-04-19T00:00:00"/>
    <x v="376"/>
    <x v="2"/>
    <s v="Depósito"/>
    <n v="45"/>
    <s v="Alquiler"/>
    <n v="17342.64"/>
    <n v="490901"/>
    <n v="392720.8"/>
    <n v="80837.560000000012"/>
    <s v="Arturo"/>
    <n v="4.5"/>
  </r>
  <r>
    <n v="1325"/>
    <d v="2017-04-19T00:00:00"/>
    <x v="493"/>
    <x v="2"/>
    <s v="Depósito"/>
    <n v="66"/>
    <s v="Alquiler"/>
    <n v="21284.880000000001"/>
    <n v="599607"/>
    <n v="479685.6"/>
    <n v="98636.520000000019"/>
    <s v="Romina"/>
    <n v="4"/>
  </r>
  <r>
    <n v="1326"/>
    <d v="2017-04-19T00:00:00"/>
    <x v="431"/>
    <x v="0"/>
    <s v="Local Comercial"/>
    <n v="145"/>
    <s v="Alquiler"/>
    <n v="25414.880000000001"/>
    <n v="687957"/>
    <n v="550365.6"/>
    <n v="112176.52000000002"/>
    <s v="Romina"/>
    <n v="4.8"/>
  </r>
  <r>
    <n v="1327"/>
    <d v="2017-04-19T00:00:00"/>
    <x v="418"/>
    <x v="1"/>
    <s v="Oficinas"/>
    <n v="37"/>
    <s v="Alquiler"/>
    <n v="10432.84"/>
    <n v="318006"/>
    <n v="254404.8"/>
    <n v="53168.360000000015"/>
    <s v="Iván"/>
    <n v="3.6"/>
  </r>
  <r>
    <n v="1328"/>
    <d v="2017-04-20T00:00:00"/>
    <x v="376"/>
    <x v="2"/>
    <s v="Departamento"/>
    <n v="270"/>
    <s v="Venta"/>
    <n v="91415.24"/>
    <n v="2342516"/>
    <n v="1874012.8"/>
    <n v="377087.95999999996"/>
    <s v="Romina"/>
    <n v="5"/>
  </r>
  <r>
    <n v="1329"/>
    <d v="2017-04-20T00:00:00"/>
    <x v="450"/>
    <x v="2"/>
    <s v="Departamento"/>
    <n v="175"/>
    <s v="Venta"/>
    <n v="54009.64"/>
    <n v="1403851"/>
    <n v="1123080.8"/>
    <n v="226760.55999999994"/>
    <s v="Romina"/>
    <n v="4.8"/>
  </r>
  <r>
    <n v="1330"/>
    <d v="2017-04-20T00:00:00"/>
    <x v="542"/>
    <x v="1"/>
    <s v="Local Comercial"/>
    <n v="259"/>
    <s v="Venta"/>
    <n v="82664.800000000003"/>
    <n v="2131280"/>
    <n v="1705024"/>
    <n v="343591.2"/>
    <s v="Romina"/>
    <n v="4.3"/>
  </r>
  <r>
    <n v="1331"/>
    <d v="2017-04-21T00:00:00"/>
    <x v="543"/>
    <x v="0"/>
    <s v="Departamento"/>
    <n v="173"/>
    <s v="Venta"/>
    <n v="56351.28"/>
    <n v="1472117"/>
    <n v="1177693.6000000001"/>
    <n v="238072.11999999991"/>
    <s v="Sabrina"/>
    <n v="4.9000000000000004"/>
  </r>
  <r>
    <n v="1332"/>
    <d v="2017-04-21T00:00:00"/>
    <x v="371"/>
    <x v="0"/>
    <s v="Terreno"/>
    <n v="274"/>
    <s v="Venta"/>
    <n v="63878.879999999997"/>
    <n v="1655607"/>
    <n v="1324485.6000000001"/>
    <n v="267242.5199999999"/>
    <s v="Sabrina"/>
    <n v="4.9000000000000004"/>
  </r>
  <r>
    <n v="1333"/>
    <d v="2017-04-21T00:00:00"/>
    <x v="544"/>
    <x v="3"/>
    <s v="Departamento"/>
    <n v="35"/>
    <s v="Alquiler"/>
    <n v="10570.08"/>
    <n v="324437"/>
    <n v="259549.6"/>
    <n v="54317.319999999992"/>
    <s v="Romina"/>
    <n v="4"/>
  </r>
  <r>
    <n v="1334"/>
    <d v="2017-04-21T00:00:00"/>
    <x v="545"/>
    <x v="0"/>
    <s v="Oficinas"/>
    <n v="75"/>
    <s v="Alquiler"/>
    <n v="27441.119999999999"/>
    <n v="742113"/>
    <n v="593690.4"/>
    <n v="120981.47999999998"/>
    <s v="Sabrina"/>
    <n v="4.0999999999999996"/>
  </r>
  <r>
    <n v="1335"/>
    <d v="2017-04-22T00:00:00"/>
    <x v="435"/>
    <x v="0"/>
    <s v="Terreno"/>
    <n v="224"/>
    <s v="Venta"/>
    <n v="37054.199999999997"/>
    <n v="991415"/>
    <n v="793132"/>
    <n v="161228.79999999999"/>
    <s v="Ángeles"/>
    <n v="3.6"/>
  </r>
  <r>
    <n v="1336"/>
    <d v="2017-04-22T00:00:00"/>
    <x v="495"/>
    <x v="1"/>
    <s v="Departamento"/>
    <n v="263"/>
    <s v="Venta"/>
    <n v="102234.04"/>
    <n v="2619611"/>
    <n v="2095688.8"/>
    <n v="421688.16"/>
    <s v="Arturo"/>
    <n v="4.2"/>
  </r>
  <r>
    <n v="1337"/>
    <d v="2017-04-23T00:00:00"/>
    <x v="470"/>
    <x v="0"/>
    <s v="Terreno"/>
    <n v="65"/>
    <s v="Alquiler"/>
    <n v="18725.84"/>
    <n v="530456"/>
    <n v="424364.79999999999"/>
    <n v="87365.360000000015"/>
    <s v="Ángeles"/>
    <n v="4.5"/>
  </r>
  <r>
    <n v="1338"/>
    <d v="2017-04-24T00:00:00"/>
    <x v="536"/>
    <x v="2"/>
    <s v="Local Comercial"/>
    <n v="33"/>
    <s v="Alquiler"/>
    <n v="5549.8"/>
    <n v="200405"/>
    <n v="160324"/>
    <n v="34531.199999999997"/>
    <s v="Romina"/>
    <n v="4.8"/>
  </r>
  <r>
    <n v="1339"/>
    <d v="2017-04-24T00:00:00"/>
    <x v="545"/>
    <x v="1"/>
    <s v="Local Comercial"/>
    <n v="74"/>
    <s v="Alquiler"/>
    <n v="27773.72"/>
    <n v="753278"/>
    <n v="602622.4"/>
    <n v="122881.87999999998"/>
    <s v="Arturo"/>
    <n v="4.2"/>
  </r>
  <r>
    <n v="1340"/>
    <d v="2017-04-24T00:00:00"/>
    <x v="544"/>
    <x v="2"/>
    <s v="Departamento"/>
    <n v="167"/>
    <s v="Venta"/>
    <n v="40197.919999999998"/>
    <n v="1070033"/>
    <n v="856026.4"/>
    <n v="173808.68"/>
    <s v="Romina"/>
    <n v="3.7"/>
  </r>
  <r>
    <n v="1341"/>
    <d v="2017-04-25T00:00:00"/>
    <x v="535"/>
    <x v="0"/>
    <s v="Estacionamiento"/>
    <n v="129"/>
    <s v="Venta"/>
    <n v="39469.519999999997"/>
    <n v="1044173"/>
    <n v="835338.4"/>
    <n v="169365.08"/>
    <s v="Sabrina"/>
    <n v="4"/>
  </r>
  <r>
    <n v="1342"/>
    <d v="2017-04-25T00:00:00"/>
    <x v="546"/>
    <x v="3"/>
    <s v="Departamento"/>
    <n v="190"/>
    <s v="Venta"/>
    <n v="67086.559999999998"/>
    <n v="1735149"/>
    <n v="1388119.2"/>
    <n v="279943.24000000005"/>
    <s v="Romina"/>
    <n v="4.8"/>
  </r>
  <r>
    <n v="1343"/>
    <d v="2017-04-25T00:00:00"/>
    <x v="501"/>
    <x v="3"/>
    <s v="Terreno"/>
    <n v="266"/>
    <s v="Venta"/>
    <n v="90481.96"/>
    <n v="2328634"/>
    <n v="1862907.2"/>
    <n v="375244.84"/>
    <s v="Romina"/>
    <n v="3.9"/>
  </r>
  <r>
    <n v="1344"/>
    <d v="2017-04-25T00:00:00"/>
    <x v="421"/>
    <x v="0"/>
    <s v="Local Comercial"/>
    <n v="280"/>
    <s v="Venta"/>
    <n v="59304.6"/>
    <n v="1536725"/>
    <n v="1229380"/>
    <n v="248040.4"/>
    <s v="Romina"/>
    <n v="3.9"/>
  </r>
  <r>
    <n v="1345"/>
    <d v="2017-04-25T00:00:00"/>
    <x v="547"/>
    <x v="3"/>
    <s v="Terreno"/>
    <n v="45"/>
    <s v="Alquiler"/>
    <n v="14166.32"/>
    <n v="406643"/>
    <n v="325314.40000000002"/>
    <n v="67162.27999999997"/>
    <s v="Iván"/>
    <n v="4"/>
  </r>
  <r>
    <n v="1346"/>
    <d v="2017-04-25T00:00:00"/>
    <x v="548"/>
    <x v="3"/>
    <s v="Terreno"/>
    <n v="45"/>
    <s v="Alquiler"/>
    <n v="12383"/>
    <n v="370135"/>
    <n v="296108"/>
    <n v="61644"/>
    <s v="Romina"/>
    <n v="3.8"/>
  </r>
  <r>
    <n v="1347"/>
    <d v="2017-04-26T00:00:00"/>
    <x v="371"/>
    <x v="1"/>
    <s v="Oficinas"/>
    <n v="110"/>
    <s v="Venta"/>
    <n v="37063.599999999999"/>
    <n v="986500"/>
    <n v="789200"/>
    <n v="160236.4"/>
    <s v="Arturo"/>
    <n v="4.7"/>
  </r>
  <r>
    <n v="1348"/>
    <d v="2017-04-26T00:00:00"/>
    <x v="499"/>
    <x v="0"/>
    <s v="Casa"/>
    <n v="194"/>
    <s v="Venta"/>
    <n v="73108.160000000003"/>
    <n v="1886489"/>
    <n v="1509191.2"/>
    <n v="304189.64"/>
    <s v="Carlos"/>
    <n v="4.5999999999999996"/>
  </r>
  <r>
    <n v="1349"/>
    <d v="2017-04-26T00:00:00"/>
    <x v="501"/>
    <x v="3"/>
    <s v="Estacionamiento"/>
    <n v="95"/>
    <s v="Venta"/>
    <n v="35068.160000000003"/>
    <n v="929189"/>
    <n v="743351.2"/>
    <n v="150769.64000000004"/>
    <s v="Carlos"/>
    <n v="4.0999999999999996"/>
  </r>
  <r>
    <n v="1350"/>
    <d v="2017-04-26T00:00:00"/>
    <x v="549"/>
    <x v="0"/>
    <s v="Casa"/>
    <n v="95"/>
    <s v="Alquiler"/>
    <n v="15992.48"/>
    <n v="462197"/>
    <n v="369757.6"/>
    <n v="76446.920000000027"/>
    <s v="Arturo"/>
    <n v="3.8"/>
  </r>
  <r>
    <n v="1351"/>
    <d v="2017-04-26T00:00:00"/>
    <x v="361"/>
    <x v="0"/>
    <s v="Casa"/>
    <n v="56"/>
    <s v="Alquiler"/>
    <n v="19174.599999999999"/>
    <n v="541525"/>
    <n v="433220"/>
    <n v="89130.4"/>
    <s v="Romina"/>
    <n v="4.5999999999999996"/>
  </r>
  <r>
    <n v="1352"/>
    <d v="2017-04-27T00:00:00"/>
    <x v="460"/>
    <x v="3"/>
    <s v="Departamento"/>
    <n v="183"/>
    <s v="Venta"/>
    <n v="41589.480000000003"/>
    <n v="1101122"/>
    <n v="880897.6"/>
    <n v="178634.92"/>
    <s v="Iván"/>
    <n v="4.0999999999999996"/>
  </r>
  <r>
    <n v="1353"/>
    <d v="2017-04-27T00:00:00"/>
    <x v="438"/>
    <x v="1"/>
    <s v="Estacionamiento"/>
    <n v="262"/>
    <s v="Venta"/>
    <n v="67493.039999999994"/>
    <n v="1738986"/>
    <n v="1391188.8"/>
    <n v="280304.15999999997"/>
    <s v="Sabrina"/>
    <n v="4.8"/>
  </r>
  <r>
    <n v="1354"/>
    <d v="2017-04-28T00:00:00"/>
    <x v="452"/>
    <x v="0"/>
    <s v="Local Comercial"/>
    <n v="235"/>
    <s v="Venta"/>
    <n v="96003.56"/>
    <n v="2454549"/>
    <n v="1963639.2"/>
    <n v="394906.24000000005"/>
    <s v="Iván"/>
    <n v="4.3"/>
  </r>
  <r>
    <n v="1355"/>
    <d v="2017-04-28T00:00:00"/>
    <x v="550"/>
    <x v="2"/>
    <s v="Oficinas"/>
    <n v="151"/>
    <s v="Venta"/>
    <n v="34328.879999999997"/>
    <n v="922707"/>
    <n v="738165.6"/>
    <n v="150212.52000000002"/>
    <s v="Sabrina"/>
    <n v="4.0999999999999996"/>
  </r>
  <r>
    <n v="1356"/>
    <d v="2017-04-28T00:00:00"/>
    <x v="551"/>
    <x v="2"/>
    <s v="Casa"/>
    <n v="154"/>
    <s v="Venta"/>
    <n v="55996.32"/>
    <n v="1457793"/>
    <n v="1166234.3999999999"/>
    <n v="235562.28000000009"/>
    <s v="Arturo"/>
    <n v="4.5999999999999996"/>
  </r>
  <r>
    <n v="1357"/>
    <d v="2017-04-28T00:00:00"/>
    <x v="552"/>
    <x v="0"/>
    <s v="Departamento"/>
    <n v="281"/>
    <s v="Venta"/>
    <n v="72155.8"/>
    <n v="1863905"/>
    <n v="1491124"/>
    <n v="300625.2"/>
    <s v="Sabrina"/>
    <n v="5"/>
  </r>
  <r>
    <n v="1358"/>
    <d v="2017-04-29T00:00:00"/>
    <x v="553"/>
    <x v="0"/>
    <s v="Oficinas"/>
    <n v="269"/>
    <s v="Venta"/>
    <n v="98293.759999999995"/>
    <n v="2510979"/>
    <n v="2008783.2"/>
    <n v="403902.04000000004"/>
    <s v="Romina"/>
    <n v="3.8"/>
  </r>
  <r>
    <n v="1359"/>
    <d v="2017-04-29T00:00:00"/>
    <x v="554"/>
    <x v="1"/>
    <s v="Oficinas"/>
    <n v="249"/>
    <s v="Venta"/>
    <n v="41669.120000000003"/>
    <n v="1095813"/>
    <n v="876650.4"/>
    <n v="177493.47999999998"/>
    <s v="Iván"/>
    <n v="3.7"/>
  </r>
  <r>
    <n v="1360"/>
    <d v="2017-04-29T00:00:00"/>
    <x v="402"/>
    <x v="0"/>
    <s v="Departamento"/>
    <n v="190"/>
    <s v="Venta"/>
    <n v="46981.2"/>
    <n v="1237965"/>
    <n v="990372"/>
    <n v="200611.8"/>
    <s v="Ángeles"/>
    <n v="4.5999999999999996"/>
  </r>
  <r>
    <n v="1361"/>
    <d v="2017-04-30T00:00:00"/>
    <x v="555"/>
    <x v="3"/>
    <s v="Oficinas"/>
    <n v="181"/>
    <s v="Venta"/>
    <n v="46125.48"/>
    <n v="1216097"/>
    <n v="972877.6"/>
    <n v="197093.92"/>
    <s v="Romina"/>
    <n v="4.4000000000000004"/>
  </r>
  <r>
    <n v="1362"/>
    <d v="2017-04-30T00:00:00"/>
    <x v="556"/>
    <x v="3"/>
    <s v="Terreno"/>
    <n v="165"/>
    <s v="Venta"/>
    <n v="57014.52"/>
    <n v="1477673"/>
    <n v="1182138.3999999999"/>
    <n v="238520.0800000001"/>
    <s v="Sabrina"/>
    <n v="3.8"/>
  </r>
  <r>
    <n v="1363"/>
    <d v="2017-04-30T00:00:00"/>
    <x v="544"/>
    <x v="2"/>
    <s v="Oficinas"/>
    <n v="150"/>
    <s v="Alquiler"/>
    <n v="28252.16"/>
    <n v="766064"/>
    <n v="612851.19999999995"/>
    <n v="124960.64000000004"/>
    <s v="Carlos"/>
    <n v="4.2"/>
  </r>
  <r>
    <n v="1364"/>
    <d v="2017-05-01T00:00:00"/>
    <x v="490"/>
    <x v="2"/>
    <s v="Estacionamiento"/>
    <n v="78"/>
    <s v="Venta"/>
    <n v="30523.4"/>
    <n v="819995"/>
    <n v="655996"/>
    <n v="133475.6"/>
    <s v="Carlos"/>
    <n v="4.9000000000000004"/>
  </r>
  <r>
    <n v="1365"/>
    <d v="2017-05-01T00:00:00"/>
    <x v="557"/>
    <x v="1"/>
    <s v="Departamento"/>
    <n v="61"/>
    <s v="Alquiler"/>
    <n v="13264.2"/>
    <n v="386640"/>
    <n v="309312"/>
    <n v="64063.8"/>
    <s v="Ángeles"/>
    <n v="4.8"/>
  </r>
  <r>
    <n v="1366"/>
    <d v="2017-05-01T00:00:00"/>
    <x v="538"/>
    <x v="3"/>
    <s v="Local Comercial"/>
    <n v="98"/>
    <s v="Venta"/>
    <n v="32813.800000000003"/>
    <n v="887205"/>
    <n v="709764"/>
    <n v="144627.20000000001"/>
    <s v="Arturo"/>
    <n v="5"/>
  </r>
  <r>
    <n v="1367"/>
    <d v="2017-05-02T00:00:00"/>
    <x v="478"/>
    <x v="3"/>
    <s v="Estacionamiento"/>
    <n v="75"/>
    <s v="Alquiler"/>
    <n v="21838.44"/>
    <n v="603971"/>
    <n v="483176.8"/>
    <n v="98955.760000000009"/>
    <s v="Ángeles"/>
    <n v="4.5"/>
  </r>
  <r>
    <n v="1368"/>
    <d v="2017-05-02T00:00:00"/>
    <x v="511"/>
    <x v="3"/>
    <s v="Departamento"/>
    <n v="41"/>
    <s v="Alquiler"/>
    <n v="6501.2"/>
    <n v="219590"/>
    <n v="175672"/>
    <n v="37416.800000000003"/>
    <s v="Carlos"/>
    <n v="3.6"/>
  </r>
  <r>
    <n v="1369"/>
    <d v="2017-05-02T00:00:00"/>
    <x v="558"/>
    <x v="3"/>
    <s v="Casa"/>
    <n v="123"/>
    <s v="Venta"/>
    <n v="37951.360000000001"/>
    <n v="1012869"/>
    <n v="810295.2"/>
    <n v="164622.44000000006"/>
    <s v="Carlos"/>
    <n v="4.0999999999999996"/>
  </r>
  <r>
    <n v="1370"/>
    <d v="2017-05-02T00:00:00"/>
    <x v="559"/>
    <x v="3"/>
    <s v="Departamento"/>
    <n v="233"/>
    <s v="Venta"/>
    <n v="49936"/>
    <n v="1307285"/>
    <n v="1045828"/>
    <n v="211521"/>
    <s v="Sabrina"/>
    <n v="4.5999999999999996"/>
  </r>
  <r>
    <n v="1371"/>
    <d v="2017-05-03T00:00:00"/>
    <x v="545"/>
    <x v="2"/>
    <s v="Depósito"/>
    <n v="74"/>
    <s v="Alquiler"/>
    <n v="15578.08"/>
    <n v="442737"/>
    <n v="354189.6"/>
    <n v="72969.320000000022"/>
    <s v="Ángeles"/>
    <n v="4.2"/>
  </r>
  <r>
    <n v="1372"/>
    <d v="2017-05-04T00:00:00"/>
    <x v="389"/>
    <x v="1"/>
    <s v="Depósito"/>
    <n v="281"/>
    <s v="Venta"/>
    <n v="104731.96"/>
    <n v="2670259"/>
    <n v="2136207.2000000002"/>
    <n v="429319.83999999979"/>
    <s v="Romina"/>
    <n v="3.8"/>
  </r>
  <r>
    <n v="1373"/>
    <d v="2017-05-04T00:00:00"/>
    <x v="560"/>
    <x v="0"/>
    <s v="Terreno"/>
    <n v="219"/>
    <s v="Venta"/>
    <n v="87410.12"/>
    <n v="2247813"/>
    <n v="1798250.4"/>
    <n v="362152.4800000001"/>
    <s v="Arturo"/>
    <n v="4.3"/>
  </r>
  <r>
    <n v="1374"/>
    <d v="2017-05-04T00:00:00"/>
    <x v="539"/>
    <x v="3"/>
    <s v="Estacionamiento"/>
    <n v="207"/>
    <s v="Venta"/>
    <n v="50893.4"/>
    <n v="1323695"/>
    <n v="1058956"/>
    <n v="213845.6"/>
    <s v="Carlos"/>
    <n v="4.9000000000000004"/>
  </r>
  <r>
    <n v="1375"/>
    <d v="2017-05-04T00:00:00"/>
    <x v="365"/>
    <x v="0"/>
    <s v="Departamento"/>
    <n v="170"/>
    <s v="Venta"/>
    <n v="53396"/>
    <n v="1400435"/>
    <n v="1120348"/>
    <n v="226691"/>
    <s v="Iván"/>
    <n v="3.6"/>
  </r>
  <r>
    <n v="1376"/>
    <d v="2017-05-04T00:00:00"/>
    <x v="513"/>
    <x v="1"/>
    <s v="Departamento"/>
    <n v="98"/>
    <s v="Alquiler"/>
    <n v="23713.119999999999"/>
    <n v="645613"/>
    <n v="516490.4"/>
    <n v="105409.47999999998"/>
    <s v="Ángeles"/>
    <n v="4.5999999999999996"/>
  </r>
  <r>
    <n v="1377"/>
    <d v="2017-05-05T00:00:00"/>
    <x v="555"/>
    <x v="3"/>
    <s v="Departamento"/>
    <n v="125"/>
    <s v="Venta"/>
    <n v="32277"/>
    <n v="868485"/>
    <n v="694788"/>
    <n v="141420"/>
    <s v="Sabrina"/>
    <n v="4.4000000000000004"/>
  </r>
  <r>
    <n v="1378"/>
    <d v="2017-05-05T00:00:00"/>
    <x v="370"/>
    <x v="1"/>
    <s v="Casa"/>
    <n v="179"/>
    <s v="Venta"/>
    <n v="60833.120000000003"/>
    <n v="1579913"/>
    <n v="1263930.3999999999"/>
    <n v="255149.4800000001"/>
    <s v="Arturo"/>
    <n v="4.7"/>
  </r>
  <r>
    <n v="1379"/>
    <d v="2017-05-06T00:00:00"/>
    <x v="373"/>
    <x v="0"/>
    <s v="Estacionamiento"/>
    <n v="116"/>
    <s v="Venta"/>
    <n v="39602.92"/>
    <n v="1050008"/>
    <n v="840006.4"/>
    <n v="170398.68"/>
    <s v="Carlos"/>
    <n v="4.3"/>
  </r>
  <r>
    <n v="1380"/>
    <d v="2017-05-06T00:00:00"/>
    <x v="366"/>
    <x v="3"/>
    <s v="Departamento"/>
    <n v="186"/>
    <s v="Venta"/>
    <n v="37683.56"/>
    <n v="994949"/>
    <n v="795959.2"/>
    <n v="161306.24000000005"/>
    <s v="Iván"/>
    <n v="4.8"/>
  </r>
  <r>
    <n v="1381"/>
    <d v="2017-05-06T00:00:00"/>
    <x v="561"/>
    <x v="2"/>
    <s v="Depósito"/>
    <n v="90"/>
    <s v="Venta"/>
    <n v="35235.480000000003"/>
    <n v="938697"/>
    <n v="750957.6"/>
    <n v="152503.92000000001"/>
    <s v="Iván"/>
    <n v="4.5"/>
  </r>
  <r>
    <n v="1382"/>
    <d v="2017-05-06T00:00:00"/>
    <x v="562"/>
    <x v="2"/>
    <s v="Casa"/>
    <n v="242"/>
    <s v="Venta"/>
    <n v="53236.84"/>
    <n v="1388581"/>
    <n v="1110864.8"/>
    <n v="224479.35999999996"/>
    <s v="Iván"/>
    <n v="4.5"/>
  </r>
  <r>
    <n v="1383"/>
    <d v="2017-05-06T00:00:00"/>
    <x v="518"/>
    <x v="0"/>
    <s v="Departamento"/>
    <n v="161"/>
    <s v="Venta"/>
    <n v="31470.720000000001"/>
    <n v="851278"/>
    <n v="681022.4"/>
    <n v="138784.87999999998"/>
    <s v="Sabrina"/>
    <n v="4.3"/>
  </r>
  <r>
    <n v="1384"/>
    <d v="2017-05-07T00:00:00"/>
    <x v="547"/>
    <x v="3"/>
    <s v="Oficinas"/>
    <n v="98"/>
    <s v="Alquiler"/>
    <n v="24306.32"/>
    <n v="671068"/>
    <n v="536854.4"/>
    <n v="109907.27999999997"/>
    <s v="Ángeles"/>
    <n v="3.9"/>
  </r>
  <r>
    <n v="1385"/>
    <d v="2017-05-08T00:00:00"/>
    <x v="458"/>
    <x v="3"/>
    <s v="Oficinas"/>
    <n v="254"/>
    <s v="Venta"/>
    <n v="81802.559999999998"/>
    <n v="2102549"/>
    <n v="1682039.2"/>
    <n v="338707.24000000005"/>
    <s v="Ángeles"/>
    <n v="3.8"/>
  </r>
  <r>
    <n v="1386"/>
    <d v="2017-05-08T00:00:00"/>
    <x v="481"/>
    <x v="1"/>
    <s v="Estacionamiento"/>
    <n v="238"/>
    <s v="Venta"/>
    <n v="48961"/>
    <n v="1281085"/>
    <n v="1024868"/>
    <n v="207256"/>
    <s v="Sabrina"/>
    <n v="4.4000000000000004"/>
  </r>
  <r>
    <n v="1387"/>
    <d v="2017-05-08T00:00:00"/>
    <x v="487"/>
    <x v="1"/>
    <s v="Terreno"/>
    <n v="136"/>
    <s v="Venta"/>
    <n v="32795.199999999997"/>
    <n v="879665"/>
    <n v="703732"/>
    <n v="143137.79999999999"/>
    <s v="Romina"/>
    <n v="4.7"/>
  </r>
  <r>
    <n v="1388"/>
    <d v="2017-05-08T00:00:00"/>
    <x v="522"/>
    <x v="0"/>
    <s v="Terreno"/>
    <n v="264"/>
    <s v="Venta"/>
    <n v="90463.8"/>
    <n v="2325005"/>
    <n v="1860004"/>
    <n v="374537.2"/>
    <s v="Carlos"/>
    <n v="4.9000000000000004"/>
  </r>
  <r>
    <n v="1389"/>
    <d v="2017-05-08T00:00:00"/>
    <x v="526"/>
    <x v="3"/>
    <s v="Estacionamiento"/>
    <n v="198"/>
    <s v="Venta"/>
    <n v="75022.880000000005"/>
    <n v="1929257"/>
    <n v="1543405.6"/>
    <n v="310828.5199999999"/>
    <s v="Ángeles"/>
    <n v="4.8"/>
  </r>
  <r>
    <n v="1390"/>
    <d v="2017-05-09T00:00:00"/>
    <x v="563"/>
    <x v="1"/>
    <s v="Oficinas"/>
    <n v="108"/>
    <s v="Venta"/>
    <n v="36270.639999999999"/>
    <n v="961226"/>
    <n v="768980.8"/>
    <n v="155974.55999999994"/>
    <s v="Romina"/>
    <n v="4.3"/>
  </r>
  <r>
    <n v="1391"/>
    <d v="2017-05-09T00:00:00"/>
    <x v="564"/>
    <x v="0"/>
    <s v="Depósito"/>
    <n v="157"/>
    <s v="Venta"/>
    <n v="31431.599999999999"/>
    <n v="841125"/>
    <n v="672900"/>
    <n v="136793.4"/>
    <s v="Romina"/>
    <n v="3.8"/>
  </r>
  <r>
    <n v="1392"/>
    <d v="2017-05-09T00:00:00"/>
    <x v="509"/>
    <x v="0"/>
    <s v="Local Comercial"/>
    <n v="229"/>
    <s v="Venta"/>
    <n v="41106"/>
    <n v="1083410"/>
    <n v="866728"/>
    <n v="175576"/>
    <s v="Romina"/>
    <n v="5"/>
  </r>
  <r>
    <n v="1393"/>
    <d v="2017-05-09T00:00:00"/>
    <x v="522"/>
    <x v="2"/>
    <s v="Casa"/>
    <n v="41"/>
    <s v="Alquiler"/>
    <n v="11392.24"/>
    <n v="342241"/>
    <n v="273792.8"/>
    <n v="57055.960000000014"/>
    <s v="Romina"/>
    <n v="4"/>
  </r>
  <r>
    <n v="1394"/>
    <d v="2017-05-09T00:00:00"/>
    <x v="565"/>
    <x v="2"/>
    <s v="Oficinas"/>
    <n v="249"/>
    <s v="Venta"/>
    <n v="79568.36"/>
    <n v="2048419"/>
    <n v="1638735.2"/>
    <n v="330115.44000000006"/>
    <s v="Iván"/>
    <n v="4.8"/>
  </r>
  <r>
    <n v="1395"/>
    <d v="2017-05-10T00:00:00"/>
    <x v="414"/>
    <x v="2"/>
    <s v="Oficinas"/>
    <n v="247"/>
    <s v="Venta"/>
    <n v="75995.56"/>
    <n v="1959749"/>
    <n v="1567799.2"/>
    <n v="315954.24000000005"/>
    <s v="Romina"/>
    <n v="4.0999999999999996"/>
  </r>
  <r>
    <n v="1396"/>
    <d v="2017-05-10T00:00:00"/>
    <x v="561"/>
    <x v="2"/>
    <s v="Departamento"/>
    <n v="286"/>
    <s v="Venta"/>
    <n v="46365.08"/>
    <n v="1213537"/>
    <n v="970829.6"/>
    <n v="196342.32"/>
    <s v="Iván"/>
    <n v="4.7"/>
  </r>
  <r>
    <n v="1397"/>
    <d v="2017-05-10T00:00:00"/>
    <x v="566"/>
    <x v="2"/>
    <s v="Departamento"/>
    <n v="217"/>
    <s v="Venta"/>
    <n v="64340.68"/>
    <n v="1659702"/>
    <n v="1327761.6000000001"/>
    <n v="267599.71999999991"/>
    <s v="Sabrina"/>
    <n v="3.9"/>
  </r>
  <r>
    <n v="1398"/>
    <d v="2017-05-10T00:00:00"/>
    <x v="536"/>
    <x v="1"/>
    <s v="Casa"/>
    <n v="103"/>
    <s v="Venta"/>
    <n v="35038.559999999998"/>
    <n v="935499"/>
    <n v="748399.2"/>
    <n v="152061.24000000005"/>
    <s v="Ángeles"/>
    <n v="4.3"/>
  </r>
  <r>
    <n v="1399"/>
    <d v="2017-05-11T00:00:00"/>
    <x v="448"/>
    <x v="1"/>
    <s v="Departamento"/>
    <n v="162"/>
    <s v="Venta"/>
    <n v="31277.72"/>
    <n v="841253"/>
    <n v="673002.4"/>
    <n v="136972.87999999998"/>
    <s v="Ángeles"/>
    <n v="4.0999999999999996"/>
  </r>
  <r>
    <n v="1400"/>
    <d v="2017-05-13T00:00:00"/>
    <x v="454"/>
    <x v="3"/>
    <s v="Departamento"/>
    <n v="187"/>
    <s v="Venta"/>
    <n v="65633"/>
    <n v="1706585"/>
    <n v="1365268"/>
    <n v="275684"/>
    <s v="Ángeles"/>
    <n v="4.4000000000000004"/>
  </r>
  <r>
    <n v="1401"/>
    <d v="2017-05-13T00:00:00"/>
    <x v="567"/>
    <x v="3"/>
    <s v="Local Comercial"/>
    <n v="275"/>
    <s v="Venta"/>
    <n v="92964"/>
    <n v="2385685"/>
    <n v="1908548"/>
    <n v="384173"/>
    <s v="Arturo"/>
    <n v="4.0999999999999996"/>
  </r>
  <r>
    <n v="1402"/>
    <d v="2017-05-13T00:00:00"/>
    <x v="568"/>
    <x v="2"/>
    <s v="Casa"/>
    <n v="151"/>
    <s v="Venta"/>
    <n v="44471"/>
    <n v="1169535"/>
    <n v="935628"/>
    <n v="189436"/>
    <s v="Arturo"/>
    <n v="4.0999999999999996"/>
  </r>
  <r>
    <n v="1403"/>
    <d v="2017-05-14T00:00:00"/>
    <x v="404"/>
    <x v="2"/>
    <s v="Depósito"/>
    <n v="250"/>
    <s v="Venta"/>
    <n v="95713.88"/>
    <n v="2454057"/>
    <n v="1963245.6"/>
    <n v="395097.5199999999"/>
    <s v="Ángeles"/>
    <n v="3.6"/>
  </r>
  <r>
    <n v="1404"/>
    <d v="2017-05-15T00:00:00"/>
    <x v="508"/>
    <x v="2"/>
    <s v="Terreno"/>
    <n v="184"/>
    <s v="Venta"/>
    <n v="57425.120000000003"/>
    <n v="1489913"/>
    <n v="1191930.3999999999"/>
    <n v="240557.4800000001"/>
    <s v="Carlos"/>
    <n v="4.2"/>
  </r>
  <r>
    <n v="1405"/>
    <d v="2017-05-15T00:00:00"/>
    <x v="569"/>
    <x v="3"/>
    <s v="Terreno"/>
    <n v="67"/>
    <s v="Alquiler"/>
    <n v="18793.64"/>
    <n v="529651"/>
    <n v="423720.8"/>
    <n v="87136.560000000012"/>
    <s v="Carlos"/>
    <n v="4.5999999999999996"/>
  </r>
  <r>
    <n v="1406"/>
    <d v="2017-05-15T00:00:00"/>
    <x v="401"/>
    <x v="2"/>
    <s v="Terreno"/>
    <n v="157"/>
    <s v="Venta"/>
    <n v="60590.879999999997"/>
    <n v="1567707"/>
    <n v="1254165.6000000001"/>
    <n v="252950.5199999999"/>
    <s v="Carlos"/>
    <n v="3.7"/>
  </r>
  <r>
    <n v="1407"/>
    <d v="2017-05-16T00:00:00"/>
    <x v="511"/>
    <x v="3"/>
    <s v="Estacionamiento"/>
    <n v="230"/>
    <s v="Venta"/>
    <n v="73339"/>
    <n v="1900485"/>
    <n v="1520388"/>
    <n v="306758"/>
    <s v="Sabrina"/>
    <n v="4.8"/>
  </r>
  <r>
    <n v="1408"/>
    <d v="2017-05-16T00:00:00"/>
    <x v="570"/>
    <x v="3"/>
    <s v="Terreno"/>
    <n v="182"/>
    <s v="Venta"/>
    <n v="54134.2"/>
    <n v="1420840"/>
    <n v="1136672"/>
    <n v="230033.8"/>
    <s v="Sabrina"/>
    <n v="5"/>
  </r>
  <r>
    <n v="1409"/>
    <d v="2017-05-16T00:00:00"/>
    <x v="364"/>
    <x v="0"/>
    <s v="Terreno"/>
    <n v="202"/>
    <s v="Venta"/>
    <n v="68356.84"/>
    <n v="1770181"/>
    <n v="1416144.8"/>
    <n v="285679.35999999999"/>
    <s v="Arturo"/>
    <n v="3.8"/>
  </r>
  <r>
    <n v="1410"/>
    <d v="2017-05-18T00:00:00"/>
    <x v="571"/>
    <x v="3"/>
    <s v="Oficinas"/>
    <n v="73"/>
    <s v="Alquiler"/>
    <n v="25303"/>
    <n v="698485"/>
    <n v="558788"/>
    <n v="114394"/>
    <s v="Romina"/>
    <n v="4.5999999999999996"/>
  </r>
  <r>
    <n v="1411"/>
    <d v="2017-05-18T00:00:00"/>
    <x v="361"/>
    <x v="1"/>
    <s v="Estacionamiento"/>
    <n v="116"/>
    <s v="Venta"/>
    <n v="38913.24"/>
    <n v="1035966"/>
    <n v="828772.8"/>
    <n v="168279.95999999996"/>
    <s v="Ángeles"/>
    <n v="4.7"/>
  </r>
  <r>
    <n v="1412"/>
    <d v="2017-05-18T00:00:00"/>
    <x v="572"/>
    <x v="3"/>
    <s v="Depósito"/>
    <n v="229"/>
    <s v="Venta"/>
    <n v="84102.68"/>
    <n v="2156552"/>
    <n v="1725241.6"/>
    <n v="347207.71999999991"/>
    <s v="Iván"/>
    <n v="4.3"/>
  </r>
  <r>
    <n v="1413"/>
    <d v="2017-05-18T00:00:00"/>
    <x v="498"/>
    <x v="1"/>
    <s v="Terreno"/>
    <n v="153"/>
    <s v="Alquiler"/>
    <n v="29030.92"/>
    <n v="779333"/>
    <n v="623466.4"/>
    <n v="126835.67999999998"/>
    <s v="Carlos"/>
    <n v="5"/>
  </r>
  <r>
    <n v="1414"/>
    <d v="2017-05-21T00:00:00"/>
    <x v="573"/>
    <x v="2"/>
    <s v="Casa"/>
    <n v="206"/>
    <s v="Venta"/>
    <n v="47231.64"/>
    <n v="1243251"/>
    <n v="994600.8"/>
    <n v="201418.55999999994"/>
    <s v="Carlos"/>
    <n v="5"/>
  </r>
  <r>
    <n v="1415"/>
    <d v="2017-05-21T00:00:00"/>
    <x v="508"/>
    <x v="0"/>
    <s v="Depósito"/>
    <n v="173"/>
    <s v="Venta"/>
    <n v="35057.760000000002"/>
    <n v="933454"/>
    <n v="746763.2"/>
    <n v="151633.04000000004"/>
    <s v="Romina"/>
    <n v="4.9000000000000004"/>
  </r>
  <r>
    <n v="1416"/>
    <d v="2017-05-21T00:00:00"/>
    <x v="574"/>
    <x v="2"/>
    <s v="Departamento"/>
    <n v="92"/>
    <s v="Venta"/>
    <n v="32384.76"/>
    <n v="870879"/>
    <n v="696703.2"/>
    <n v="141791.04000000004"/>
    <s v="Iván"/>
    <n v="3.7"/>
  </r>
  <r>
    <n v="1417"/>
    <d v="2017-05-21T00:00:00"/>
    <x v="395"/>
    <x v="1"/>
    <s v="Departamento"/>
    <n v="259"/>
    <s v="Venta"/>
    <n v="44502.64"/>
    <n v="1174351"/>
    <n v="939480.8"/>
    <n v="190367.55999999994"/>
    <s v="Carlos"/>
    <n v="4.2"/>
  </r>
  <r>
    <n v="1418"/>
    <d v="2017-05-21T00:00:00"/>
    <x v="358"/>
    <x v="3"/>
    <s v="Local Comercial"/>
    <n v="82"/>
    <s v="Alquiler"/>
    <n v="19671.84"/>
    <n v="557006"/>
    <n v="445604.8"/>
    <n v="91729.360000000015"/>
    <s v="Romina"/>
    <n v="4.2"/>
  </r>
  <r>
    <n v="1419"/>
    <d v="2017-05-21T00:00:00"/>
    <x v="575"/>
    <x v="2"/>
    <s v="Terreno"/>
    <n v="241"/>
    <s v="Venta"/>
    <n v="51036.04"/>
    <n v="1336761"/>
    <n v="1069408.8"/>
    <n v="216316.15999999995"/>
    <s v="Carlos"/>
    <n v="3.9"/>
  </r>
  <r>
    <n v="1420"/>
    <d v="2017-05-21T00:00:00"/>
    <x v="374"/>
    <x v="0"/>
    <s v="Local Comercial"/>
    <n v="165"/>
    <s v="Venta"/>
    <n v="40480.839999999997"/>
    <n v="1077356"/>
    <n v="861884.8"/>
    <n v="174990.35999999996"/>
    <s v="Arturo"/>
    <n v="4.3"/>
  </r>
  <r>
    <n v="1421"/>
    <d v="2017-05-22T00:00:00"/>
    <x v="374"/>
    <x v="0"/>
    <s v="Depósito"/>
    <n v="189"/>
    <s v="Venta"/>
    <n v="62283.24"/>
    <n v="1621341"/>
    <n v="1297072.8"/>
    <n v="261984.95999999996"/>
    <s v="Carlos"/>
    <n v="4.8"/>
  </r>
  <r>
    <n v="1422"/>
    <d v="2017-05-22T00:00:00"/>
    <x v="546"/>
    <x v="1"/>
    <s v="Local Comercial"/>
    <n v="276"/>
    <s v="Venta"/>
    <n v="44130.2"/>
    <n v="1168715"/>
    <n v="934972"/>
    <n v="189612.79999999999"/>
    <s v="Arturo"/>
    <n v="4"/>
  </r>
  <r>
    <n v="1423"/>
    <d v="2017-05-23T00:00:00"/>
    <x v="531"/>
    <x v="2"/>
    <s v="Terreno"/>
    <n v="277"/>
    <s v="Venta"/>
    <n v="48835"/>
    <n v="1276885"/>
    <n v="1021508"/>
    <n v="206542"/>
    <s v="Iván"/>
    <n v="4.8"/>
  </r>
  <r>
    <n v="1424"/>
    <d v="2017-05-23T00:00:00"/>
    <x v="576"/>
    <x v="0"/>
    <s v="Terreno"/>
    <n v="179"/>
    <s v="Venta"/>
    <n v="62254.400000000001"/>
    <n v="1620270"/>
    <n v="1296216"/>
    <n v="261799.6"/>
    <s v="Sabrina"/>
    <n v="4.3"/>
  </r>
  <r>
    <n v="1425"/>
    <d v="2017-05-23T00:00:00"/>
    <x v="577"/>
    <x v="0"/>
    <s v="Terreno"/>
    <n v="56"/>
    <s v="Alquiler"/>
    <n v="20016.36"/>
    <n v="552644"/>
    <n v="442115.2"/>
    <n v="90512.439999999988"/>
    <s v="Sabrina"/>
    <n v="4.3"/>
  </r>
  <r>
    <n v="1426"/>
    <d v="2017-05-24T00:00:00"/>
    <x v="358"/>
    <x v="2"/>
    <s v="Depósito"/>
    <n v="82"/>
    <s v="Alquiler"/>
    <n v="17459.400000000001"/>
    <n v="503895"/>
    <n v="403116"/>
    <n v="83319.600000000006"/>
    <s v="Iván"/>
    <n v="4.8"/>
  </r>
  <r>
    <n v="1427"/>
    <d v="2017-05-24T00:00:00"/>
    <x v="576"/>
    <x v="0"/>
    <s v="Terreno"/>
    <n v="217"/>
    <s v="Venta"/>
    <n v="88216.56"/>
    <n v="2264924"/>
    <n v="1811939.2"/>
    <n v="364768.24000000005"/>
    <s v="Romina"/>
    <n v="4.7"/>
  </r>
  <r>
    <n v="1428"/>
    <d v="2017-05-24T00:00:00"/>
    <x v="377"/>
    <x v="0"/>
    <s v="Casa"/>
    <n v="192"/>
    <s v="Venta"/>
    <n v="60759.4"/>
    <n v="1575620"/>
    <n v="1260496"/>
    <n v="254364.6"/>
    <s v="Sabrina"/>
    <n v="4.0999999999999996"/>
  </r>
  <r>
    <n v="1429"/>
    <d v="2017-05-25T00:00:00"/>
    <x v="578"/>
    <x v="0"/>
    <s v="Depósito"/>
    <n v="196"/>
    <s v="Venta"/>
    <n v="41222"/>
    <n v="1083285"/>
    <n v="866628"/>
    <n v="175435"/>
    <s v="Ángeles"/>
    <n v="4.0999999999999996"/>
  </r>
  <r>
    <n v="1430"/>
    <d v="2017-05-25T00:00:00"/>
    <x v="579"/>
    <x v="3"/>
    <s v="Local Comercial"/>
    <n v="60"/>
    <s v="Alquiler"/>
    <n v="15493.2"/>
    <n v="452915"/>
    <n v="362332"/>
    <n v="75089.8"/>
    <s v="Arturo"/>
    <n v="3.9"/>
  </r>
  <r>
    <n v="1431"/>
    <d v="2017-05-25T00:00:00"/>
    <x v="580"/>
    <x v="2"/>
    <s v="Depósito"/>
    <n v="205"/>
    <s v="Venta"/>
    <n v="70498.12"/>
    <n v="1828613"/>
    <n v="1462890.4"/>
    <n v="295224.4800000001"/>
    <s v="Iván"/>
    <n v="4.3"/>
  </r>
  <r>
    <n v="1432"/>
    <d v="2017-05-25T00:00:00"/>
    <x v="472"/>
    <x v="1"/>
    <s v="Depósito"/>
    <n v="51"/>
    <s v="Alquiler"/>
    <n v="9964.52"/>
    <n v="300923"/>
    <n v="240738.4"/>
    <n v="50220.08"/>
    <s v="Carlos"/>
    <n v="4.4000000000000004"/>
  </r>
  <r>
    <n v="1433"/>
    <d v="2017-05-26T00:00:00"/>
    <x v="575"/>
    <x v="2"/>
    <s v="Departamento"/>
    <n v="270"/>
    <s v="Venta"/>
    <n v="63776.92"/>
    <n v="1647458"/>
    <n v="1317966.3999999999"/>
    <n v="265714.68000000011"/>
    <s v="Arturo"/>
    <n v="4.4000000000000004"/>
  </r>
  <r>
    <n v="1434"/>
    <d v="2017-05-27T00:00:00"/>
    <x v="467"/>
    <x v="0"/>
    <s v="Local Comercial"/>
    <n v="130"/>
    <s v="Alquiler"/>
    <n v="21726.36"/>
    <n v="609469"/>
    <n v="487575.2"/>
    <n v="100167.43999999999"/>
    <s v="Iván"/>
    <n v="3.7"/>
  </r>
  <r>
    <n v="1435"/>
    <d v="2017-05-27T00:00:00"/>
    <x v="442"/>
    <x v="2"/>
    <s v="Casa"/>
    <n v="73"/>
    <s v="Alquiler"/>
    <n v="21054"/>
    <n v="584485"/>
    <n v="467588"/>
    <n v="95843"/>
    <s v="Carlos"/>
    <n v="4.3"/>
  </r>
  <r>
    <n v="1436"/>
    <d v="2017-05-27T00:00:00"/>
    <x v="410"/>
    <x v="1"/>
    <s v="Departamento"/>
    <n v="169"/>
    <s v="Venta"/>
    <n v="56510"/>
    <n v="1464835"/>
    <n v="1171868"/>
    <n v="236457"/>
    <s v="Iván"/>
    <n v="4.9000000000000004"/>
  </r>
  <r>
    <n v="1437"/>
    <d v="2017-05-27T00:00:00"/>
    <x v="581"/>
    <x v="3"/>
    <s v="Departamento"/>
    <n v="254"/>
    <s v="Venta"/>
    <n v="56630.559999999998"/>
    <n v="1471724"/>
    <n v="1177379.2"/>
    <n v="237714.24000000005"/>
    <s v="Carlos"/>
    <n v="4.9000000000000004"/>
  </r>
  <r>
    <n v="1438"/>
    <d v="2017-05-28T00:00:00"/>
    <x v="582"/>
    <x v="1"/>
    <s v="Departamento"/>
    <n v="105"/>
    <s v="Venta"/>
    <n v="39135.040000000001"/>
    <n v="1037861"/>
    <n v="830288.8"/>
    <n v="168437.15999999995"/>
    <s v="Romina"/>
    <n v="4.8"/>
  </r>
  <r>
    <n v="1439"/>
    <d v="2017-05-28T00:00:00"/>
    <x v="466"/>
    <x v="2"/>
    <s v="Terreno"/>
    <n v="229"/>
    <s v="Venta"/>
    <n v="51295.56"/>
    <n v="1343149"/>
    <n v="1074519.2"/>
    <n v="217334.24000000005"/>
    <s v="Sabrina"/>
    <n v="3.9"/>
  </r>
  <r>
    <n v="1440"/>
    <d v="2017-05-28T00:00:00"/>
    <x v="412"/>
    <x v="0"/>
    <s v="Local Comercial"/>
    <n v="252"/>
    <s v="Venta"/>
    <n v="59039.199999999997"/>
    <n v="1541240"/>
    <n v="1232992"/>
    <n v="249208.8"/>
    <s v="Sabrina"/>
    <n v="3.7"/>
  </r>
  <r>
    <n v="1441"/>
    <d v="2017-05-29T00:00:00"/>
    <x v="473"/>
    <x v="1"/>
    <s v="Departamento"/>
    <n v="242"/>
    <s v="Venta"/>
    <n v="83533.039999999994"/>
    <n v="2152736"/>
    <n v="1722188.8"/>
    <n v="347014.16"/>
    <s v="Romina"/>
    <n v="5"/>
  </r>
  <r>
    <n v="1442"/>
    <d v="2017-05-29T00:00:00"/>
    <x v="583"/>
    <x v="3"/>
    <s v="Casa"/>
    <n v="154"/>
    <s v="Venta"/>
    <n v="59093.8"/>
    <n v="1532805"/>
    <n v="1226244"/>
    <n v="247467.2"/>
    <s v="Ángeles"/>
    <n v="4.8"/>
  </r>
  <r>
    <n v="1443"/>
    <d v="2017-05-29T00:00:00"/>
    <x v="584"/>
    <x v="0"/>
    <s v="Terreno"/>
    <n v="70"/>
    <s v="Alquiler"/>
    <n v="25787.279999999999"/>
    <n v="708742"/>
    <n v="566993.6"/>
    <n v="115961.12000000002"/>
    <s v="Sabrina"/>
    <n v="3.6"/>
  </r>
  <r>
    <n v="1444"/>
    <d v="2017-05-29T00:00:00"/>
    <x v="585"/>
    <x v="0"/>
    <s v="Local Comercial"/>
    <n v="200"/>
    <s v="Venta"/>
    <n v="37125.68"/>
    <n v="994877"/>
    <n v="795901.6"/>
    <n v="161849.72000000003"/>
    <s v="Carlos"/>
    <n v="4.2"/>
  </r>
  <r>
    <n v="1445"/>
    <d v="2017-05-29T00:00:00"/>
    <x v="478"/>
    <x v="0"/>
    <s v="Oficinas"/>
    <n v="130"/>
    <s v="Alquiler"/>
    <n v="22402.48"/>
    <n v="622297"/>
    <n v="497837.6"/>
    <n v="102056.92000000003"/>
    <s v="Sabrina"/>
    <n v="4.8"/>
  </r>
  <r>
    <n v="1446"/>
    <d v="2017-05-30T00:00:00"/>
    <x v="476"/>
    <x v="3"/>
    <s v="Departamento"/>
    <n v="50"/>
    <s v="Alquiler"/>
    <n v="18221.52"/>
    <n v="507473"/>
    <n v="405978.4"/>
    <n v="83273.079999999973"/>
    <s v="Ángeles"/>
    <n v="5"/>
  </r>
  <r>
    <n v="1447"/>
    <d v="2017-05-31T00:00:00"/>
    <x v="466"/>
    <x v="2"/>
    <s v="Depósito"/>
    <n v="91"/>
    <s v="Alquiler"/>
    <n v="21871.88"/>
    <n v="603557"/>
    <n v="482845.6"/>
    <n v="98839.520000000019"/>
    <s v="Iván"/>
    <n v="4.4000000000000004"/>
  </r>
  <r>
    <n v="1448"/>
    <d v="2017-05-31T00:00:00"/>
    <x v="586"/>
    <x v="1"/>
    <s v="Departamento"/>
    <n v="185"/>
    <s v="Venta"/>
    <n v="62165.48"/>
    <n v="1615497"/>
    <n v="1292397.6000000001"/>
    <n v="260933.9199999999"/>
    <s v="Ángeles"/>
    <n v="5"/>
  </r>
  <r>
    <n v="1449"/>
    <d v="2017-06-01T00:00:00"/>
    <x v="481"/>
    <x v="0"/>
    <s v="Casa"/>
    <n v="80"/>
    <s v="Alquiler"/>
    <n v="27316.6"/>
    <n v="743175"/>
    <n v="594540"/>
    <n v="121318.39999999999"/>
    <s v="Carlos"/>
    <n v="5"/>
  </r>
  <r>
    <n v="1450"/>
    <d v="2017-06-01T00:00:00"/>
    <x v="396"/>
    <x v="1"/>
    <s v="Oficinas"/>
    <n v="66"/>
    <s v="Alquiler"/>
    <n v="19132.919999999998"/>
    <n v="536183"/>
    <n v="428946.4"/>
    <n v="88103.679999999978"/>
    <s v="Arturo"/>
    <n v="3.7"/>
  </r>
  <r>
    <n v="1451"/>
    <d v="2017-06-02T00:00:00"/>
    <x v="587"/>
    <x v="0"/>
    <s v="Local Comercial"/>
    <n v="264"/>
    <s v="Venta"/>
    <n v="70384.399999999994"/>
    <n v="1815920"/>
    <n v="1452736"/>
    <n v="292799.59999999998"/>
    <s v="Iván"/>
    <n v="4.7"/>
  </r>
  <r>
    <n v="1452"/>
    <d v="2017-06-03T00:00:00"/>
    <x v="409"/>
    <x v="2"/>
    <s v="Local Comercial"/>
    <n v="67"/>
    <s v="Alquiler"/>
    <n v="17430"/>
    <n v="491485"/>
    <n v="393188"/>
    <n v="80867"/>
    <s v="Arturo"/>
    <n v="4.0999999999999996"/>
  </r>
  <r>
    <n v="1453"/>
    <d v="2017-06-04T00:00:00"/>
    <x v="553"/>
    <x v="1"/>
    <s v="Terreno"/>
    <n v="254"/>
    <s v="Venta"/>
    <n v="66288.44"/>
    <n v="1724321"/>
    <n v="1379456.8"/>
    <n v="278575.75999999995"/>
    <s v="Ángeles"/>
    <n v="4.7"/>
  </r>
  <r>
    <n v="1454"/>
    <d v="2017-06-04T00:00:00"/>
    <x v="477"/>
    <x v="2"/>
    <s v="Casa"/>
    <n v="187"/>
    <s v="Venta"/>
    <n v="63576.959999999999"/>
    <n v="1641859"/>
    <n v="1313487.2"/>
    <n v="264794.84000000003"/>
    <s v="Carlos"/>
    <n v="4"/>
  </r>
  <r>
    <n v="1455"/>
    <d v="2017-06-04T00:00:00"/>
    <x v="485"/>
    <x v="2"/>
    <s v="Oficinas"/>
    <n v="178"/>
    <s v="Venta"/>
    <n v="41282.959999999999"/>
    <n v="1084259"/>
    <n v="867407.2"/>
    <n v="175568.84000000005"/>
    <s v="Iván"/>
    <n v="4.4000000000000004"/>
  </r>
  <r>
    <n v="1456"/>
    <d v="2017-06-05T00:00:00"/>
    <x v="550"/>
    <x v="1"/>
    <s v="Casa"/>
    <n v="217"/>
    <s v="Venta"/>
    <n v="86777.08"/>
    <n v="2227237"/>
    <n v="1781789.6"/>
    <n v="358670.31999999989"/>
    <s v="Carlos"/>
    <n v="4.3"/>
  </r>
  <r>
    <n v="1457"/>
    <d v="2017-06-05T00:00:00"/>
    <x v="588"/>
    <x v="1"/>
    <s v="Estacionamiento"/>
    <n v="89"/>
    <s v="Alquiler"/>
    <n v="18674.240000000002"/>
    <n v="533291"/>
    <n v="426632.8"/>
    <n v="87983.96"/>
    <s v="Carlos"/>
    <n v="4.3"/>
  </r>
  <r>
    <n v="1458"/>
    <d v="2017-06-05T00:00:00"/>
    <x v="456"/>
    <x v="1"/>
    <s v="Departamento"/>
    <n v="273"/>
    <s v="Venta"/>
    <n v="66594.399999999994"/>
    <n v="1727570"/>
    <n v="1382056"/>
    <n v="278919.59999999998"/>
    <s v="Arturo"/>
    <n v="5"/>
  </r>
  <r>
    <n v="1459"/>
    <d v="2017-06-05T00:00:00"/>
    <x v="420"/>
    <x v="3"/>
    <s v="Depósito"/>
    <n v="72"/>
    <s v="Alquiler"/>
    <n v="17071.28"/>
    <n v="493017"/>
    <n v="394413.6"/>
    <n v="81532.120000000024"/>
    <s v="Carlos"/>
    <n v="4.0999999999999996"/>
  </r>
  <r>
    <n v="1460"/>
    <d v="2017-06-06T00:00:00"/>
    <x v="530"/>
    <x v="1"/>
    <s v="Local Comercial"/>
    <n v="223"/>
    <s v="Venta"/>
    <n v="40825.08"/>
    <n v="1075937"/>
    <n v="860749.6"/>
    <n v="174362.32"/>
    <s v="Romina"/>
    <n v="4.5"/>
  </r>
  <r>
    <n v="1461"/>
    <d v="2017-06-06T00:00:00"/>
    <x v="496"/>
    <x v="2"/>
    <s v="Depósito"/>
    <n v="122"/>
    <s v="Alquiler"/>
    <n v="21549.4"/>
    <n v="599570"/>
    <n v="479656"/>
    <n v="98364.6"/>
    <s v="Iván"/>
    <n v="4.3"/>
  </r>
  <r>
    <n v="1462"/>
    <d v="2017-06-06T00:00:00"/>
    <x v="516"/>
    <x v="3"/>
    <s v="Estacionamiento"/>
    <n v="76"/>
    <s v="Alquiler"/>
    <n v="17709.599999999999"/>
    <n v="507925"/>
    <n v="406340"/>
    <n v="83875.399999999994"/>
    <s v="Sabrina"/>
    <n v="4.4000000000000004"/>
  </r>
  <r>
    <n v="1463"/>
    <d v="2017-06-07T00:00:00"/>
    <x v="466"/>
    <x v="2"/>
    <s v="Departamento"/>
    <n v="170"/>
    <s v="Venta"/>
    <n v="62573.36"/>
    <n v="1628069"/>
    <n v="1302455.2"/>
    <n v="263040.44000000006"/>
    <s v="Carlos"/>
    <n v="4.2"/>
  </r>
  <r>
    <n v="1464"/>
    <d v="2017-06-07T00:00:00"/>
    <x v="483"/>
    <x v="2"/>
    <s v="Departamento"/>
    <n v="176"/>
    <s v="Venta"/>
    <n v="54810.28"/>
    <n v="1429642"/>
    <n v="1143713.6000000001"/>
    <n v="231118.11999999991"/>
    <s v="Sabrina"/>
    <n v="4.4000000000000004"/>
  </r>
  <r>
    <n v="1465"/>
    <d v="2017-06-08T00:00:00"/>
    <x v="589"/>
    <x v="3"/>
    <s v="Oficinas"/>
    <n v="58"/>
    <s v="Alquiler"/>
    <n v="20391.16"/>
    <n v="561939"/>
    <n v="449551.2"/>
    <n v="91996.639999999985"/>
    <s v="Sabrina"/>
    <n v="4.5999999999999996"/>
  </r>
  <r>
    <n v="1466"/>
    <d v="2017-06-08T00:00:00"/>
    <x v="584"/>
    <x v="1"/>
    <s v="Departamento"/>
    <n v="125"/>
    <s v="Venta"/>
    <n v="30933.119999999999"/>
    <n v="838913"/>
    <n v="671130.4"/>
    <n v="136849.47999999998"/>
    <s v="Carlos"/>
    <n v="4"/>
  </r>
  <r>
    <n v="1467"/>
    <d v="2017-06-09T00:00:00"/>
    <x v="358"/>
    <x v="1"/>
    <s v="Terreno"/>
    <n v="294"/>
    <s v="Venta"/>
    <n v="92508.88"/>
    <n v="2369582"/>
    <n v="1895665.6"/>
    <n v="381407.5199999999"/>
    <s v="Ángeles"/>
    <n v="3.6"/>
  </r>
  <r>
    <n v="1468"/>
    <d v="2017-06-09T00:00:00"/>
    <x v="590"/>
    <x v="2"/>
    <s v="Estacionamiento"/>
    <n v="124"/>
    <s v="Venta"/>
    <n v="51297.440000000002"/>
    <n v="1334171"/>
    <n v="1067336.8"/>
    <n v="215536.75999999995"/>
    <s v="Romina"/>
    <n v="4.5999999999999996"/>
  </r>
  <r>
    <n v="1469"/>
    <d v="2017-06-09T00:00:00"/>
    <x v="591"/>
    <x v="1"/>
    <s v="Terreno"/>
    <n v="48"/>
    <s v="Alquiler"/>
    <n v="15761.24"/>
    <n v="455741"/>
    <n v="364592.8"/>
    <n v="75386.960000000006"/>
    <s v="Arturo"/>
    <n v="4.7"/>
  </r>
  <r>
    <n v="1470"/>
    <d v="2017-06-09T00:00:00"/>
    <x v="592"/>
    <x v="2"/>
    <s v="Oficinas"/>
    <n v="268"/>
    <s v="Venta"/>
    <n v="106402.16"/>
    <n v="2727439"/>
    <n v="2181951.2000000002"/>
    <n v="439085.63999999978"/>
    <s v="Carlos"/>
    <n v="3.7"/>
  </r>
  <r>
    <n v="1471"/>
    <d v="2017-06-09T00:00:00"/>
    <x v="463"/>
    <x v="1"/>
    <s v="Terreno"/>
    <n v="62"/>
    <s v="Alquiler"/>
    <n v="18400.52"/>
    <n v="521498"/>
    <n v="417198.4"/>
    <n v="85899.079999999973"/>
    <s v="Carlos"/>
    <n v="4.7"/>
  </r>
  <r>
    <n v="1472"/>
    <d v="2017-06-10T00:00:00"/>
    <x v="593"/>
    <x v="1"/>
    <s v="Estacionamiento"/>
    <n v="136"/>
    <s v="Venta"/>
    <n v="49101.08"/>
    <n v="1287437"/>
    <n v="1029949.6"/>
    <n v="208386.32"/>
    <s v="Sabrina"/>
    <n v="4.9000000000000004"/>
  </r>
  <r>
    <n v="1473"/>
    <d v="2017-06-10T00:00:00"/>
    <x v="594"/>
    <x v="1"/>
    <s v="Depósito"/>
    <n v="210"/>
    <s v="Venta"/>
    <n v="77192.600000000006"/>
    <n v="1991825"/>
    <n v="1593460"/>
    <n v="321172.40000000002"/>
    <s v="Iván"/>
    <n v="4.2"/>
  </r>
  <r>
    <n v="1474"/>
    <d v="2017-06-11T00:00:00"/>
    <x v="506"/>
    <x v="0"/>
    <s v="Estacionamiento"/>
    <n v="263"/>
    <s v="Venta"/>
    <n v="100893.52"/>
    <n v="2585798"/>
    <n v="2068638.4"/>
    <n v="416266.08000000007"/>
    <s v="Romina"/>
    <n v="3.7"/>
  </r>
  <r>
    <n v="1475"/>
    <d v="2017-06-11T00:00:00"/>
    <x v="595"/>
    <x v="3"/>
    <s v="Estacionamiento"/>
    <n v="46"/>
    <s v="Alquiler"/>
    <n v="7597.48"/>
    <n v="252672"/>
    <n v="202137.60000000001"/>
    <n v="42936.92"/>
    <s v="Iván"/>
    <n v="3.6"/>
  </r>
  <r>
    <n v="1476"/>
    <d v="2017-06-11T00:00:00"/>
    <x v="404"/>
    <x v="0"/>
    <s v="Local Comercial"/>
    <n v="243"/>
    <s v="Venta"/>
    <n v="85955.28"/>
    <n v="2208717"/>
    <n v="1766973.6"/>
    <n v="355788.11999999988"/>
    <s v="Arturo"/>
    <n v="4.9000000000000004"/>
  </r>
  <r>
    <n v="1477"/>
    <d v="2017-06-12T00:00:00"/>
    <x v="596"/>
    <x v="0"/>
    <s v="Oficinas"/>
    <n v="67"/>
    <s v="Alquiler"/>
    <n v="13826.8"/>
    <n v="400755"/>
    <n v="320604"/>
    <n v="66324.2"/>
    <s v="Ángeles"/>
    <n v="3.9"/>
  </r>
  <r>
    <n v="1478"/>
    <d v="2017-06-12T00:00:00"/>
    <x v="571"/>
    <x v="0"/>
    <s v="Departamento"/>
    <n v="224"/>
    <s v="Venta"/>
    <n v="59102.04"/>
    <n v="1540786"/>
    <n v="1232628.8"/>
    <n v="249055.15999999995"/>
    <s v="Carlos"/>
    <n v="4.9000000000000004"/>
  </r>
  <r>
    <n v="1479"/>
    <d v="2017-06-13T00:00:00"/>
    <x v="597"/>
    <x v="1"/>
    <s v="Depósito"/>
    <n v="47"/>
    <s v="Alquiler"/>
    <n v="15867.24"/>
    <n v="453716"/>
    <n v="362972.8"/>
    <n v="74875.960000000006"/>
    <s v="Arturo"/>
    <n v="4.9000000000000004"/>
  </r>
  <r>
    <n v="1480"/>
    <d v="2017-06-13T00:00:00"/>
    <x v="567"/>
    <x v="2"/>
    <s v="Local Comercial"/>
    <n v="117"/>
    <s v="Venta"/>
    <n v="41376.120000000003"/>
    <n v="1090113"/>
    <n v="872090.4"/>
    <n v="176646.47999999998"/>
    <s v="Ángeles"/>
    <n v="4"/>
  </r>
  <r>
    <n v="1481"/>
    <d v="2017-06-13T00:00:00"/>
    <x v="381"/>
    <x v="2"/>
    <s v="Casa"/>
    <n v="254"/>
    <s v="Venta"/>
    <n v="52679.32"/>
    <n v="1381418"/>
    <n v="1105134.3999999999"/>
    <n v="223604.28000000009"/>
    <s v="Arturo"/>
    <n v="4.3"/>
  </r>
  <r>
    <n v="1482"/>
    <d v="2017-06-13T00:00:00"/>
    <x v="598"/>
    <x v="0"/>
    <s v="Local Comercial"/>
    <n v="153"/>
    <s v="Venta"/>
    <n v="33945.68"/>
    <n v="904852"/>
    <n v="723881.6"/>
    <n v="147024.72000000003"/>
    <s v="Iván"/>
    <n v="4.0999999999999996"/>
  </r>
  <r>
    <n v="1483"/>
    <d v="2017-06-13T00:00:00"/>
    <x v="358"/>
    <x v="2"/>
    <s v="Departamento"/>
    <n v="61"/>
    <s v="Alquiler"/>
    <n v="13656.36"/>
    <n v="404869"/>
    <n v="323895.2"/>
    <n v="67317.439999999988"/>
    <s v="Iván"/>
    <n v="4.0999999999999996"/>
  </r>
  <r>
    <n v="1484"/>
    <d v="2017-06-13T00:00:00"/>
    <x v="571"/>
    <x v="1"/>
    <s v="Departamento"/>
    <n v="278"/>
    <s v="Venta"/>
    <n v="106054.6"/>
    <n v="2714075"/>
    <n v="2171260"/>
    <n v="436760.4"/>
    <s v="Sabrina"/>
    <n v="4.7"/>
  </r>
  <r>
    <n v="1485"/>
    <d v="2017-06-14T00:00:00"/>
    <x v="599"/>
    <x v="1"/>
    <s v="Departamento"/>
    <n v="144"/>
    <s v="Venta"/>
    <n v="58728.12"/>
    <n v="1520513"/>
    <n v="1216410.3999999999"/>
    <n v="245374.4800000001"/>
    <s v="Iván"/>
    <n v="5"/>
  </r>
  <r>
    <n v="1486"/>
    <d v="2017-06-15T00:00:00"/>
    <x v="551"/>
    <x v="3"/>
    <s v="Local Comercial"/>
    <n v="162"/>
    <s v="Venta"/>
    <n v="44100.24"/>
    <n v="1158391"/>
    <n v="926712.8"/>
    <n v="187577.95999999996"/>
    <s v="Romina"/>
    <n v="4.0999999999999996"/>
  </r>
  <r>
    <n v="1487"/>
    <d v="2017-06-15T00:00:00"/>
    <x v="600"/>
    <x v="0"/>
    <s v="Estacionamiento"/>
    <n v="106"/>
    <s v="Alquiler"/>
    <n v="20778.599999999999"/>
    <n v="574400"/>
    <n v="459520"/>
    <n v="94101.4"/>
    <s v="Romina"/>
    <n v="4.7"/>
  </r>
  <r>
    <n v="1488"/>
    <d v="2017-06-15T00:00:00"/>
    <x v="601"/>
    <x v="1"/>
    <s v="Terreno"/>
    <n v="100"/>
    <s v="Alquiler"/>
    <n v="27400.04"/>
    <n v="740961"/>
    <n v="592768.80000000005"/>
    <n v="120792.15999999995"/>
    <s v="Carlos"/>
    <n v="4.3"/>
  </r>
  <r>
    <n v="1489"/>
    <d v="2017-06-15T00:00:00"/>
    <x v="576"/>
    <x v="3"/>
    <s v="Estacionamiento"/>
    <n v="141"/>
    <s v="Venta"/>
    <n v="51920.68"/>
    <n v="1360277"/>
    <n v="1088221.6000000001"/>
    <n v="220134.71999999991"/>
    <s v="Iván"/>
    <n v="4.4000000000000004"/>
  </r>
  <r>
    <n v="1490"/>
    <d v="2017-06-16T00:00:00"/>
    <x v="589"/>
    <x v="2"/>
    <s v="Depósito"/>
    <n v="108"/>
    <s v="Alquiler"/>
    <n v="26502.48"/>
    <n v="728197"/>
    <n v="582557.6"/>
    <n v="119136.92000000003"/>
    <s v="Arturo"/>
    <n v="3.9"/>
  </r>
  <r>
    <n v="1491"/>
    <d v="2017-06-16T00:00:00"/>
    <x v="602"/>
    <x v="0"/>
    <s v="Oficinas"/>
    <n v="135"/>
    <s v="Venta"/>
    <n v="48660.36"/>
    <n v="1277519"/>
    <n v="1022015.2"/>
    <n v="206843.44000000006"/>
    <s v="Romina"/>
    <n v="4.0999999999999996"/>
  </r>
  <r>
    <n v="1492"/>
    <d v="2017-06-16T00:00:00"/>
    <x v="491"/>
    <x v="1"/>
    <s v="Depósito"/>
    <n v="161"/>
    <s v="Venta"/>
    <n v="55578.2"/>
    <n v="1441790"/>
    <n v="1153432"/>
    <n v="232779.8"/>
    <s v="Romina"/>
    <n v="4.3"/>
  </r>
  <r>
    <n v="1493"/>
    <d v="2017-06-16T00:00:00"/>
    <x v="520"/>
    <x v="3"/>
    <s v="Casa"/>
    <n v="243"/>
    <s v="Venta"/>
    <n v="39381"/>
    <n v="1038235"/>
    <n v="830588"/>
    <n v="168266"/>
    <s v="Carlos"/>
    <n v="4.9000000000000004"/>
  </r>
  <r>
    <n v="1494"/>
    <d v="2017-06-17T00:00:00"/>
    <x v="603"/>
    <x v="1"/>
    <s v="Casa"/>
    <n v="196"/>
    <s v="Venta"/>
    <n v="57943.8"/>
    <n v="1507805"/>
    <n v="1206244"/>
    <n v="243617.2"/>
    <s v="Romina"/>
    <n v="4.9000000000000004"/>
  </r>
  <r>
    <n v="1495"/>
    <d v="2017-06-17T00:00:00"/>
    <x v="567"/>
    <x v="2"/>
    <s v="Terreno"/>
    <n v="194"/>
    <s v="Venta"/>
    <n v="62766.400000000001"/>
    <n v="1626495"/>
    <n v="1301196"/>
    <n v="262532.59999999998"/>
    <s v="Romina"/>
    <n v="4.8"/>
  </r>
  <r>
    <n v="1496"/>
    <d v="2017-06-18T00:00:00"/>
    <x v="604"/>
    <x v="2"/>
    <s v="Oficinas"/>
    <n v="274"/>
    <s v="Venta"/>
    <n v="99935.16"/>
    <n v="2557389"/>
    <n v="2045911.2"/>
    <n v="411542.64"/>
    <s v="Sabrina"/>
    <n v="4.5"/>
  </r>
  <r>
    <n v="1497"/>
    <d v="2017-06-18T00:00:00"/>
    <x v="475"/>
    <x v="0"/>
    <s v="Oficinas"/>
    <n v="172"/>
    <s v="Venta"/>
    <n v="34276"/>
    <n v="916560"/>
    <n v="733248"/>
    <n v="149036"/>
    <s v="Iván"/>
    <n v="3.9"/>
  </r>
  <r>
    <n v="1498"/>
    <d v="2017-06-18T00:00:00"/>
    <x v="395"/>
    <x v="0"/>
    <s v="Local Comercial"/>
    <n v="52"/>
    <s v="Alquiler"/>
    <n v="9196.2000000000007"/>
    <n v="293115"/>
    <n v="234492"/>
    <n v="49426.8"/>
    <s v="Ángeles"/>
    <n v="4.0999999999999996"/>
  </r>
  <r>
    <n v="1499"/>
    <d v="2017-06-19T00:00:00"/>
    <x v="427"/>
    <x v="2"/>
    <s v="Casa"/>
    <n v="172"/>
    <s v="Venta"/>
    <n v="42373"/>
    <n v="1120785"/>
    <n v="896628"/>
    <n v="181784"/>
    <s v="Sabrina"/>
    <n v="3.7"/>
  </r>
  <r>
    <n v="1500"/>
    <d v="2017-06-20T00:00:00"/>
    <x v="528"/>
    <x v="2"/>
    <s v="Oficinas"/>
    <n v="121"/>
    <s v="Alquiler"/>
    <n v="23204"/>
    <n v="632235"/>
    <n v="505788"/>
    <n v="103243"/>
    <s v="Carlos"/>
    <n v="4.5999999999999996"/>
  </r>
  <r>
    <n v="1501"/>
    <d v="2017-06-21T00:00:00"/>
    <x v="605"/>
    <x v="1"/>
    <s v="Casa"/>
    <n v="47"/>
    <s v="Alquiler"/>
    <n v="11915.76"/>
    <n v="353529"/>
    <n v="282823.2"/>
    <n v="58790.039999999986"/>
    <s v="Iván"/>
    <n v="4.4000000000000004"/>
  </r>
  <r>
    <n v="1502"/>
    <d v="2017-06-21T00:00:00"/>
    <x v="474"/>
    <x v="2"/>
    <s v="Departamento"/>
    <n v="114"/>
    <s v="Venta"/>
    <n v="46322.400000000001"/>
    <n v="1211645"/>
    <n v="969316"/>
    <n v="196006.6"/>
    <s v="Romina"/>
    <n v="4.8"/>
  </r>
  <r>
    <n v="1503"/>
    <d v="2017-06-21T00:00:00"/>
    <x v="578"/>
    <x v="1"/>
    <s v="Casa"/>
    <n v="154"/>
    <s v="Venta"/>
    <n v="37989.440000000002"/>
    <n v="1013496"/>
    <n v="810796.8"/>
    <n v="164709.75999999995"/>
    <s v="Romina"/>
    <n v="4.7"/>
  </r>
  <r>
    <n v="1504"/>
    <d v="2017-06-21T00:00:00"/>
    <x v="557"/>
    <x v="2"/>
    <s v="Casa"/>
    <n v="185"/>
    <s v="Venta"/>
    <n v="30507.200000000001"/>
    <n v="814915"/>
    <n v="651932"/>
    <n v="132475.79999999999"/>
    <s v="Carlos"/>
    <n v="4.7"/>
  </r>
  <r>
    <n v="1505"/>
    <d v="2017-06-22T00:00:00"/>
    <x v="606"/>
    <x v="1"/>
    <s v="Departamento"/>
    <n v="41"/>
    <s v="Alquiler"/>
    <n v="7580.92"/>
    <n v="256633"/>
    <n v="205306.4"/>
    <n v="43745.680000000008"/>
    <s v="Iván"/>
    <n v="3.8"/>
  </r>
  <r>
    <n v="1506"/>
    <d v="2017-06-22T00:00:00"/>
    <x v="607"/>
    <x v="3"/>
    <s v="Local Comercial"/>
    <n v="253"/>
    <s v="Venta"/>
    <n v="99891.6"/>
    <n v="2549125"/>
    <n v="2039300"/>
    <n v="409933.4"/>
    <s v="Iván"/>
    <n v="4.9000000000000004"/>
  </r>
  <r>
    <n v="1507"/>
    <d v="2017-06-22T00:00:00"/>
    <x v="608"/>
    <x v="1"/>
    <s v="Departamento"/>
    <n v="115"/>
    <s v="Alquiler"/>
    <n v="27477.4"/>
    <n v="752745"/>
    <n v="602196"/>
    <n v="123071.6"/>
    <s v="Sabrina"/>
    <n v="5"/>
  </r>
  <r>
    <n v="1508"/>
    <d v="2017-06-22T00:00:00"/>
    <x v="560"/>
    <x v="1"/>
    <s v="Oficinas"/>
    <n v="269"/>
    <s v="Venta"/>
    <n v="102962.2"/>
    <n v="2631265"/>
    <n v="2105012"/>
    <n v="423290.8"/>
    <s v="Ángeles"/>
    <n v="4.9000000000000004"/>
  </r>
  <r>
    <n v="1509"/>
    <d v="2017-06-22T00:00:00"/>
    <x v="494"/>
    <x v="0"/>
    <s v="Depósito"/>
    <n v="237"/>
    <s v="Venta"/>
    <n v="86048.12"/>
    <n v="2217113"/>
    <n v="1773690.4"/>
    <n v="357374.4800000001"/>
    <s v="Arturo"/>
    <n v="3.8"/>
  </r>
  <r>
    <n v="1510"/>
    <d v="2017-06-22T00:00:00"/>
    <x v="494"/>
    <x v="0"/>
    <s v="Estacionamiento"/>
    <n v="158"/>
    <s v="Alquiler"/>
    <n v="29367.16"/>
    <n v="799814"/>
    <n v="639851.19999999995"/>
    <n v="130595.64000000004"/>
    <s v="Carlos"/>
    <n v="4.4000000000000004"/>
  </r>
  <r>
    <n v="1511"/>
    <d v="2017-06-23T00:00:00"/>
    <x v="596"/>
    <x v="2"/>
    <s v="Departamento"/>
    <n v="207"/>
    <s v="Venta"/>
    <n v="62519.519999999997"/>
    <n v="1623548"/>
    <n v="1298838.3999999999"/>
    <n v="262190.08000000007"/>
    <s v="Romina"/>
    <n v="4.9000000000000004"/>
  </r>
  <r>
    <n v="1512"/>
    <d v="2017-06-23T00:00:00"/>
    <x v="609"/>
    <x v="1"/>
    <s v="Depósito"/>
    <n v="256"/>
    <s v="Venta"/>
    <n v="96140.36"/>
    <n v="2455694"/>
    <n v="1964555.2"/>
    <n v="394998.44000000006"/>
    <s v="Ángeles"/>
    <n v="4.2"/>
  </r>
  <r>
    <n v="1513"/>
    <d v="2017-06-24T00:00:00"/>
    <x v="530"/>
    <x v="3"/>
    <s v="Local Comercial"/>
    <n v="195"/>
    <s v="Venta"/>
    <n v="38845.599999999999"/>
    <n v="1023525"/>
    <n v="818820"/>
    <n v="165859.4"/>
    <s v="Sabrina"/>
    <n v="4.9000000000000004"/>
  </r>
  <r>
    <n v="1514"/>
    <d v="2017-06-24T00:00:00"/>
    <x v="545"/>
    <x v="3"/>
    <s v="Terreno"/>
    <n v="105"/>
    <s v="Venta"/>
    <n v="30473"/>
    <n v="817485"/>
    <n v="653988"/>
    <n v="133024"/>
    <s v="Ángeles"/>
    <n v="5"/>
  </r>
  <r>
    <n v="1515"/>
    <d v="2017-06-26T00:00:00"/>
    <x v="519"/>
    <x v="2"/>
    <s v="Local Comercial"/>
    <n v="194"/>
    <s v="Venta"/>
    <n v="66382"/>
    <n v="1725485"/>
    <n v="1380388"/>
    <n v="278715"/>
    <s v="Sabrina"/>
    <n v="4"/>
  </r>
  <r>
    <n v="1516"/>
    <d v="2017-06-27T00:00:00"/>
    <x v="546"/>
    <x v="1"/>
    <s v="Oficinas"/>
    <n v="175"/>
    <s v="Venta"/>
    <n v="31592.560000000001"/>
    <n v="842199"/>
    <n v="673759.2"/>
    <n v="136847.24000000005"/>
    <s v="Romina"/>
    <n v="4.0999999999999996"/>
  </r>
  <r>
    <n v="1517"/>
    <d v="2017-06-28T00:00:00"/>
    <x v="439"/>
    <x v="1"/>
    <s v="Casa"/>
    <n v="133"/>
    <s v="Venta"/>
    <n v="47831.040000000001"/>
    <n v="1253986"/>
    <n v="1003188.8"/>
    <n v="202966.15999999995"/>
    <s v="Carlos"/>
    <n v="4.5"/>
  </r>
  <r>
    <n v="1518"/>
    <d v="2017-06-28T00:00:00"/>
    <x v="384"/>
    <x v="3"/>
    <s v="Casa"/>
    <n v="147"/>
    <s v="Venta"/>
    <n v="57112.959999999999"/>
    <n v="1493484"/>
    <n v="1194787.2"/>
    <n v="241583.84000000005"/>
    <s v="Romina"/>
    <n v="4.2"/>
  </r>
  <r>
    <n v="1519"/>
    <d v="2017-06-28T00:00:00"/>
    <x v="610"/>
    <x v="1"/>
    <s v="Oficinas"/>
    <n v="70"/>
    <s v="Alquiler"/>
    <n v="25633.32"/>
    <n v="696343"/>
    <n v="557074.4"/>
    <n v="113635.27999999997"/>
    <s v="Romina"/>
    <n v="3.9"/>
  </r>
  <r>
    <n v="1520"/>
    <d v="2017-06-28T00:00:00"/>
    <x v="466"/>
    <x v="0"/>
    <s v="Terreno"/>
    <n v="172"/>
    <s v="Venta"/>
    <n v="39129"/>
    <n v="1036435"/>
    <n v="829148"/>
    <n v="168158"/>
    <s v="Romina"/>
    <n v="4.2"/>
  </r>
  <r>
    <n v="1521"/>
    <d v="2017-06-29T00:00:00"/>
    <x v="410"/>
    <x v="1"/>
    <s v="Casa"/>
    <n v="46"/>
    <s v="Alquiler"/>
    <n v="15285.72"/>
    <n v="435628"/>
    <n v="348502.4"/>
    <n v="71839.879999999976"/>
    <s v="Iván"/>
    <n v="4.4000000000000004"/>
  </r>
  <r>
    <n v="1522"/>
    <d v="2017-06-29T00:00:00"/>
    <x v="611"/>
    <x v="1"/>
    <s v="Oficinas"/>
    <n v="36"/>
    <s v="Alquiler"/>
    <n v="11449.8"/>
    <n v="342605"/>
    <n v="274084"/>
    <n v="57071.199999999997"/>
    <s v="Romina"/>
    <n v="4.5999999999999996"/>
  </r>
  <r>
    <n v="1523"/>
    <d v="2017-06-29T00:00:00"/>
    <x v="612"/>
    <x v="1"/>
    <s v="Local Comercial"/>
    <n v="151"/>
    <s v="Venta"/>
    <n v="56952.28"/>
    <n v="1490717"/>
    <n v="1192573.6000000001"/>
    <n v="241191.11999999991"/>
    <s v="Arturo"/>
    <n v="3.9"/>
  </r>
  <r>
    <n v="1524"/>
    <d v="2017-06-29T00:00:00"/>
    <x v="462"/>
    <x v="1"/>
    <s v="Casa"/>
    <n v="131"/>
    <s v="Venta"/>
    <n v="34501.199999999997"/>
    <n v="916865"/>
    <n v="733492"/>
    <n v="148871.79999999999"/>
    <s v="Ángeles"/>
    <n v="4.8"/>
  </r>
  <r>
    <n v="1525"/>
    <d v="2017-06-30T00:00:00"/>
    <x v="542"/>
    <x v="0"/>
    <s v="Depósito"/>
    <n v="247"/>
    <s v="Venta"/>
    <n v="90158.88"/>
    <n v="2319857"/>
    <n v="1855885.6"/>
    <n v="373812.5199999999"/>
    <s v="Romina"/>
    <n v="4.4000000000000004"/>
  </r>
  <r>
    <n v="1526"/>
    <d v="2017-06-30T00:00:00"/>
    <x v="613"/>
    <x v="0"/>
    <s v="Casa"/>
    <n v="63"/>
    <s v="Alquiler"/>
    <n v="22430.32"/>
    <n v="623393"/>
    <n v="498714.4"/>
    <n v="102248.27999999997"/>
    <s v="Sabrina"/>
    <n v="5"/>
  </r>
  <r>
    <n v="1527"/>
    <d v="2017-06-30T00:00:00"/>
    <x v="377"/>
    <x v="2"/>
    <s v="Depósito"/>
    <n v="46"/>
    <s v="Alquiler"/>
    <n v="15201"/>
    <n v="437085"/>
    <n v="349668"/>
    <n v="72216"/>
    <s v="Ángeles"/>
    <n v="4.8"/>
  </r>
  <r>
    <n v="1528"/>
    <d v="2017-06-30T00:00:00"/>
    <x v="551"/>
    <x v="1"/>
    <s v="Casa"/>
    <n v="201"/>
    <s v="Venta"/>
    <n v="44325.32"/>
    <n v="1169093"/>
    <n v="935274.4"/>
    <n v="189493.27999999997"/>
    <s v="Ángeles"/>
    <n v="4.2"/>
  </r>
  <r>
    <n v="1529"/>
    <d v="2017-06-30T00:00:00"/>
    <x v="614"/>
    <x v="2"/>
    <s v="Estacionamiento"/>
    <n v="180"/>
    <s v="Venta"/>
    <n v="49638"/>
    <n v="1293560"/>
    <n v="1034848"/>
    <n v="209074"/>
    <s v="Ángeles"/>
    <n v="4.4000000000000004"/>
  </r>
  <r>
    <n v="1530"/>
    <d v="2017-06-30T00:00:00"/>
    <x v="615"/>
    <x v="1"/>
    <s v="Oficinas"/>
    <n v="63"/>
    <s v="Alquiler"/>
    <n v="18383.599999999999"/>
    <n v="516725"/>
    <n v="413380"/>
    <n v="84961.4"/>
    <s v="Iván"/>
    <n v="4.3"/>
  </r>
  <r>
    <n v="1531"/>
    <d v="2017-07-01T00:00:00"/>
    <x v="429"/>
    <x v="1"/>
    <s v="Local Comercial"/>
    <n v="247"/>
    <s v="Venta"/>
    <n v="91835.64"/>
    <n v="2362251"/>
    <n v="1889800.8"/>
    <n v="380614.55999999994"/>
    <s v="Carlos"/>
    <n v="3.7"/>
  </r>
  <r>
    <n v="1532"/>
    <d v="2017-07-01T00:00:00"/>
    <x v="616"/>
    <x v="0"/>
    <s v="Depósito"/>
    <n v="255"/>
    <s v="Venta"/>
    <n v="60735.199999999997"/>
    <n v="1579065"/>
    <n v="1263252"/>
    <n v="255077.8"/>
    <s v="Sabrina"/>
    <n v="4.3"/>
  </r>
  <r>
    <n v="1533"/>
    <d v="2017-07-01T00:00:00"/>
    <x v="612"/>
    <x v="2"/>
    <s v="Casa"/>
    <n v="64"/>
    <s v="Alquiler"/>
    <n v="20806.080000000002"/>
    <n v="576937"/>
    <n v="461549.6"/>
    <n v="94581.320000000022"/>
    <s v="Iván"/>
    <n v="5"/>
  </r>
  <r>
    <n v="1534"/>
    <d v="2017-07-02T00:00:00"/>
    <x v="567"/>
    <x v="1"/>
    <s v="Estacionamiento"/>
    <n v="211"/>
    <s v="Venta"/>
    <n v="68872.72"/>
    <n v="1778778"/>
    <n v="1423022.4"/>
    <n v="286882.88000000012"/>
    <s v="Arturo"/>
    <n v="3.6"/>
  </r>
  <r>
    <n v="1535"/>
    <d v="2017-07-04T00:00:00"/>
    <x v="439"/>
    <x v="2"/>
    <s v="Casa"/>
    <n v="65"/>
    <s v="Alquiler"/>
    <n v="17419.240000000002"/>
    <n v="493241"/>
    <n v="394592.8"/>
    <n v="81228.960000000006"/>
    <s v="Arturo"/>
    <n v="4.0999999999999996"/>
  </r>
  <r>
    <n v="1536"/>
    <d v="2017-07-04T00:00:00"/>
    <x v="430"/>
    <x v="3"/>
    <s v="Casa"/>
    <n v="39"/>
    <s v="Alquiler"/>
    <n v="13340.36"/>
    <n v="398244"/>
    <n v="318595.20000000001"/>
    <n v="66308.439999999988"/>
    <s v="Iván"/>
    <n v="4.7"/>
  </r>
  <r>
    <n v="1537"/>
    <d v="2017-07-04T00:00:00"/>
    <x v="610"/>
    <x v="3"/>
    <s v="Depósito"/>
    <n v="192"/>
    <s v="Venta"/>
    <n v="40584.04"/>
    <n v="1072311"/>
    <n v="857848.8"/>
    <n v="173878.15999999995"/>
    <s v="Iván"/>
    <n v="4.8"/>
  </r>
  <r>
    <n v="1538"/>
    <d v="2017-07-04T00:00:00"/>
    <x v="617"/>
    <x v="0"/>
    <s v="Departamento"/>
    <n v="157"/>
    <s v="Venta"/>
    <n v="55109.08"/>
    <n v="1442337"/>
    <n v="1153869.6000000001"/>
    <n v="233358.31999999989"/>
    <s v="Arturo"/>
    <n v="3.7"/>
  </r>
  <r>
    <n v="1539"/>
    <d v="2017-07-04T00:00:00"/>
    <x v="466"/>
    <x v="3"/>
    <s v="Estacionamiento"/>
    <n v="97"/>
    <s v="Venta"/>
    <n v="33027.72"/>
    <n v="886853"/>
    <n v="709482.4"/>
    <n v="144342.87999999998"/>
    <s v="Romina"/>
    <n v="4.0999999999999996"/>
  </r>
  <r>
    <n v="1540"/>
    <d v="2017-07-05T00:00:00"/>
    <x v="456"/>
    <x v="3"/>
    <s v="Departamento"/>
    <n v="223"/>
    <s v="Venta"/>
    <n v="88343.76"/>
    <n v="2260404"/>
    <n v="1808323.2"/>
    <n v="363737.04000000004"/>
    <s v="Carlos"/>
    <n v="5"/>
  </r>
  <r>
    <n v="1541"/>
    <d v="2017-07-06T00:00:00"/>
    <x v="618"/>
    <x v="3"/>
    <s v="Local Comercial"/>
    <n v="117"/>
    <s v="Venta"/>
    <n v="40841.64"/>
    <n v="1082301"/>
    <n v="865840.8"/>
    <n v="175618.55999999994"/>
    <s v="Romina"/>
    <n v="4.0999999999999996"/>
  </r>
  <r>
    <n v="1542"/>
    <d v="2017-07-06T00:00:00"/>
    <x v="571"/>
    <x v="1"/>
    <s v="Oficinas"/>
    <n v="236"/>
    <s v="Venta"/>
    <n v="95336.320000000007"/>
    <n v="2437568"/>
    <n v="1950054.3999999999"/>
    <n v="392177.28000000009"/>
    <s v="Carlos"/>
    <n v="4"/>
  </r>
  <r>
    <n v="1543"/>
    <d v="2017-07-06T00:00:00"/>
    <x v="513"/>
    <x v="3"/>
    <s v="Local Comercial"/>
    <n v="46"/>
    <s v="Alquiler"/>
    <n v="14045.76"/>
    <n v="417979"/>
    <n v="334383.2"/>
    <n v="69550.039999999994"/>
    <s v="Sabrina"/>
    <n v="4.2"/>
  </r>
  <r>
    <n v="1544"/>
    <d v="2017-07-06T00:00:00"/>
    <x v="619"/>
    <x v="2"/>
    <s v="Oficinas"/>
    <n v="195"/>
    <s v="Venta"/>
    <n v="61869.72"/>
    <n v="1609978"/>
    <n v="1287982.3999999999"/>
    <n v="260125.88000000009"/>
    <s v="Sabrina"/>
    <n v="4"/>
  </r>
  <r>
    <n v="1545"/>
    <d v="2017-07-06T00:00:00"/>
    <x v="620"/>
    <x v="2"/>
    <s v="Departamento"/>
    <n v="84"/>
    <s v="Venta"/>
    <n v="33530.32"/>
    <n v="902493"/>
    <n v="721994.4"/>
    <n v="146968.27999999997"/>
    <s v="Arturo"/>
    <n v="4.3"/>
  </r>
  <r>
    <n v="1546"/>
    <d v="2017-07-07T00:00:00"/>
    <x v="591"/>
    <x v="3"/>
    <s v="Departamento"/>
    <n v="132"/>
    <s v="Venta"/>
    <n v="51073.4"/>
    <n v="1330595"/>
    <n v="1064476"/>
    <n v="215045.6"/>
    <s v="Iván"/>
    <n v="3.9"/>
  </r>
  <r>
    <n v="1547"/>
    <d v="2017-07-07T00:00:00"/>
    <x v="621"/>
    <x v="0"/>
    <s v="Departamento"/>
    <n v="209"/>
    <s v="Venta"/>
    <n v="49182.36"/>
    <n v="1295019"/>
    <n v="1036015.2"/>
    <n v="209821.44000000006"/>
    <s v="Ángeles"/>
    <n v="4.9000000000000004"/>
  </r>
  <r>
    <n v="1548"/>
    <d v="2017-07-08T00:00:00"/>
    <x v="605"/>
    <x v="3"/>
    <s v="Estacionamiento"/>
    <n v="38"/>
    <s v="Alquiler"/>
    <n v="12148.4"/>
    <n v="367370"/>
    <n v="293896"/>
    <n v="61325.599999999999"/>
    <s v="Iván"/>
    <n v="3.9"/>
  </r>
  <r>
    <n v="1549"/>
    <d v="2017-07-08T00:00:00"/>
    <x v="466"/>
    <x v="2"/>
    <s v="Oficinas"/>
    <n v="56"/>
    <s v="Alquiler"/>
    <n v="19749.36"/>
    <n v="555744"/>
    <n v="444595.20000000001"/>
    <n v="91399.439999999988"/>
    <s v="Ángeles"/>
    <n v="4"/>
  </r>
  <r>
    <n v="1550"/>
    <d v="2017-07-09T00:00:00"/>
    <x v="611"/>
    <x v="2"/>
    <s v="Local Comercial"/>
    <n v="170"/>
    <s v="Venta"/>
    <n v="31375.759999999998"/>
    <n v="840629"/>
    <n v="672503.2"/>
    <n v="136750.04000000004"/>
    <s v="Ángeles"/>
    <n v="4.2"/>
  </r>
  <r>
    <n v="1551"/>
    <d v="2017-07-09T00:00:00"/>
    <x v="584"/>
    <x v="3"/>
    <s v="Oficinas"/>
    <n v="163"/>
    <s v="Venta"/>
    <n v="36987.4"/>
    <n v="980870"/>
    <n v="784696"/>
    <n v="159186.6"/>
    <s v="Romina"/>
    <n v="4.5"/>
  </r>
  <r>
    <n v="1552"/>
    <d v="2017-07-10T00:00:00"/>
    <x v="622"/>
    <x v="0"/>
    <s v="Depósito"/>
    <n v="104"/>
    <s v="Alquiler"/>
    <n v="16776.12"/>
    <n v="472913"/>
    <n v="378330.4"/>
    <n v="77806.479999999981"/>
    <s v="Iván"/>
    <n v="4.5"/>
  </r>
  <r>
    <n v="1553"/>
    <d v="2017-07-11T00:00:00"/>
    <x v="457"/>
    <x v="0"/>
    <s v="Estacionamiento"/>
    <n v="123"/>
    <s v="Venta"/>
    <n v="33529.599999999999"/>
    <n v="895525"/>
    <n v="716420"/>
    <n v="145575.4"/>
    <s v="Carlos"/>
    <n v="4.9000000000000004"/>
  </r>
  <r>
    <n v="1554"/>
    <d v="2017-07-11T00:00:00"/>
    <x v="623"/>
    <x v="2"/>
    <s v="Casa"/>
    <n v="59"/>
    <s v="Alquiler"/>
    <n v="23610.44"/>
    <n v="655271"/>
    <n v="524216.8"/>
    <n v="107443.76000000001"/>
    <s v="Sabrina"/>
    <n v="4"/>
  </r>
  <r>
    <n v="1555"/>
    <d v="2017-07-12T00:00:00"/>
    <x v="524"/>
    <x v="0"/>
    <s v="Departamento"/>
    <n v="127"/>
    <s v="Alquiler"/>
    <n v="27704.6"/>
    <n v="745325"/>
    <n v="596260"/>
    <n v="121360.4"/>
    <s v="Sabrina"/>
    <n v="4.0999999999999996"/>
  </r>
  <r>
    <n v="1556"/>
    <d v="2017-07-12T00:00:00"/>
    <x v="624"/>
    <x v="3"/>
    <s v="Depósito"/>
    <n v="176"/>
    <s v="Venta"/>
    <n v="54663.519999999997"/>
    <n v="1424723"/>
    <n v="1139778.3999999999"/>
    <n v="230281.0800000001"/>
    <s v="Carlos"/>
    <n v="4.9000000000000004"/>
  </r>
  <r>
    <n v="1557"/>
    <d v="2017-07-12T00:00:00"/>
    <x v="580"/>
    <x v="3"/>
    <s v="Oficinas"/>
    <n v="152"/>
    <s v="Venta"/>
    <n v="62321.8"/>
    <n v="1619330"/>
    <n v="1295464"/>
    <n v="261544.2"/>
    <s v="Arturo"/>
    <n v="3.8"/>
  </r>
  <r>
    <n v="1558"/>
    <d v="2017-07-13T00:00:00"/>
    <x v="466"/>
    <x v="1"/>
    <s v="Oficinas"/>
    <n v="160"/>
    <s v="Venta"/>
    <n v="32287.919999999998"/>
    <n v="867133"/>
    <n v="693706.4"/>
    <n v="141138.68"/>
    <s v="Carlos"/>
    <n v="4.3"/>
  </r>
  <r>
    <n v="1559"/>
    <d v="2017-07-13T00:00:00"/>
    <x v="600"/>
    <x v="3"/>
    <s v="Oficinas"/>
    <n v="131"/>
    <s v="Venta"/>
    <n v="31793.52"/>
    <n v="861173"/>
    <n v="688938.4"/>
    <n v="140441.07999999999"/>
    <s v="Carlos"/>
    <n v="3.9"/>
  </r>
  <r>
    <n v="1560"/>
    <d v="2017-07-14T00:00:00"/>
    <x v="493"/>
    <x v="0"/>
    <s v="Terreno"/>
    <n v="170"/>
    <s v="Venta"/>
    <n v="42230.84"/>
    <n v="1111406"/>
    <n v="889124.8"/>
    <n v="180050.35999999996"/>
    <s v="Sabrina"/>
    <n v="4.8"/>
  </r>
  <r>
    <n v="1561"/>
    <d v="2017-07-15T00:00:00"/>
    <x v="625"/>
    <x v="1"/>
    <s v="Oficinas"/>
    <n v="284"/>
    <s v="Venta"/>
    <n v="71940.240000000005"/>
    <n v="1859891"/>
    <n v="1487912.8"/>
    <n v="300037.95999999996"/>
    <s v="Arturo"/>
    <n v="3.9"/>
  </r>
  <r>
    <n v="1562"/>
    <d v="2017-07-15T00:00:00"/>
    <x v="426"/>
    <x v="0"/>
    <s v="Casa"/>
    <n v="68"/>
    <s v="Alquiler"/>
    <n v="22707.52"/>
    <n v="620123"/>
    <n v="496098.4"/>
    <n v="101317.07999999997"/>
    <s v="Sabrina"/>
    <n v="5"/>
  </r>
  <r>
    <n v="1563"/>
    <d v="2017-07-15T00:00:00"/>
    <x v="626"/>
    <x v="0"/>
    <s v="Depósito"/>
    <n v="203"/>
    <s v="Venta"/>
    <n v="74301.399999999994"/>
    <n v="1918295"/>
    <n v="1534636"/>
    <n v="309357.59999999998"/>
    <s v="Carlos"/>
    <n v="4.8"/>
  </r>
  <r>
    <n v="1564"/>
    <d v="2017-07-15T00:00:00"/>
    <x v="515"/>
    <x v="3"/>
    <s v="Terreno"/>
    <n v="233"/>
    <s v="Venta"/>
    <n v="78546.600000000006"/>
    <n v="2020325"/>
    <n v="1616260"/>
    <n v="325518.40000000002"/>
    <s v="Arturo"/>
    <n v="3.6"/>
  </r>
  <r>
    <n v="1565"/>
    <d v="2017-07-16T00:00:00"/>
    <x v="627"/>
    <x v="1"/>
    <s v="Estacionamiento"/>
    <n v="76"/>
    <s v="Alquiler"/>
    <n v="20145.599999999999"/>
    <n v="570325"/>
    <n v="456260"/>
    <n v="93919.4"/>
    <s v="Sabrina"/>
    <n v="4.4000000000000004"/>
  </r>
  <r>
    <n v="1566"/>
    <d v="2017-07-16T00:00:00"/>
    <x v="628"/>
    <x v="3"/>
    <s v="Oficinas"/>
    <n v="133"/>
    <s v="Alquiler"/>
    <n v="27327.599999999999"/>
    <n v="742925"/>
    <n v="594340"/>
    <n v="121257.4"/>
    <s v="Arturo"/>
    <n v="4.0999999999999996"/>
  </r>
  <r>
    <n v="1567"/>
    <d v="2017-07-16T00:00:00"/>
    <x v="425"/>
    <x v="0"/>
    <s v="Oficinas"/>
    <n v="289"/>
    <s v="Venta"/>
    <n v="81296.84"/>
    <n v="2093981"/>
    <n v="1675184.8"/>
    <n v="337499.36"/>
    <s v="Iván"/>
    <n v="4.5999999999999996"/>
  </r>
  <r>
    <n v="1568"/>
    <d v="2017-07-17T00:00:00"/>
    <x v="559"/>
    <x v="2"/>
    <s v="Local Comercial"/>
    <n v="204"/>
    <s v="Venta"/>
    <n v="79617.2"/>
    <n v="2041565"/>
    <n v="1633252"/>
    <n v="328695.8"/>
    <s v="Arturo"/>
    <n v="4.4000000000000004"/>
  </r>
  <r>
    <n v="1569"/>
    <d v="2017-07-17T00:00:00"/>
    <x v="629"/>
    <x v="3"/>
    <s v="Departamento"/>
    <n v="270"/>
    <s v="Venta"/>
    <n v="87358.48"/>
    <n v="2239322"/>
    <n v="1791457.6"/>
    <n v="360505.91999999993"/>
    <s v="Ángeles"/>
    <n v="3.7"/>
  </r>
  <r>
    <n v="1570"/>
    <d v="2017-07-17T00:00:00"/>
    <x v="622"/>
    <x v="3"/>
    <s v="Local Comercial"/>
    <n v="62"/>
    <s v="Alquiler"/>
    <n v="13164.24"/>
    <n v="384416"/>
    <n v="307532.79999999999"/>
    <n v="63718.960000000014"/>
    <s v="Arturo"/>
    <n v="4"/>
  </r>
  <r>
    <n v="1571"/>
    <d v="2017-07-18T00:00:00"/>
    <x v="530"/>
    <x v="3"/>
    <s v="Depósito"/>
    <n v="121"/>
    <s v="Alquiler"/>
    <n v="22262.68"/>
    <n v="620177"/>
    <n v="496141.6"/>
    <n v="101772.72000000003"/>
    <s v="Romina"/>
    <n v="4.7"/>
  </r>
  <r>
    <n v="1572"/>
    <d v="2017-07-18T00:00:00"/>
    <x v="547"/>
    <x v="3"/>
    <s v="Departamento"/>
    <n v="293"/>
    <s v="Venta"/>
    <n v="67652"/>
    <n v="1752785"/>
    <n v="1402228"/>
    <n v="282905"/>
    <s v="Ángeles"/>
    <n v="4.3"/>
  </r>
  <r>
    <n v="1573"/>
    <d v="2017-07-18T00:00:00"/>
    <x v="512"/>
    <x v="2"/>
    <s v="Terreno"/>
    <n v="195"/>
    <s v="Venta"/>
    <n v="49915.519999999997"/>
    <n v="1307873"/>
    <n v="1046298.4"/>
    <n v="211659.08"/>
    <s v="Carlos"/>
    <n v="4.8"/>
  </r>
  <r>
    <n v="1574"/>
    <d v="2017-07-18T00:00:00"/>
    <x v="512"/>
    <x v="2"/>
    <s v="Casa"/>
    <n v="197"/>
    <s v="Venta"/>
    <n v="66953.759999999995"/>
    <n v="1736204"/>
    <n v="1388963.2"/>
    <n v="280287.04000000004"/>
    <s v="Iván"/>
    <n v="4"/>
  </r>
  <r>
    <n v="1575"/>
    <d v="2017-07-19T00:00:00"/>
    <x v="630"/>
    <x v="3"/>
    <s v="Depósito"/>
    <n v="271"/>
    <s v="Venta"/>
    <n v="64057"/>
    <n v="1657060"/>
    <n v="1325648"/>
    <n v="267355"/>
    <s v="Carlos"/>
    <n v="4.3"/>
  </r>
  <r>
    <n v="1576"/>
    <d v="2017-07-20T00:00:00"/>
    <x v="631"/>
    <x v="3"/>
    <s v="Local Comercial"/>
    <n v="293"/>
    <s v="Venta"/>
    <n v="87415.44"/>
    <n v="2243771"/>
    <n v="1795016.8"/>
    <n v="361338.75999999995"/>
    <s v="Arturo"/>
    <n v="4.8"/>
  </r>
  <r>
    <n v="1577"/>
    <d v="2017-07-20T00:00:00"/>
    <x v="416"/>
    <x v="1"/>
    <s v="Oficinas"/>
    <n v="282"/>
    <s v="Venta"/>
    <n v="46598.400000000001"/>
    <n v="1223045"/>
    <n v="978436"/>
    <n v="198010.6"/>
    <s v="Sabrina"/>
    <n v="3.6"/>
  </r>
  <r>
    <n v="1578"/>
    <d v="2017-07-20T00:00:00"/>
    <x v="632"/>
    <x v="2"/>
    <s v="Casa"/>
    <n v="175"/>
    <s v="Venta"/>
    <n v="68272.600000000006"/>
    <n v="1759525"/>
    <n v="1407620"/>
    <n v="283632.40000000002"/>
    <s v="Iván"/>
    <n v="4.7"/>
  </r>
  <r>
    <n v="1579"/>
    <d v="2017-07-20T00:00:00"/>
    <x v="506"/>
    <x v="1"/>
    <s v="Terreno"/>
    <n v="136"/>
    <s v="Venta"/>
    <n v="47574.04"/>
    <n v="1243586"/>
    <n v="994868.8"/>
    <n v="201143.15999999995"/>
    <s v="Ángeles"/>
    <n v="4.5999999999999996"/>
  </r>
  <r>
    <n v="1580"/>
    <d v="2017-07-21T00:00:00"/>
    <x v="504"/>
    <x v="0"/>
    <s v="Local Comercial"/>
    <n v="107"/>
    <s v="Venta"/>
    <n v="30880.2"/>
    <n v="823315"/>
    <n v="658652"/>
    <n v="133782.79999999999"/>
    <s v="Romina"/>
    <n v="3.6"/>
  </r>
  <r>
    <n v="1581"/>
    <d v="2017-07-21T00:00:00"/>
    <x v="418"/>
    <x v="3"/>
    <s v="Terreno"/>
    <n v="228"/>
    <s v="Venta"/>
    <n v="88321.68"/>
    <n v="2261402"/>
    <n v="1809121.6"/>
    <n v="363958.71999999991"/>
    <s v="Iván"/>
    <n v="4.0999999999999996"/>
  </r>
  <r>
    <n v="1582"/>
    <d v="2017-07-21T00:00:00"/>
    <x v="577"/>
    <x v="2"/>
    <s v="Casa"/>
    <n v="290"/>
    <s v="Venta"/>
    <n v="97382.84"/>
    <n v="2499506"/>
    <n v="1999604.8"/>
    <n v="402518.36"/>
    <s v="Ángeles"/>
    <n v="4.3"/>
  </r>
  <r>
    <n v="1583"/>
    <d v="2017-07-22T00:00:00"/>
    <x v="625"/>
    <x v="2"/>
    <s v="Depósito"/>
    <n v="294"/>
    <s v="Venta"/>
    <n v="72119"/>
    <n v="1868585"/>
    <n v="1494868"/>
    <n v="301598"/>
    <s v="Romina"/>
    <n v="4.4000000000000004"/>
  </r>
  <r>
    <n v="1584"/>
    <d v="2017-07-22T00:00:00"/>
    <x v="633"/>
    <x v="2"/>
    <s v="Oficinas"/>
    <n v="187"/>
    <s v="Venta"/>
    <n v="36038.720000000001"/>
    <n v="952903"/>
    <n v="762322.4"/>
    <n v="154541.87999999998"/>
    <s v="Sabrina"/>
    <n v="4.5"/>
  </r>
  <r>
    <n v="1585"/>
    <d v="2017-07-22T00:00:00"/>
    <x v="634"/>
    <x v="1"/>
    <s v="Casa"/>
    <n v="197"/>
    <s v="Venta"/>
    <n v="40034.959999999999"/>
    <n v="1063259"/>
    <n v="850607.2"/>
    <n v="172616.84000000005"/>
    <s v="Arturo"/>
    <n v="4.0999999999999996"/>
  </r>
  <r>
    <n v="1586"/>
    <d v="2017-07-22T00:00:00"/>
    <x v="596"/>
    <x v="3"/>
    <s v="Departamento"/>
    <n v="288"/>
    <s v="Venta"/>
    <n v="56737.36"/>
    <n v="1483919"/>
    <n v="1187135.2"/>
    <n v="240046.44000000006"/>
    <s v="Ángeles"/>
    <n v="4.7"/>
  </r>
  <r>
    <n v="1587"/>
    <d v="2017-07-23T00:00:00"/>
    <x v="635"/>
    <x v="0"/>
    <s v="Departamento"/>
    <n v="97"/>
    <s v="Alquiler"/>
    <n v="18100.560000000001"/>
    <n v="515124"/>
    <n v="412099.2"/>
    <n v="84924.239999999991"/>
    <s v="Carlos"/>
    <n v="4.0999999999999996"/>
  </r>
  <r>
    <n v="1588"/>
    <d v="2017-07-23T00:00:00"/>
    <x v="617"/>
    <x v="0"/>
    <s v="Estacionamiento"/>
    <n v="240"/>
    <s v="Venta"/>
    <n v="85650.8"/>
    <n v="2207430"/>
    <n v="1765944"/>
    <n v="355835.2"/>
    <s v="Iván"/>
    <n v="4"/>
  </r>
  <r>
    <n v="1589"/>
    <d v="2017-07-23T00:00:00"/>
    <x v="428"/>
    <x v="3"/>
    <s v="Estacionamiento"/>
    <n v="280"/>
    <s v="Venta"/>
    <n v="63102.48"/>
    <n v="1643972"/>
    <n v="1315177.6000000001"/>
    <n v="265691.91999999993"/>
    <s v="Romina"/>
    <n v="5"/>
  </r>
  <r>
    <n v="1590"/>
    <d v="2017-07-23T00:00:00"/>
    <x v="609"/>
    <x v="0"/>
    <s v="Casa"/>
    <n v="139"/>
    <s v="Alquiler"/>
    <n v="26385.72"/>
    <n v="718653"/>
    <n v="574922.4"/>
    <n v="117344.87999999998"/>
    <s v="Iván"/>
    <n v="4"/>
  </r>
  <r>
    <n v="1591"/>
    <d v="2017-07-24T00:00:00"/>
    <x v="618"/>
    <x v="1"/>
    <s v="Depósito"/>
    <n v="251"/>
    <s v="Venta"/>
    <n v="64247.8"/>
    <n v="1664405"/>
    <n v="1331524"/>
    <n v="268633.2"/>
    <s v="Iván"/>
    <n v="4.9000000000000004"/>
  </r>
  <r>
    <n v="1592"/>
    <d v="2017-07-24T00:00:00"/>
    <x v="636"/>
    <x v="1"/>
    <s v="Oficinas"/>
    <n v="203"/>
    <s v="Venta"/>
    <n v="43675.56"/>
    <n v="1144349"/>
    <n v="915479.2"/>
    <n v="185194.24000000005"/>
    <s v="Sabrina"/>
    <n v="4.0999999999999996"/>
  </r>
  <r>
    <n v="1593"/>
    <d v="2017-07-24T00:00:00"/>
    <x v="493"/>
    <x v="3"/>
    <s v="Local Comercial"/>
    <n v="71"/>
    <s v="Alquiler"/>
    <n v="21597.88"/>
    <n v="599432"/>
    <n v="479545.59999999998"/>
    <n v="98288.520000000019"/>
    <s v="Sabrina"/>
    <n v="4.4000000000000004"/>
  </r>
  <r>
    <n v="1594"/>
    <d v="2017-07-25T00:00:00"/>
    <x v="424"/>
    <x v="2"/>
    <s v="Local Comercial"/>
    <n v="75"/>
    <s v="Alquiler"/>
    <n v="21677.200000000001"/>
    <n v="605365"/>
    <n v="484292"/>
    <n v="99395.8"/>
    <s v="Romina"/>
    <n v="5"/>
  </r>
  <r>
    <n v="1595"/>
    <d v="2017-07-25T00:00:00"/>
    <x v="610"/>
    <x v="0"/>
    <s v="Oficinas"/>
    <n v="92"/>
    <s v="Alquiler"/>
    <n v="24709.32"/>
    <n v="681893"/>
    <n v="545514.4"/>
    <n v="111669.27999999997"/>
    <s v="Sabrina"/>
    <n v="3.7"/>
  </r>
  <r>
    <n v="1596"/>
    <d v="2017-07-25T00:00:00"/>
    <x v="478"/>
    <x v="1"/>
    <s v="Local Comercial"/>
    <n v="260"/>
    <s v="Venta"/>
    <n v="84147.8"/>
    <n v="2169605"/>
    <n v="1735684"/>
    <n v="349773.2"/>
    <s v="Ángeles"/>
    <n v="4.4000000000000004"/>
  </r>
  <r>
    <n v="1597"/>
    <d v="2017-07-26T00:00:00"/>
    <x v="596"/>
    <x v="2"/>
    <s v="Depósito"/>
    <n v="253"/>
    <s v="Venta"/>
    <n v="65518.559999999998"/>
    <n v="1692549"/>
    <n v="1354039.2"/>
    <n v="272991.24000000005"/>
    <s v="Arturo"/>
    <n v="4.2"/>
  </r>
  <r>
    <n v="1598"/>
    <d v="2017-07-26T00:00:00"/>
    <x v="462"/>
    <x v="0"/>
    <s v="Estacionamiento"/>
    <n v="163"/>
    <s v="Venta"/>
    <n v="63091.24"/>
    <n v="1642691"/>
    <n v="1314152.8"/>
    <n v="265446.95999999996"/>
    <s v="Carlos"/>
    <n v="3.9"/>
  </r>
  <r>
    <n v="1599"/>
    <d v="2017-07-26T00:00:00"/>
    <x v="468"/>
    <x v="2"/>
    <s v="Depósito"/>
    <n v="239"/>
    <s v="Venta"/>
    <n v="51882.2"/>
    <n v="1348215"/>
    <n v="1078572"/>
    <n v="217760.8"/>
    <s v="Arturo"/>
    <n v="4.8"/>
  </r>
  <r>
    <n v="1600"/>
    <d v="2017-07-27T00:00:00"/>
    <x v="572"/>
    <x v="0"/>
    <s v="Local Comercial"/>
    <n v="110"/>
    <s v="Venta"/>
    <n v="29734.799999999999"/>
    <n v="800855"/>
    <n v="640684"/>
    <n v="130436.2"/>
    <s v="Romina"/>
    <n v="4.5999999999999996"/>
  </r>
  <r>
    <n v="1601"/>
    <d v="2017-07-28T00:00:00"/>
    <x v="456"/>
    <x v="2"/>
    <s v="Casa"/>
    <n v="130"/>
    <s v="Venta"/>
    <n v="51601.760000000002"/>
    <n v="1346029"/>
    <n v="1076823.2"/>
    <n v="217604.04000000004"/>
    <s v="Carlos"/>
    <n v="5"/>
  </r>
  <r>
    <n v="1602"/>
    <d v="2017-07-28T00:00:00"/>
    <x v="637"/>
    <x v="1"/>
    <s v="Estacionamiento"/>
    <n v="110"/>
    <s v="Alquiler"/>
    <n v="29229.200000000001"/>
    <n v="792840"/>
    <n v="634272"/>
    <n v="129338.8"/>
    <s v="Arturo"/>
    <n v="4.4000000000000004"/>
  </r>
  <r>
    <n v="1603"/>
    <d v="2017-07-28T00:00:00"/>
    <x v="506"/>
    <x v="0"/>
    <s v="Local Comercial"/>
    <n v="160"/>
    <s v="Alquiler"/>
    <n v="26817.8"/>
    <n v="724205"/>
    <n v="579364"/>
    <n v="118023.2"/>
    <s v="Romina"/>
    <n v="3.7"/>
  </r>
  <r>
    <n v="1604"/>
    <d v="2017-07-29T00:00:00"/>
    <x v="412"/>
    <x v="3"/>
    <s v="Oficinas"/>
    <n v="128"/>
    <s v="Venta"/>
    <n v="31208.92"/>
    <n v="843533"/>
    <n v="674826.4"/>
    <n v="137497.68"/>
    <s v="Romina"/>
    <n v="4.0999999999999996"/>
  </r>
  <r>
    <n v="1605"/>
    <d v="2017-07-30T00:00:00"/>
    <x v="638"/>
    <x v="1"/>
    <s v="Terreno"/>
    <n v="253"/>
    <s v="Venta"/>
    <n v="50924.4"/>
    <n v="1338045"/>
    <n v="1070436"/>
    <n v="216684.6"/>
    <s v="Romina"/>
    <n v="4.0999999999999996"/>
  </r>
  <r>
    <n v="1606"/>
    <d v="2017-07-31T00:00:00"/>
    <x v="481"/>
    <x v="0"/>
    <s v="Terreno"/>
    <n v="208"/>
    <s v="Venta"/>
    <n v="76833.119999999995"/>
    <n v="1987813"/>
    <n v="1590250.4"/>
    <n v="320729.4800000001"/>
    <s v="Sabrina"/>
    <n v="4.7"/>
  </r>
  <r>
    <n v="1607"/>
    <d v="2017-07-31T00:00:00"/>
    <x v="569"/>
    <x v="0"/>
    <s v="Estacionamiento"/>
    <n v="103"/>
    <s v="Alquiler"/>
    <n v="16330.96"/>
    <n v="474159"/>
    <n v="379327.2"/>
    <n v="78500.84"/>
    <s v="Sabrina"/>
    <n v="3.6"/>
  </r>
  <r>
    <n v="1608"/>
    <d v="2017-08-01T00:00:00"/>
    <x v="562"/>
    <x v="2"/>
    <s v="Local Comercial"/>
    <n v="135"/>
    <s v="Alquiler"/>
    <n v="28581.24"/>
    <n v="777216"/>
    <n v="621772.80000000005"/>
    <n v="126861.95999999995"/>
    <s v="Ángeles"/>
    <n v="4.3"/>
  </r>
  <r>
    <n v="1609"/>
    <d v="2017-08-01T00:00:00"/>
    <x v="410"/>
    <x v="2"/>
    <s v="Oficinas"/>
    <n v="91"/>
    <s v="Alquiler"/>
    <n v="21521.200000000001"/>
    <n v="599740"/>
    <n v="479792"/>
    <n v="98426.8"/>
    <s v="Iván"/>
    <n v="4.0999999999999996"/>
  </r>
  <r>
    <n v="1610"/>
    <d v="2017-08-01T00:00:00"/>
    <x v="639"/>
    <x v="2"/>
    <s v="Depósito"/>
    <n v="239"/>
    <s v="Venta"/>
    <n v="91106.6"/>
    <n v="2328950"/>
    <n v="1863160"/>
    <n v="374683.4"/>
    <s v="Romina"/>
    <n v="4.3"/>
  </r>
  <r>
    <n v="1611"/>
    <d v="2017-08-02T00:00:00"/>
    <x v="628"/>
    <x v="0"/>
    <s v="Local Comercial"/>
    <n v="65"/>
    <s v="Alquiler"/>
    <n v="26983.48"/>
    <n v="728522"/>
    <n v="582817.6"/>
    <n v="118720.92000000003"/>
    <s v="Carlos"/>
    <n v="4.5"/>
  </r>
  <r>
    <n v="1612"/>
    <d v="2017-08-03T00:00:00"/>
    <x v="640"/>
    <x v="0"/>
    <s v="Local Comercial"/>
    <n v="270"/>
    <s v="Venta"/>
    <n v="83316"/>
    <n v="2147385"/>
    <n v="1717908"/>
    <n v="346161"/>
    <s v="Arturo"/>
    <n v="4.9000000000000004"/>
  </r>
  <r>
    <n v="1613"/>
    <d v="2017-08-03T00:00:00"/>
    <x v="486"/>
    <x v="0"/>
    <s v="Local Comercial"/>
    <n v="79"/>
    <s v="Alquiler"/>
    <n v="26916.84"/>
    <n v="726881"/>
    <n v="581504.80000000005"/>
    <n v="118459.35999999996"/>
    <s v="Romina"/>
    <n v="4.0999999999999996"/>
  </r>
  <r>
    <n v="1614"/>
    <d v="2017-08-03T00:00:00"/>
    <x v="641"/>
    <x v="1"/>
    <s v="Casa"/>
    <n v="145"/>
    <s v="Venta"/>
    <n v="37689.279999999999"/>
    <n v="996517"/>
    <n v="797213.6"/>
    <n v="161614.12000000002"/>
    <s v="Sabrina"/>
    <n v="4.7"/>
  </r>
  <r>
    <n v="1615"/>
    <d v="2017-08-03T00:00:00"/>
    <x v="461"/>
    <x v="0"/>
    <s v="Depósito"/>
    <n v="59"/>
    <s v="Alquiler"/>
    <n v="14955.52"/>
    <n v="435973"/>
    <n v="348778.4"/>
    <n v="72239.079999999973"/>
    <s v="Iván"/>
    <n v="4.4000000000000004"/>
  </r>
  <r>
    <n v="1616"/>
    <d v="2017-08-03T00:00:00"/>
    <x v="642"/>
    <x v="1"/>
    <s v="Estacionamiento"/>
    <n v="123"/>
    <s v="Alquiler"/>
    <n v="29554.400000000001"/>
    <n v="793745"/>
    <n v="634996"/>
    <n v="129194.6"/>
    <s v="Arturo"/>
    <n v="4.5999999999999996"/>
  </r>
  <r>
    <n v="1617"/>
    <d v="2017-08-03T00:00:00"/>
    <x v="643"/>
    <x v="0"/>
    <s v="Oficinas"/>
    <n v="82"/>
    <s v="Alquiler"/>
    <n v="26393.68"/>
    <n v="722077"/>
    <n v="577661.6"/>
    <n v="118021.72000000003"/>
    <s v="Arturo"/>
    <n v="4.2"/>
  </r>
  <r>
    <n v="1618"/>
    <d v="2017-08-04T00:00:00"/>
    <x v="451"/>
    <x v="1"/>
    <s v="Departamento"/>
    <n v="132"/>
    <s v="Venta"/>
    <n v="38789.4"/>
    <n v="1026845"/>
    <n v="821476"/>
    <n v="166579.6"/>
    <s v="Carlos"/>
    <n v="4.9000000000000004"/>
  </r>
  <r>
    <n v="1619"/>
    <d v="2017-08-04T00:00:00"/>
    <x v="644"/>
    <x v="1"/>
    <s v="Casa"/>
    <n v="218"/>
    <s v="Venta"/>
    <n v="58236.4"/>
    <n v="1513895"/>
    <n v="1211116"/>
    <n v="244542.6"/>
    <s v="Ángeles"/>
    <n v="4.7"/>
  </r>
  <r>
    <n v="1620"/>
    <d v="2017-08-04T00:00:00"/>
    <x v="506"/>
    <x v="1"/>
    <s v="Estacionamiento"/>
    <n v="49"/>
    <s v="Alquiler"/>
    <n v="14370.68"/>
    <n v="412077"/>
    <n v="329661.59999999998"/>
    <n v="68044.72000000003"/>
    <s v="Iván"/>
    <n v="4.3"/>
  </r>
  <r>
    <n v="1621"/>
    <d v="2017-08-04T00:00:00"/>
    <x v="463"/>
    <x v="1"/>
    <s v="Local Comercial"/>
    <n v="279"/>
    <s v="Venta"/>
    <n v="65360"/>
    <n v="1695285"/>
    <n v="1356228"/>
    <n v="273697"/>
    <s v="Ángeles"/>
    <n v="3.9"/>
  </r>
  <r>
    <n v="1622"/>
    <d v="2017-08-04T00:00:00"/>
    <x v="645"/>
    <x v="1"/>
    <s v="Local Comercial"/>
    <n v="228"/>
    <s v="Venta"/>
    <n v="70400.320000000007"/>
    <n v="1819168"/>
    <n v="1455334.3999999999"/>
    <n v="293433.28000000009"/>
    <s v="Arturo"/>
    <n v="4.5999999999999996"/>
  </r>
  <r>
    <n v="1623"/>
    <d v="2017-08-04T00:00:00"/>
    <x v="639"/>
    <x v="1"/>
    <s v="Estacionamiento"/>
    <n v="42"/>
    <s v="Alquiler"/>
    <n v="10810.88"/>
    <n v="323232"/>
    <n v="258585.60000000001"/>
    <n v="53835.519999999997"/>
    <s v="Carlos"/>
    <n v="3.9"/>
  </r>
  <r>
    <n v="1624"/>
    <d v="2017-08-04T00:00:00"/>
    <x v="646"/>
    <x v="3"/>
    <s v="Depósito"/>
    <n v="55"/>
    <s v="Alquiler"/>
    <n v="10223.92"/>
    <n v="318033"/>
    <n v="254426.4"/>
    <n v="53382.680000000008"/>
    <s v="Iván"/>
    <n v="4.8"/>
  </r>
  <r>
    <n v="1625"/>
    <d v="2017-08-05T00:00:00"/>
    <x v="491"/>
    <x v="3"/>
    <s v="Casa"/>
    <n v="67"/>
    <s v="Alquiler"/>
    <n v="12550.84"/>
    <n v="365131"/>
    <n v="292104.8"/>
    <n v="60475.360000000015"/>
    <s v="Romina"/>
    <n v="4.5"/>
  </r>
  <r>
    <n v="1626"/>
    <d v="2017-08-05T00:00:00"/>
    <x v="562"/>
    <x v="3"/>
    <s v="Depósito"/>
    <n v="181"/>
    <s v="Venta"/>
    <n v="47513.64"/>
    <n v="1245701"/>
    <n v="996560.8"/>
    <n v="201626.55999999994"/>
    <s v="Ángeles"/>
    <n v="3.8"/>
  </r>
  <r>
    <n v="1627"/>
    <d v="2017-08-06T00:00:00"/>
    <x v="438"/>
    <x v="3"/>
    <s v="Local Comercial"/>
    <n v="240"/>
    <s v="Venta"/>
    <n v="46914.2"/>
    <n v="1239190"/>
    <n v="991352"/>
    <n v="200923.8"/>
    <s v="Iván"/>
    <n v="4.5"/>
  </r>
  <r>
    <n v="1628"/>
    <d v="2017-08-06T00:00:00"/>
    <x v="647"/>
    <x v="0"/>
    <s v="Estacionamiento"/>
    <n v="294"/>
    <s v="Venta"/>
    <n v="96494.96"/>
    <n v="2476934"/>
    <n v="1981547.2"/>
    <n v="398891.84"/>
    <s v="Romina"/>
    <n v="4.5"/>
  </r>
  <r>
    <n v="1629"/>
    <d v="2017-08-06T00:00:00"/>
    <x v="578"/>
    <x v="2"/>
    <s v="Local Comercial"/>
    <n v="93"/>
    <s v="Venta"/>
    <n v="37056.160000000003"/>
    <n v="979064"/>
    <n v="783251.2"/>
    <n v="158756.64000000004"/>
    <s v="Ángeles"/>
    <n v="5"/>
  </r>
  <r>
    <n v="1630"/>
    <d v="2017-08-06T00:00:00"/>
    <x v="644"/>
    <x v="2"/>
    <s v="Oficinas"/>
    <n v="62"/>
    <s v="Alquiler"/>
    <n v="12846.92"/>
    <n v="386108"/>
    <n v="308886.40000000002"/>
    <n v="64374.679999999978"/>
    <s v="Carlos"/>
    <n v="4.4000000000000004"/>
  </r>
  <r>
    <n v="1631"/>
    <d v="2017-08-07T00:00:00"/>
    <x v="521"/>
    <x v="3"/>
    <s v="Estacionamiento"/>
    <n v="293"/>
    <s v="Venta"/>
    <n v="75138"/>
    <n v="1936685"/>
    <n v="1549348"/>
    <n v="312199"/>
    <s v="Arturo"/>
    <n v="4.5999999999999996"/>
  </r>
  <r>
    <n v="1632"/>
    <d v="2017-08-07T00:00:00"/>
    <x v="545"/>
    <x v="0"/>
    <s v="Estacionamiento"/>
    <n v="43"/>
    <s v="Alquiler"/>
    <n v="15475.08"/>
    <n v="440837"/>
    <n v="352669.6"/>
    <n v="72692.320000000022"/>
    <s v="Carlos"/>
    <n v="4.2"/>
  </r>
  <r>
    <n v="1633"/>
    <d v="2017-08-07T00:00:00"/>
    <x v="611"/>
    <x v="2"/>
    <s v="Oficinas"/>
    <n v="194"/>
    <s v="Venta"/>
    <n v="59991.08"/>
    <n v="1559462"/>
    <n v="1247569.6000000001"/>
    <n v="251901.31999999989"/>
    <s v="Romina"/>
    <n v="4.4000000000000004"/>
  </r>
  <r>
    <n v="1634"/>
    <d v="2017-08-07T00:00:00"/>
    <x v="492"/>
    <x v="1"/>
    <s v="Terreno"/>
    <n v="88"/>
    <s v="Alquiler"/>
    <n v="28721.56"/>
    <n v="776349"/>
    <n v="621079.19999999995"/>
    <n v="126548.24000000005"/>
    <s v="Sabrina"/>
    <n v="4.7"/>
  </r>
  <r>
    <n v="1635"/>
    <d v="2017-08-08T00:00:00"/>
    <x v="648"/>
    <x v="2"/>
    <s v="Terreno"/>
    <n v="245"/>
    <s v="Venta"/>
    <n v="65582"/>
    <n v="1705735"/>
    <n v="1364588"/>
    <n v="275565"/>
    <s v="Ángeles"/>
    <n v="4.5"/>
  </r>
  <r>
    <n v="1636"/>
    <d v="2017-08-08T00:00:00"/>
    <x v="446"/>
    <x v="0"/>
    <s v="Casa"/>
    <n v="218"/>
    <s v="Venta"/>
    <n v="56817.36"/>
    <n v="1484869"/>
    <n v="1187895.2"/>
    <n v="240156.44000000006"/>
    <s v="Carlos"/>
    <n v="3.8"/>
  </r>
  <r>
    <n v="1637"/>
    <d v="2017-08-08T00:00:00"/>
    <x v="649"/>
    <x v="3"/>
    <s v="Casa"/>
    <n v="106"/>
    <s v="Venta"/>
    <n v="31962.32"/>
    <n v="866293"/>
    <n v="693034.4"/>
    <n v="141296.27999999997"/>
    <s v="Carlos"/>
    <n v="4.7"/>
  </r>
  <r>
    <n v="1638"/>
    <d v="2017-08-08T00:00:00"/>
    <x v="650"/>
    <x v="1"/>
    <s v="Local Comercial"/>
    <n v="180"/>
    <s v="Venta"/>
    <n v="45096.32"/>
    <n v="1193293"/>
    <n v="954634.4"/>
    <n v="193562.27999999997"/>
    <s v="Romina"/>
    <n v="3.8"/>
  </r>
  <r>
    <n v="1639"/>
    <d v="2017-08-09T00:00:00"/>
    <x v="651"/>
    <x v="1"/>
    <s v="Depósito"/>
    <n v="295"/>
    <s v="Venta"/>
    <n v="85390"/>
    <n v="2191685"/>
    <n v="1753348"/>
    <n v="352947"/>
    <s v="Iván"/>
    <n v="3.7"/>
  </r>
  <r>
    <n v="1640"/>
    <d v="2017-08-09T00:00:00"/>
    <x v="527"/>
    <x v="1"/>
    <s v="Local Comercial"/>
    <n v="157"/>
    <s v="Venta"/>
    <n v="50964.36"/>
    <n v="1333619"/>
    <n v="1066895.2"/>
    <n v="215759.44000000006"/>
    <s v="Ángeles"/>
    <n v="4.5999999999999996"/>
  </r>
  <r>
    <n v="1641"/>
    <d v="2017-08-09T00:00:00"/>
    <x v="482"/>
    <x v="3"/>
    <s v="Oficinas"/>
    <n v="86"/>
    <s v="Alquiler"/>
    <n v="21117.52"/>
    <n v="588998"/>
    <n v="471198.4"/>
    <n v="96682.079999999973"/>
    <s v="Arturo"/>
    <n v="4.5"/>
  </r>
  <r>
    <n v="1642"/>
    <d v="2017-08-10T00:00:00"/>
    <x v="548"/>
    <x v="0"/>
    <s v="Terreno"/>
    <n v="271"/>
    <s v="Venta"/>
    <n v="105523.64"/>
    <n v="2704301"/>
    <n v="2163440.7999999998"/>
    <n v="435336.56000000017"/>
    <s v="Carlos"/>
    <n v="4.0999999999999996"/>
  </r>
  <r>
    <n v="1643"/>
    <d v="2017-08-10T00:00:00"/>
    <x v="463"/>
    <x v="3"/>
    <s v="Estacionamiento"/>
    <n v="125"/>
    <s v="Venta"/>
    <n v="49042"/>
    <n v="1282535"/>
    <n v="1026028"/>
    <n v="207465"/>
    <s v="Sabrina"/>
    <n v="4.9000000000000004"/>
  </r>
  <r>
    <n v="1644"/>
    <d v="2017-08-10T00:00:00"/>
    <x v="542"/>
    <x v="1"/>
    <s v="Oficinas"/>
    <n v="266"/>
    <s v="Venta"/>
    <n v="94656.16"/>
    <n v="2421439"/>
    <n v="1937151.2"/>
    <n v="389631.64"/>
    <s v="Ángeles"/>
    <n v="4.8"/>
  </r>
  <r>
    <n v="1645"/>
    <d v="2017-08-10T00:00:00"/>
    <x v="652"/>
    <x v="0"/>
    <s v="Estacionamiento"/>
    <n v="129"/>
    <s v="Venta"/>
    <n v="37668.28"/>
    <n v="994617"/>
    <n v="795693.6"/>
    <n v="161255.12000000002"/>
    <s v="Arturo"/>
    <n v="3.6"/>
  </r>
  <r>
    <n v="1646"/>
    <d v="2017-08-11T00:00:00"/>
    <x v="653"/>
    <x v="3"/>
    <s v="Casa"/>
    <n v="181"/>
    <s v="Venta"/>
    <n v="44820.32"/>
    <n v="1184093"/>
    <n v="947274.4"/>
    <n v="191998.27999999997"/>
    <s v="Sabrina"/>
    <n v="4"/>
  </r>
  <r>
    <n v="1647"/>
    <d v="2017-08-12T00:00:00"/>
    <x v="463"/>
    <x v="0"/>
    <s v="Local Comercial"/>
    <n v="292"/>
    <s v="Venta"/>
    <n v="114365"/>
    <n v="2924810"/>
    <n v="2339848"/>
    <n v="470597"/>
    <s v="Arturo"/>
    <n v="4.5999999999999996"/>
  </r>
  <r>
    <n v="1648"/>
    <d v="2017-08-12T00:00:00"/>
    <x v="518"/>
    <x v="2"/>
    <s v="Depósito"/>
    <n v="112"/>
    <s v="Alquiler"/>
    <n v="20965.439999999999"/>
    <n v="582471"/>
    <n v="465976.8"/>
    <n v="95528.760000000009"/>
    <s v="Arturo"/>
    <n v="4.8"/>
  </r>
  <r>
    <n v="1649"/>
    <d v="2017-08-14T00:00:00"/>
    <x v="654"/>
    <x v="0"/>
    <s v="Terreno"/>
    <n v="116"/>
    <s v="Venta"/>
    <n v="35506.199999999997"/>
    <n v="943265"/>
    <n v="754612"/>
    <n v="153146.79999999999"/>
    <s v="Romina"/>
    <n v="3.8"/>
  </r>
  <r>
    <n v="1650"/>
    <d v="2017-08-14T00:00:00"/>
    <x v="463"/>
    <x v="3"/>
    <s v="Estacionamiento"/>
    <n v="52"/>
    <s v="Alquiler"/>
    <n v="10827.48"/>
    <n v="329522"/>
    <n v="263617.59999999998"/>
    <n v="55076.920000000027"/>
    <s v="Romina"/>
    <n v="4.5"/>
  </r>
  <r>
    <n v="1651"/>
    <d v="2017-08-14T00:00:00"/>
    <x v="553"/>
    <x v="0"/>
    <s v="Casa"/>
    <n v="73"/>
    <s v="Alquiler"/>
    <n v="22950.92"/>
    <n v="629308"/>
    <n v="503446.4"/>
    <n v="102910.67999999998"/>
    <s v="Arturo"/>
    <n v="3.6"/>
  </r>
  <r>
    <n v="1652"/>
    <d v="2017-08-15T00:00:00"/>
    <x v="655"/>
    <x v="3"/>
    <s v="Terreno"/>
    <n v="56"/>
    <s v="Alquiler"/>
    <n v="23125.919999999998"/>
    <n v="637883"/>
    <n v="510306.4"/>
    <n v="104450.67999999998"/>
    <s v="Romina"/>
    <n v="4.9000000000000004"/>
  </r>
  <r>
    <n v="1653"/>
    <d v="2017-08-15T00:00:00"/>
    <x v="494"/>
    <x v="3"/>
    <s v="Depósito"/>
    <n v="154"/>
    <s v="Alquiler"/>
    <n v="29240.12"/>
    <n v="798413"/>
    <n v="638730.4"/>
    <n v="130442.47999999998"/>
    <s v="Romina"/>
    <n v="3.8"/>
  </r>
  <r>
    <n v="1654"/>
    <d v="2017-08-15T00:00:00"/>
    <x v="469"/>
    <x v="0"/>
    <s v="Local Comercial"/>
    <n v="130"/>
    <s v="Venta"/>
    <n v="31336.080000000002"/>
    <n v="840812"/>
    <n v="672649.6"/>
    <n v="136826.32"/>
    <s v="Carlos"/>
    <n v="5"/>
  </r>
  <r>
    <n v="1655"/>
    <d v="2017-08-15T00:00:00"/>
    <x v="656"/>
    <x v="0"/>
    <s v="Casa"/>
    <n v="79"/>
    <s v="Alquiler"/>
    <n v="13960.28"/>
    <n v="411717"/>
    <n v="329373.59999999998"/>
    <n v="68383.120000000024"/>
    <s v="Iván"/>
    <n v="4.3"/>
  </r>
  <r>
    <n v="1656"/>
    <d v="2017-08-15T00:00:00"/>
    <x v="657"/>
    <x v="3"/>
    <s v="Depósito"/>
    <n v="76"/>
    <s v="Alquiler"/>
    <n v="15822.76"/>
    <n v="448154"/>
    <n v="358523.2"/>
    <n v="73808.039999999994"/>
    <s v="Arturo"/>
    <n v="4.5999999999999996"/>
  </r>
  <r>
    <n v="1657"/>
    <d v="2017-08-16T00:00:00"/>
    <x v="633"/>
    <x v="2"/>
    <s v="Estacionamiento"/>
    <n v="85"/>
    <s v="Alquiler"/>
    <n v="13469.8"/>
    <n v="395155"/>
    <n v="316124"/>
    <n v="65561.2"/>
    <s v="Sabrina"/>
    <n v="4.9000000000000004"/>
  </r>
  <r>
    <n v="1658"/>
    <d v="2017-08-16T00:00:00"/>
    <x v="658"/>
    <x v="1"/>
    <s v="Terreno"/>
    <n v="228"/>
    <s v="Venta"/>
    <n v="64746.239999999998"/>
    <n v="1679741"/>
    <n v="1343792.8"/>
    <n v="271201.95999999996"/>
    <s v="Ángeles"/>
    <n v="4.9000000000000004"/>
  </r>
  <r>
    <n v="1659"/>
    <d v="2017-08-16T00:00:00"/>
    <x v="659"/>
    <x v="3"/>
    <s v="Oficinas"/>
    <n v="216"/>
    <s v="Venta"/>
    <n v="42105.599999999999"/>
    <n v="1106125"/>
    <n v="884900"/>
    <n v="179119.4"/>
    <s v="Carlos"/>
    <n v="3.7"/>
  </r>
  <r>
    <n v="1660"/>
    <d v="2017-08-16T00:00:00"/>
    <x v="611"/>
    <x v="0"/>
    <s v="Casa"/>
    <n v="205"/>
    <s v="Venta"/>
    <n v="75946.720000000001"/>
    <n v="1963353"/>
    <n v="1570682.4"/>
    <n v="316723.88000000012"/>
    <s v="Romina"/>
    <n v="4.4000000000000004"/>
  </r>
  <r>
    <n v="1661"/>
    <d v="2017-08-17T00:00:00"/>
    <x v="574"/>
    <x v="0"/>
    <s v="Depósito"/>
    <n v="52"/>
    <s v="Alquiler"/>
    <n v="19219.240000000002"/>
    <n v="545841"/>
    <n v="436672.8"/>
    <n v="89948.96"/>
    <s v="Sabrina"/>
    <n v="4.0999999999999996"/>
  </r>
  <r>
    <n v="1662"/>
    <d v="2017-08-17T00:00:00"/>
    <x v="571"/>
    <x v="3"/>
    <s v="Estacionamiento"/>
    <n v="163"/>
    <s v="Venta"/>
    <n v="56137.279999999999"/>
    <n v="1459492"/>
    <n v="1167593.6000000001"/>
    <n v="235761.11999999991"/>
    <s v="Romina"/>
    <n v="4.5"/>
  </r>
  <r>
    <n v="1663"/>
    <d v="2017-08-18T00:00:00"/>
    <x v="582"/>
    <x v="3"/>
    <s v="Estacionamiento"/>
    <n v="220"/>
    <s v="Venta"/>
    <n v="38429.919999999998"/>
    <n v="1022533"/>
    <n v="818026.4"/>
    <n v="166076.68"/>
    <s v="Ángeles"/>
    <n v="3.6"/>
  </r>
  <r>
    <n v="1664"/>
    <d v="2017-08-19T00:00:00"/>
    <x v="660"/>
    <x v="3"/>
    <s v="Local Comercial"/>
    <n v="267"/>
    <s v="Venta"/>
    <n v="88709.8"/>
    <n v="2269605"/>
    <n v="1815684"/>
    <n v="365211.2"/>
    <s v="Sabrina"/>
    <n v="3.9"/>
  </r>
  <r>
    <n v="1665"/>
    <d v="2017-08-19T00:00:00"/>
    <x v="661"/>
    <x v="2"/>
    <s v="Casa"/>
    <n v="232"/>
    <s v="Venta"/>
    <n v="89836.76"/>
    <n v="2312479"/>
    <n v="1849983.2"/>
    <n v="372659.04000000004"/>
    <s v="Carlos"/>
    <n v="3.9"/>
  </r>
  <r>
    <n v="1666"/>
    <d v="2017-08-19T00:00:00"/>
    <x v="661"/>
    <x v="2"/>
    <s v="Estacionamiento"/>
    <n v="62"/>
    <s v="Alquiler"/>
    <n v="16951.400000000001"/>
    <n v="479120"/>
    <n v="383296"/>
    <n v="78872.600000000006"/>
    <s v="Ángeles"/>
    <n v="3.9"/>
  </r>
  <r>
    <n v="1667"/>
    <d v="2017-08-22T00:00:00"/>
    <x v="612"/>
    <x v="1"/>
    <s v="Oficinas"/>
    <n v="206"/>
    <s v="Venta"/>
    <n v="32692.240000000002"/>
    <n v="879591"/>
    <n v="703672.8"/>
    <n v="143225.95999999996"/>
    <s v="Ángeles"/>
    <n v="3.6"/>
  </r>
  <r>
    <n v="1668"/>
    <d v="2017-08-22T00:00:00"/>
    <x v="483"/>
    <x v="2"/>
    <s v="Terreno"/>
    <n v="96"/>
    <s v="Venta"/>
    <n v="34099.160000000003"/>
    <n v="908689"/>
    <n v="726951.2"/>
    <n v="147638.64000000004"/>
    <s v="Ángeles"/>
    <n v="3.8"/>
  </r>
  <r>
    <n v="1669"/>
    <d v="2017-08-23T00:00:00"/>
    <x v="485"/>
    <x v="1"/>
    <s v="Estacionamiento"/>
    <n v="196"/>
    <s v="Venta"/>
    <n v="76333.88"/>
    <n v="1969857"/>
    <n v="1575885.6"/>
    <n v="317637.5199999999"/>
    <s v="Iván"/>
    <n v="3.6"/>
  </r>
  <r>
    <n v="1670"/>
    <d v="2017-08-23T00:00:00"/>
    <x v="662"/>
    <x v="2"/>
    <s v="Local Comercial"/>
    <n v="258"/>
    <s v="Venta"/>
    <n v="59388.56"/>
    <n v="1536374"/>
    <n v="1229099.2"/>
    <n v="247886.24000000005"/>
    <s v="Arturo"/>
    <n v="4.5"/>
  </r>
  <r>
    <n v="1671"/>
    <d v="2017-08-24T00:00:00"/>
    <x v="494"/>
    <x v="2"/>
    <s v="Depósito"/>
    <n v="231"/>
    <s v="Venta"/>
    <n v="67598.960000000006"/>
    <n v="1743709"/>
    <n v="1394967.2"/>
    <n v="281142.84000000003"/>
    <s v="Arturo"/>
    <n v="4.8"/>
  </r>
  <r>
    <n v="1672"/>
    <d v="2017-08-25T00:00:00"/>
    <x v="495"/>
    <x v="2"/>
    <s v="Departamento"/>
    <n v="222"/>
    <s v="Venta"/>
    <n v="70743.56"/>
    <n v="1825699"/>
    <n v="1460559.2"/>
    <n v="294396.24000000005"/>
    <s v="Carlos"/>
    <n v="4.8"/>
  </r>
  <r>
    <n v="1673"/>
    <d v="2017-08-26T00:00:00"/>
    <x v="530"/>
    <x v="2"/>
    <s v="Depósito"/>
    <n v="216"/>
    <s v="Venta"/>
    <n v="59679.4"/>
    <n v="1546195"/>
    <n v="1236956"/>
    <n v="249559.6"/>
    <s v="Iván"/>
    <n v="4.0999999999999996"/>
  </r>
  <r>
    <n v="1674"/>
    <d v="2017-08-26T00:00:00"/>
    <x v="612"/>
    <x v="2"/>
    <s v="Local Comercial"/>
    <n v="238"/>
    <s v="Venta"/>
    <n v="90508.84"/>
    <n v="2326531"/>
    <n v="1861224.8"/>
    <n v="374797.36"/>
    <s v="Ángeles"/>
    <n v="4.3"/>
  </r>
  <r>
    <n v="1675"/>
    <d v="2017-08-26T00:00:00"/>
    <x v="536"/>
    <x v="0"/>
    <s v="Oficinas"/>
    <n v="212"/>
    <s v="Venta"/>
    <n v="81138.16"/>
    <n v="2081789"/>
    <n v="1665431.2"/>
    <n v="335219.64"/>
    <s v="Iván"/>
    <n v="4.3"/>
  </r>
  <r>
    <n v="1676"/>
    <d v="2017-08-27T00:00:00"/>
    <x v="661"/>
    <x v="2"/>
    <s v="Departamento"/>
    <n v="232"/>
    <s v="Venta"/>
    <n v="86572.12"/>
    <n v="2217838"/>
    <n v="1774270.4"/>
    <n v="356995.4800000001"/>
    <s v="Ángeles"/>
    <n v="3.8"/>
  </r>
  <r>
    <n v="1677"/>
    <d v="2017-08-27T00:00:00"/>
    <x v="663"/>
    <x v="0"/>
    <s v="Estacionamiento"/>
    <n v="295"/>
    <s v="Venta"/>
    <n v="104099"/>
    <n v="2662085"/>
    <n v="2129668"/>
    <n v="428318"/>
    <s v="Ángeles"/>
    <n v="4.9000000000000004"/>
  </r>
  <r>
    <n v="1678"/>
    <d v="2017-08-27T00:00:00"/>
    <x v="529"/>
    <x v="3"/>
    <s v="Casa"/>
    <n v="42"/>
    <s v="Alquiler"/>
    <n v="18323.560000000001"/>
    <n v="511349"/>
    <n v="409079.2"/>
    <n v="83946.239999999991"/>
    <s v="Sabrina"/>
    <n v="4.5"/>
  </r>
  <r>
    <n v="1679"/>
    <d v="2017-08-27T00:00:00"/>
    <x v="540"/>
    <x v="0"/>
    <s v="Terreno"/>
    <n v="85"/>
    <s v="Alquiler"/>
    <n v="25752.799999999999"/>
    <n v="700330"/>
    <n v="560264"/>
    <n v="114313.2"/>
    <s v="Ángeles"/>
    <n v="4.0999999999999996"/>
  </r>
  <r>
    <n v="1680"/>
    <d v="2017-08-27T00:00:00"/>
    <x v="664"/>
    <x v="1"/>
    <s v="Casa"/>
    <n v="67"/>
    <s v="Alquiler"/>
    <n v="23814.6"/>
    <n v="651925"/>
    <n v="521540"/>
    <n v="106570.4"/>
    <s v="Iván"/>
    <n v="3.8"/>
  </r>
  <r>
    <n v="1681"/>
    <d v="2017-08-28T00:00:00"/>
    <x v="619"/>
    <x v="2"/>
    <s v="Departamento"/>
    <n v="278"/>
    <s v="Venta"/>
    <n v="57572.68"/>
    <n v="1495677"/>
    <n v="1196541.6000000001"/>
    <n v="241562.71999999991"/>
    <s v="Ángeles"/>
    <n v="4.9000000000000004"/>
  </r>
  <r>
    <n v="1682"/>
    <d v="2017-08-28T00:00:00"/>
    <x v="657"/>
    <x v="2"/>
    <s v="Depósito"/>
    <n v="260"/>
    <s v="Venta"/>
    <n v="56452.800000000003"/>
    <n v="1477555"/>
    <n v="1182044"/>
    <n v="239058.2"/>
    <s v="Iván"/>
    <n v="4.3"/>
  </r>
  <r>
    <n v="1683"/>
    <d v="2017-08-28T00:00:00"/>
    <x v="474"/>
    <x v="2"/>
    <s v="Depósito"/>
    <n v="98"/>
    <s v="Alquiler"/>
    <n v="21485.919999999998"/>
    <n v="589258"/>
    <n v="471406.4"/>
    <n v="96365.679999999978"/>
    <s v="Sabrina"/>
    <n v="5"/>
  </r>
  <r>
    <n v="1684"/>
    <d v="2017-08-28T00:00:00"/>
    <x v="665"/>
    <x v="3"/>
    <s v="Departamento"/>
    <n v="221"/>
    <s v="Venta"/>
    <n v="76562.92"/>
    <n v="1968933"/>
    <n v="1575146.4"/>
    <n v="317223.68000000011"/>
    <s v="Romina"/>
    <n v="4.0999999999999996"/>
  </r>
  <r>
    <n v="1685"/>
    <d v="2017-08-28T00:00:00"/>
    <x v="666"/>
    <x v="0"/>
    <s v="Terreno"/>
    <n v="251"/>
    <s v="Venta"/>
    <n v="46993.4"/>
    <n v="1227745"/>
    <n v="982196"/>
    <n v="198555.6"/>
    <s v="Arturo"/>
    <n v="4.2"/>
  </r>
  <r>
    <n v="1686"/>
    <d v="2017-08-28T00:00:00"/>
    <x v="667"/>
    <x v="0"/>
    <s v="Casa"/>
    <n v="92"/>
    <s v="Venta"/>
    <n v="29645.599999999999"/>
    <n v="802300"/>
    <n v="641840"/>
    <n v="130814.39999999999"/>
    <s v="Ángeles"/>
    <n v="3.7"/>
  </r>
  <r>
    <n v="1687"/>
    <d v="2017-08-29T00:00:00"/>
    <x v="668"/>
    <x v="0"/>
    <s v="Local Comercial"/>
    <n v="77"/>
    <s v="Alquiler"/>
    <n v="27436.16"/>
    <n v="737339"/>
    <n v="589871.19999999995"/>
    <n v="120031.64000000004"/>
    <s v="Ángeles"/>
    <n v="4.8"/>
  </r>
  <r>
    <n v="1688"/>
    <d v="2017-08-29T00:00:00"/>
    <x v="669"/>
    <x v="1"/>
    <s v="Casa"/>
    <n v="249"/>
    <s v="Venta"/>
    <n v="75862.64"/>
    <n v="1960001"/>
    <n v="1568000.8"/>
    <n v="316137.55999999994"/>
    <s v="Arturo"/>
    <n v="4"/>
  </r>
  <r>
    <n v="1689"/>
    <d v="2017-08-29T00:00:00"/>
    <x v="657"/>
    <x v="0"/>
    <s v="Estacionamiento"/>
    <n v="105"/>
    <s v="Alquiler"/>
    <n v="22096.2"/>
    <n v="618065"/>
    <n v="494452"/>
    <n v="101516.8"/>
    <s v="Romina"/>
    <n v="4.5"/>
  </r>
  <r>
    <n v="1690"/>
    <d v="2017-08-30T00:00:00"/>
    <x v="670"/>
    <x v="0"/>
    <s v="Terreno"/>
    <n v="139"/>
    <s v="Alquiler"/>
    <n v="26089.360000000001"/>
    <n v="718369"/>
    <n v="574695.19999999995"/>
    <n v="117584.44000000005"/>
    <s v="Romina"/>
    <n v="4.7"/>
  </r>
  <r>
    <n v="1691"/>
    <d v="2017-08-30T00:00:00"/>
    <x v="512"/>
    <x v="2"/>
    <s v="Local Comercial"/>
    <n v="136"/>
    <s v="Venta"/>
    <n v="30208.12"/>
    <n v="822113"/>
    <n v="657690.4"/>
    <n v="134214.47999999998"/>
    <s v="Iván"/>
    <n v="4.4000000000000004"/>
  </r>
  <r>
    <n v="1692"/>
    <d v="2017-08-30T00:00:00"/>
    <x v="562"/>
    <x v="1"/>
    <s v="Depósito"/>
    <n v="71"/>
    <s v="Alquiler"/>
    <n v="14487"/>
    <n v="428435"/>
    <n v="342748"/>
    <n v="71200"/>
    <s v="Iván"/>
    <n v="3.7"/>
  </r>
  <r>
    <n v="1693"/>
    <d v="2017-08-30T00:00:00"/>
    <x v="579"/>
    <x v="0"/>
    <s v="Estacionamiento"/>
    <n v="230"/>
    <s v="Venta"/>
    <n v="86089.08"/>
    <n v="2207812"/>
    <n v="1766249.6"/>
    <n v="355473.31999999989"/>
    <s v="Iván"/>
    <n v="4.7"/>
  </r>
  <r>
    <n v="1694"/>
    <d v="2017-08-31T00:00:00"/>
    <x v="617"/>
    <x v="2"/>
    <s v="Oficinas"/>
    <n v="270"/>
    <s v="Venta"/>
    <n v="72075"/>
    <n v="1863310"/>
    <n v="1490648"/>
    <n v="300587"/>
    <s v="Iván"/>
    <n v="3.6"/>
  </r>
  <r>
    <n v="1695"/>
    <d v="2017-08-31T00:00:00"/>
    <x v="568"/>
    <x v="2"/>
    <s v="Casa"/>
    <n v="242"/>
    <s v="Venta"/>
    <n v="48705.919999999998"/>
    <n v="1270533"/>
    <n v="1016426.4"/>
    <n v="205400.68"/>
    <s v="Iván"/>
    <n v="4.2"/>
  </r>
  <r>
    <n v="1696"/>
    <d v="2017-08-31T00:00:00"/>
    <x v="671"/>
    <x v="0"/>
    <s v="Depósito"/>
    <n v="154"/>
    <s v="Venta"/>
    <n v="58034.28"/>
    <n v="1510467"/>
    <n v="1208373.6000000001"/>
    <n v="244059.11999999991"/>
    <s v="Romina"/>
    <n v="4.8"/>
  </r>
  <r>
    <n v="1697"/>
    <d v="2017-09-01T00:00:00"/>
    <x v="672"/>
    <x v="2"/>
    <s v="Local Comercial"/>
    <n v="110"/>
    <s v="Venta"/>
    <n v="45094.48"/>
    <n v="1179897"/>
    <n v="943917.6"/>
    <n v="190884.92"/>
    <s v="Ángeles"/>
    <n v="4.2"/>
  </r>
  <r>
    <n v="1698"/>
    <d v="2017-09-02T00:00:00"/>
    <x v="673"/>
    <x v="2"/>
    <s v="Casa"/>
    <n v="209"/>
    <s v="Venta"/>
    <n v="52211.72"/>
    <n v="1370078"/>
    <n v="1096062.3999999999"/>
    <n v="221803.88000000009"/>
    <s v="Iván"/>
    <n v="3.6"/>
  </r>
  <r>
    <n v="1699"/>
    <d v="2017-09-03T00:00:00"/>
    <x v="478"/>
    <x v="1"/>
    <s v="Oficinas"/>
    <n v="198"/>
    <s v="Venta"/>
    <n v="61696.2"/>
    <n v="1594915"/>
    <n v="1275932"/>
    <n v="257286.8"/>
    <s v="Iván"/>
    <n v="4.5"/>
  </r>
  <r>
    <n v="1700"/>
    <d v="2017-09-03T00:00:00"/>
    <x v="674"/>
    <x v="1"/>
    <s v="Local Comercial"/>
    <n v="159"/>
    <s v="Venta"/>
    <n v="45038.12"/>
    <n v="1186613"/>
    <n v="949290.4"/>
    <n v="192284.47999999998"/>
    <s v="Carlos"/>
    <n v="4.9000000000000004"/>
  </r>
  <r>
    <n v="1701"/>
    <d v="2017-09-03T00:00:00"/>
    <x v="675"/>
    <x v="0"/>
    <s v="Depósito"/>
    <n v="242"/>
    <s v="Venta"/>
    <n v="59908.4"/>
    <n v="1553770"/>
    <n v="1243016"/>
    <n v="250845.6"/>
    <s v="Sabrina"/>
    <n v="5"/>
  </r>
  <r>
    <n v="1702"/>
    <d v="2017-09-04T00:00:00"/>
    <x v="610"/>
    <x v="0"/>
    <s v="Departamento"/>
    <n v="191"/>
    <s v="Venta"/>
    <n v="32644.48"/>
    <n v="876797"/>
    <n v="701437.6"/>
    <n v="142714.92000000001"/>
    <s v="Arturo"/>
    <n v="3.6"/>
  </r>
  <r>
    <n v="1703"/>
    <d v="2017-09-06T00:00:00"/>
    <x v="676"/>
    <x v="2"/>
    <s v="Depósito"/>
    <n v="283"/>
    <s v="Venta"/>
    <n v="85754.8"/>
    <n v="2208005"/>
    <n v="1766404"/>
    <n v="355846.2"/>
    <s v="Romina"/>
    <n v="4.9000000000000004"/>
  </r>
  <r>
    <n v="1704"/>
    <d v="2017-09-06T00:00:00"/>
    <x v="677"/>
    <x v="0"/>
    <s v="Depósito"/>
    <n v="154"/>
    <s v="Venta"/>
    <n v="32058.28"/>
    <n v="863542"/>
    <n v="690833.6"/>
    <n v="140650.12000000002"/>
    <s v="Ángeles"/>
    <n v="4.8"/>
  </r>
  <r>
    <n v="1705"/>
    <d v="2017-09-06T00:00:00"/>
    <x v="484"/>
    <x v="2"/>
    <s v="Estacionamiento"/>
    <n v="164"/>
    <s v="Venta"/>
    <n v="56024.800000000003"/>
    <n v="1465505"/>
    <n v="1172404"/>
    <n v="237076.2"/>
    <s v="Arturo"/>
    <n v="4.5"/>
  </r>
  <r>
    <n v="1706"/>
    <d v="2017-09-06T00:00:00"/>
    <x v="494"/>
    <x v="2"/>
    <s v="Departamento"/>
    <n v="255"/>
    <s v="Venta"/>
    <n v="80219.16"/>
    <n v="2062889"/>
    <n v="1650311.2"/>
    <n v="332358.64"/>
    <s v="Romina"/>
    <n v="4.0999999999999996"/>
  </r>
  <r>
    <n v="1707"/>
    <d v="2017-09-07T00:00:00"/>
    <x v="678"/>
    <x v="2"/>
    <s v="Terreno"/>
    <n v="95"/>
    <s v="Venta"/>
    <n v="36426.639999999999"/>
    <n v="975401"/>
    <n v="780320.8"/>
    <n v="158653.55999999994"/>
    <s v="Arturo"/>
    <n v="3.7"/>
  </r>
  <r>
    <n v="1708"/>
    <d v="2017-09-07T00:00:00"/>
    <x v="617"/>
    <x v="3"/>
    <s v="Terreno"/>
    <n v="199"/>
    <s v="Venta"/>
    <n v="69398.2"/>
    <n v="1798665"/>
    <n v="1438932"/>
    <n v="290334.8"/>
    <s v="Iván"/>
    <n v="3.9"/>
  </r>
  <r>
    <n v="1709"/>
    <d v="2017-09-07T00:00:00"/>
    <x v="679"/>
    <x v="1"/>
    <s v="Estacionamiento"/>
    <n v="168"/>
    <s v="Venta"/>
    <n v="32981.32"/>
    <n v="879168"/>
    <n v="703334.40000000002"/>
    <n v="142852.27999999997"/>
    <s v="Carlos"/>
    <n v="4.5999999999999996"/>
  </r>
  <r>
    <n v="1710"/>
    <d v="2017-09-07T00:00:00"/>
    <x v="680"/>
    <x v="2"/>
    <s v="Local Comercial"/>
    <n v="267"/>
    <s v="Venta"/>
    <n v="82313"/>
    <n v="2110485"/>
    <n v="1688388"/>
    <n v="339784"/>
    <s v="Carlos"/>
    <n v="4.5"/>
  </r>
  <r>
    <n v="1711"/>
    <d v="2017-09-08T00:00:00"/>
    <x v="681"/>
    <x v="2"/>
    <s v="Departamento"/>
    <n v="292"/>
    <s v="Venta"/>
    <n v="56211.44"/>
    <n v="1460921"/>
    <n v="1168736.8"/>
    <n v="235972.75999999995"/>
    <s v="Romina"/>
    <n v="5"/>
  </r>
  <r>
    <n v="1712"/>
    <d v="2017-09-08T00:00:00"/>
    <x v="682"/>
    <x v="1"/>
    <s v="Depósito"/>
    <n v="109"/>
    <s v="Venta"/>
    <n v="35503.199999999997"/>
    <n v="944065"/>
    <n v="755252"/>
    <n v="153309.79999999999"/>
    <s v="Romina"/>
    <n v="3.7"/>
  </r>
  <r>
    <n v="1713"/>
    <d v="2017-09-09T00:00:00"/>
    <x v="502"/>
    <x v="1"/>
    <s v="Oficinas"/>
    <n v="197"/>
    <s v="Venta"/>
    <n v="52330.36"/>
    <n v="1369919"/>
    <n v="1095935.2"/>
    <n v="221653.44000000006"/>
    <s v="Ángeles"/>
    <n v="4.3"/>
  </r>
  <r>
    <n v="1714"/>
    <d v="2017-09-09T00:00:00"/>
    <x v="683"/>
    <x v="2"/>
    <s v="Estacionamiento"/>
    <n v="125"/>
    <s v="Alquiler"/>
    <n v="23482.080000000002"/>
    <n v="654137"/>
    <n v="523309.6"/>
    <n v="107345.32000000002"/>
    <s v="Carlos"/>
    <n v="4.3"/>
  </r>
  <r>
    <n v="1715"/>
    <d v="2017-09-09T00:00:00"/>
    <x v="643"/>
    <x v="0"/>
    <s v="Oficinas"/>
    <n v="93"/>
    <s v="Alquiler"/>
    <n v="19846"/>
    <n v="563285"/>
    <n v="450628"/>
    <n v="92811"/>
    <s v="Carlos"/>
    <n v="4.7"/>
  </r>
  <r>
    <n v="1716"/>
    <d v="2017-09-09T00:00:00"/>
    <x v="502"/>
    <x v="2"/>
    <s v="Casa"/>
    <n v="181"/>
    <s v="Venta"/>
    <n v="40034.199999999997"/>
    <n v="1067790"/>
    <n v="854232"/>
    <n v="173523.8"/>
    <s v="Carlos"/>
    <n v="4.9000000000000004"/>
  </r>
  <r>
    <n v="1717"/>
    <d v="2017-09-09T00:00:00"/>
    <x v="684"/>
    <x v="2"/>
    <s v="Depósito"/>
    <n v="146"/>
    <s v="Venta"/>
    <n v="31989.68"/>
    <n v="861002"/>
    <n v="688801.6"/>
    <n v="140210.72000000003"/>
    <s v="Ángeles"/>
    <n v="3.6"/>
  </r>
  <r>
    <n v="1718"/>
    <d v="2017-09-09T00:00:00"/>
    <x v="646"/>
    <x v="1"/>
    <s v="Casa"/>
    <n v="215"/>
    <s v="Venta"/>
    <n v="75302.960000000006"/>
    <n v="1947909"/>
    <n v="1558327.2"/>
    <n v="314278.84000000003"/>
    <s v="Romina"/>
    <n v="4.2"/>
  </r>
  <r>
    <n v="1719"/>
    <d v="2017-09-10T00:00:00"/>
    <x v="591"/>
    <x v="3"/>
    <s v="Estacionamiento"/>
    <n v="114"/>
    <s v="Alquiler"/>
    <n v="29224.36"/>
    <n v="784144"/>
    <n v="627315.19999999995"/>
    <n v="127604.44000000005"/>
    <s v="Arturo"/>
    <n v="3.8"/>
  </r>
  <r>
    <n v="1720"/>
    <d v="2017-09-10T00:00:00"/>
    <x v="638"/>
    <x v="0"/>
    <s v="Terreno"/>
    <n v="247"/>
    <s v="Venta"/>
    <n v="65668.039999999994"/>
    <n v="1705011"/>
    <n v="1364008.8"/>
    <n v="275334.15999999997"/>
    <s v="Romina"/>
    <n v="5"/>
  </r>
  <r>
    <n v="1721"/>
    <d v="2017-09-10T00:00:00"/>
    <x v="685"/>
    <x v="2"/>
    <s v="Depósito"/>
    <n v="167"/>
    <s v="Venta"/>
    <n v="38953"/>
    <n v="1031235"/>
    <n v="824988"/>
    <n v="167294"/>
    <s v="Carlos"/>
    <n v="4"/>
  </r>
  <r>
    <n v="1722"/>
    <d v="2017-09-10T00:00:00"/>
    <x v="686"/>
    <x v="1"/>
    <s v="Terreno"/>
    <n v="244"/>
    <s v="Venta"/>
    <n v="97985"/>
    <n v="2514485"/>
    <n v="2011588"/>
    <n v="404912"/>
    <s v="Romina"/>
    <n v="4.9000000000000004"/>
  </r>
  <r>
    <n v="1723"/>
    <d v="2017-09-10T00:00:00"/>
    <x v="687"/>
    <x v="3"/>
    <s v="Casa"/>
    <n v="135"/>
    <s v="Venta"/>
    <n v="47393.48"/>
    <n v="1237947"/>
    <n v="990357.6"/>
    <n v="200195.92"/>
    <s v="Iván"/>
    <n v="4.5999999999999996"/>
  </r>
  <r>
    <n v="1724"/>
    <d v="2017-09-10T00:00:00"/>
    <x v="688"/>
    <x v="2"/>
    <s v="Oficinas"/>
    <n v="267"/>
    <s v="Venta"/>
    <n v="71178.8"/>
    <n v="1834955"/>
    <n v="1467964"/>
    <n v="295812.2"/>
    <s v="Carlos"/>
    <n v="3.7"/>
  </r>
  <r>
    <n v="1725"/>
    <d v="2017-09-11T00:00:00"/>
    <x v="592"/>
    <x v="0"/>
    <s v="Terreno"/>
    <n v="140"/>
    <s v="Venta"/>
    <n v="37046.199999999997"/>
    <n v="980290"/>
    <n v="784232"/>
    <n v="159011.79999999999"/>
    <s v="Sabrina"/>
    <n v="4.0999999999999996"/>
  </r>
  <r>
    <n v="1726"/>
    <d v="2017-09-11T00:00:00"/>
    <x v="484"/>
    <x v="1"/>
    <s v="Estacionamiento"/>
    <n v="189"/>
    <s v="Venta"/>
    <n v="76292.320000000007"/>
    <n v="1968143"/>
    <n v="1574514.4"/>
    <n v="317336.28000000009"/>
    <s v="Iván"/>
    <n v="4.5"/>
  </r>
  <r>
    <n v="1727"/>
    <d v="2017-09-11T00:00:00"/>
    <x v="635"/>
    <x v="2"/>
    <s v="Terreno"/>
    <n v="266"/>
    <s v="Venta"/>
    <n v="80486.559999999998"/>
    <n v="2064649"/>
    <n v="1651719.2"/>
    <n v="332443.24000000005"/>
    <s v="Ángeles"/>
    <n v="3.6"/>
  </r>
  <r>
    <n v="1728"/>
    <d v="2017-09-11T00:00:00"/>
    <x v="598"/>
    <x v="2"/>
    <s v="Departamento"/>
    <n v="233"/>
    <s v="Venta"/>
    <n v="63518.8"/>
    <n v="1639205"/>
    <n v="1311364"/>
    <n v="264322.2"/>
    <s v="Carlos"/>
    <n v="3.8"/>
  </r>
  <r>
    <n v="1729"/>
    <d v="2017-09-11T00:00:00"/>
    <x v="689"/>
    <x v="1"/>
    <s v="Terreno"/>
    <n v="180"/>
    <s v="Venta"/>
    <n v="48513.599999999999"/>
    <n v="1267475"/>
    <n v="1013980"/>
    <n v="204981.4"/>
    <s v="Iván"/>
    <n v="4.3"/>
  </r>
  <r>
    <n v="1730"/>
    <d v="2017-09-12T00:00:00"/>
    <x v="496"/>
    <x v="2"/>
    <s v="Oficinas"/>
    <n v="191"/>
    <s v="Venta"/>
    <n v="58736.56"/>
    <n v="1526599"/>
    <n v="1221279.2"/>
    <n v="246583.24000000005"/>
    <s v="Sabrina"/>
    <n v="3.6"/>
  </r>
  <r>
    <n v="1731"/>
    <d v="2017-09-12T00:00:00"/>
    <x v="690"/>
    <x v="0"/>
    <s v="Departamento"/>
    <n v="216"/>
    <s v="Venta"/>
    <n v="84738.880000000005"/>
    <n v="2180407"/>
    <n v="1744325.6"/>
    <n v="351342.5199999999"/>
    <s v="Iván"/>
    <n v="4.3"/>
  </r>
  <r>
    <n v="1732"/>
    <d v="2017-09-12T00:00:00"/>
    <x v="691"/>
    <x v="0"/>
    <s v="Oficinas"/>
    <n v="62"/>
    <s v="Alquiler"/>
    <n v="15997.64"/>
    <n v="452351"/>
    <n v="361880.8"/>
    <n v="74472.560000000012"/>
    <s v="Ángeles"/>
    <n v="4.5"/>
  </r>
  <r>
    <n v="1733"/>
    <d v="2017-09-13T00:00:00"/>
    <x v="486"/>
    <x v="1"/>
    <s v="Estacionamiento"/>
    <n v="137"/>
    <s v="Venta"/>
    <n v="33471.199999999997"/>
    <n v="900565"/>
    <n v="720452"/>
    <n v="146641.79999999999"/>
    <s v="Romina"/>
    <n v="3.7"/>
  </r>
  <r>
    <n v="1734"/>
    <d v="2017-09-13T00:00:00"/>
    <x v="642"/>
    <x v="1"/>
    <s v="Estacionamiento"/>
    <n v="220"/>
    <s v="Venta"/>
    <n v="37808.239999999998"/>
    <n v="1011441"/>
    <n v="809152.8"/>
    <n v="164479.95999999996"/>
    <s v="Sabrina"/>
    <n v="4.4000000000000004"/>
  </r>
  <r>
    <n v="1735"/>
    <d v="2017-09-14T00:00:00"/>
    <x v="473"/>
    <x v="0"/>
    <s v="Local Comercial"/>
    <n v="252"/>
    <s v="Venta"/>
    <n v="56529.08"/>
    <n v="1466837"/>
    <n v="1173469.6000000001"/>
    <n v="236838.31999999989"/>
    <s v="Ángeles"/>
    <n v="3.8"/>
  </r>
  <r>
    <n v="1736"/>
    <d v="2017-09-14T00:00:00"/>
    <x v="609"/>
    <x v="2"/>
    <s v="Depósito"/>
    <n v="173"/>
    <s v="Venta"/>
    <n v="40863.24"/>
    <n v="1080341"/>
    <n v="864272.8"/>
    <n v="175204.95999999996"/>
    <s v="Iván"/>
    <n v="5"/>
  </r>
  <r>
    <n v="1737"/>
    <d v="2017-09-14T00:00:00"/>
    <x v="675"/>
    <x v="2"/>
    <s v="Terreno"/>
    <n v="91"/>
    <s v="Alquiler"/>
    <n v="27543.56"/>
    <n v="744399"/>
    <n v="595519.19999999995"/>
    <n v="121336.24000000005"/>
    <s v="Iván"/>
    <n v="3.9"/>
  </r>
  <r>
    <n v="1738"/>
    <d v="2017-09-14T00:00:00"/>
    <x v="528"/>
    <x v="1"/>
    <s v="Estacionamiento"/>
    <n v="147"/>
    <s v="Venta"/>
    <n v="36823"/>
    <n v="985085"/>
    <n v="788068"/>
    <n v="160194"/>
    <s v="Iván"/>
    <n v="3.6"/>
  </r>
  <r>
    <n v="1739"/>
    <d v="2017-09-16T00:00:00"/>
    <x v="605"/>
    <x v="0"/>
    <s v="Departamento"/>
    <n v="87"/>
    <s v="Venta"/>
    <n v="32545.68"/>
    <n v="874777"/>
    <n v="699821.6"/>
    <n v="142409.72000000003"/>
    <s v="Arturo"/>
    <n v="4.8"/>
  </r>
  <r>
    <n v="1740"/>
    <d v="2017-09-16T00:00:00"/>
    <x v="469"/>
    <x v="2"/>
    <s v="Terreno"/>
    <n v="141"/>
    <s v="Alquiler"/>
    <n v="23253.200000000001"/>
    <n v="635190"/>
    <n v="508152"/>
    <n v="103784.8"/>
    <s v="Ángeles"/>
    <n v="4"/>
  </r>
  <r>
    <n v="1741"/>
    <d v="2017-09-16T00:00:00"/>
    <x v="596"/>
    <x v="0"/>
    <s v="Casa"/>
    <n v="73"/>
    <s v="Alquiler"/>
    <n v="16678.919999999998"/>
    <n v="477858"/>
    <n v="382286.4"/>
    <n v="78892.679999999978"/>
    <s v="Romina"/>
    <n v="4.4000000000000004"/>
  </r>
  <r>
    <n v="1742"/>
    <d v="2017-09-17T00:00:00"/>
    <x v="506"/>
    <x v="2"/>
    <s v="Depósito"/>
    <n v="66"/>
    <s v="Alquiler"/>
    <n v="16296.6"/>
    <n v="464675"/>
    <n v="371740"/>
    <n v="76638.399999999994"/>
    <s v="Iván"/>
    <n v="4.0999999999999996"/>
  </r>
  <r>
    <n v="1743"/>
    <d v="2017-09-17T00:00:00"/>
    <x v="663"/>
    <x v="2"/>
    <s v="Departamento"/>
    <n v="287"/>
    <s v="Venta"/>
    <n v="104311.44"/>
    <n v="2666821"/>
    <n v="2133456.7999999998"/>
    <n v="429052.76000000018"/>
    <s v="Carlos"/>
    <n v="4.7"/>
  </r>
  <r>
    <n v="1744"/>
    <d v="2017-09-17T00:00:00"/>
    <x v="496"/>
    <x v="3"/>
    <s v="Local Comercial"/>
    <n v="45"/>
    <s v="Alquiler"/>
    <n v="15893.84"/>
    <n v="462131"/>
    <n v="369704.8"/>
    <n v="76532.360000000015"/>
    <s v="Sabrina"/>
    <n v="4.5"/>
  </r>
  <r>
    <n v="1745"/>
    <d v="2017-09-17T00:00:00"/>
    <x v="608"/>
    <x v="1"/>
    <s v="Estacionamiento"/>
    <n v="125"/>
    <s v="Alquiler"/>
    <n v="24765.8"/>
    <n v="678005"/>
    <n v="542404"/>
    <n v="110835.2"/>
    <s v="Carlos"/>
    <n v="5"/>
  </r>
  <r>
    <n v="1746"/>
    <d v="2017-09-19T00:00:00"/>
    <x v="662"/>
    <x v="2"/>
    <s v="Estacionamiento"/>
    <n v="189"/>
    <s v="Venta"/>
    <n v="60412.6"/>
    <n v="1576625"/>
    <n v="1261300"/>
    <n v="254912.4"/>
    <s v="Iván"/>
    <n v="4.4000000000000004"/>
  </r>
  <r>
    <n v="1747"/>
    <d v="2017-09-20T00:00:00"/>
    <x v="621"/>
    <x v="0"/>
    <s v="Terreno"/>
    <n v="237"/>
    <s v="Venta"/>
    <n v="86677.4"/>
    <n v="2220245"/>
    <n v="1776196"/>
    <n v="357371.6"/>
    <s v="Iván"/>
    <n v="3.8"/>
  </r>
  <r>
    <n v="1748"/>
    <d v="2017-09-21T00:00:00"/>
    <x v="494"/>
    <x v="0"/>
    <s v="Depósito"/>
    <n v="107"/>
    <s v="Alquiler"/>
    <n v="25186.04"/>
    <n v="693161"/>
    <n v="554528.80000000005"/>
    <n v="113446.15999999995"/>
    <s v="Carlos"/>
    <n v="5"/>
  </r>
  <r>
    <n v="1749"/>
    <d v="2017-09-21T00:00:00"/>
    <x v="596"/>
    <x v="1"/>
    <s v="Terreno"/>
    <n v="117"/>
    <s v="Venta"/>
    <n v="34256.839999999997"/>
    <n v="910031"/>
    <n v="728024.8"/>
    <n v="147749.35999999996"/>
    <s v="Carlos"/>
    <n v="4.0999999999999996"/>
  </r>
  <r>
    <n v="1750"/>
    <d v="2017-09-21T00:00:00"/>
    <x v="692"/>
    <x v="1"/>
    <s v="Casa"/>
    <n v="112"/>
    <s v="Alquiler"/>
    <n v="18253.36"/>
    <n v="510569"/>
    <n v="408455.2"/>
    <n v="83860.439999999988"/>
    <s v="Sabrina"/>
    <n v="4.9000000000000004"/>
  </r>
  <r>
    <n v="1751"/>
    <d v="2017-09-21T00:00:00"/>
    <x v="572"/>
    <x v="0"/>
    <s v="Departamento"/>
    <n v="255"/>
    <s v="Venta"/>
    <n v="69560.44"/>
    <n v="1795271"/>
    <n v="1436216.8"/>
    <n v="289493.75999999995"/>
    <s v="Iván"/>
    <n v="3.9"/>
  </r>
  <r>
    <n v="1752"/>
    <d v="2017-09-21T00:00:00"/>
    <x v="693"/>
    <x v="1"/>
    <s v="Departamento"/>
    <n v="110"/>
    <s v="Venta"/>
    <n v="31164"/>
    <n v="839785"/>
    <n v="671828"/>
    <n v="136793"/>
    <s v="Ángeles"/>
    <n v="4.9000000000000004"/>
  </r>
  <r>
    <n v="1753"/>
    <d v="2017-09-21T00:00:00"/>
    <x v="589"/>
    <x v="1"/>
    <s v="Departamento"/>
    <n v="178"/>
    <s v="Venta"/>
    <n v="44496.2"/>
    <n v="1166465"/>
    <n v="933172"/>
    <n v="188796.79999999999"/>
    <s v="Arturo"/>
    <n v="4"/>
  </r>
  <r>
    <n v="1754"/>
    <d v="2017-09-21T00:00:00"/>
    <x v="549"/>
    <x v="0"/>
    <s v="Oficinas"/>
    <n v="50"/>
    <s v="Alquiler"/>
    <n v="16557.400000000001"/>
    <n v="469720"/>
    <n v="375776"/>
    <n v="77386.600000000006"/>
    <s v="Romina"/>
    <n v="4.0999999999999996"/>
  </r>
  <r>
    <n v="1755"/>
    <d v="2017-09-22T00:00:00"/>
    <x v="614"/>
    <x v="0"/>
    <s v="Terreno"/>
    <n v="179"/>
    <s v="Venta"/>
    <n v="51096.160000000003"/>
    <n v="1341789"/>
    <n v="1073431.2"/>
    <n v="217261.64000000004"/>
    <s v="Sabrina"/>
    <n v="3.7"/>
  </r>
  <r>
    <n v="1756"/>
    <d v="2017-09-24T00:00:00"/>
    <x v="542"/>
    <x v="2"/>
    <s v="Terreno"/>
    <n v="81"/>
    <s v="Alquiler"/>
    <n v="23758"/>
    <n v="649760"/>
    <n v="519808"/>
    <n v="106194"/>
    <s v="Arturo"/>
    <n v="4.5999999999999996"/>
  </r>
  <r>
    <n v="1757"/>
    <d v="2017-09-24T00:00:00"/>
    <x v="642"/>
    <x v="3"/>
    <s v="Depósito"/>
    <n v="199"/>
    <s v="Venta"/>
    <n v="34433.96"/>
    <n v="914909"/>
    <n v="731927.2"/>
    <n v="148547.84000000005"/>
    <s v="Romina"/>
    <n v="4.2"/>
  </r>
  <r>
    <n v="1758"/>
    <d v="2017-09-24T00:00:00"/>
    <x v="612"/>
    <x v="2"/>
    <s v="Local Comercial"/>
    <n v="40"/>
    <s v="Alquiler"/>
    <n v="15179.04"/>
    <n v="439886"/>
    <n v="351908.8"/>
    <n v="72798.16"/>
    <s v="Ángeles"/>
    <n v="4.5999999999999996"/>
  </r>
  <r>
    <n v="1759"/>
    <d v="2017-09-25T00:00:00"/>
    <x v="587"/>
    <x v="3"/>
    <s v="Terreno"/>
    <n v="227"/>
    <s v="Venta"/>
    <n v="84616.88"/>
    <n v="2169957"/>
    <n v="1735965.6"/>
    <n v="349374.5199999999"/>
    <s v="Romina"/>
    <n v="4.3"/>
  </r>
  <r>
    <n v="1760"/>
    <d v="2017-09-25T00:00:00"/>
    <x v="585"/>
    <x v="2"/>
    <s v="Oficinas"/>
    <n v="91"/>
    <s v="Alquiler"/>
    <n v="26683.759999999998"/>
    <n v="720329"/>
    <n v="576263.19999999995"/>
    <n v="117382.04000000005"/>
    <s v="Carlos"/>
    <n v="4.8"/>
  </r>
  <r>
    <n v="1761"/>
    <d v="2017-09-26T00:00:00"/>
    <x v="681"/>
    <x v="3"/>
    <s v="Local Comercial"/>
    <n v="210"/>
    <s v="Venta"/>
    <n v="66610.64"/>
    <n v="1725801"/>
    <n v="1380640.8"/>
    <n v="278549.55999999994"/>
    <s v="Romina"/>
    <n v="4.3"/>
  </r>
  <r>
    <n v="1762"/>
    <d v="2017-09-26T00:00:00"/>
    <x v="694"/>
    <x v="3"/>
    <s v="Departamento"/>
    <n v="186"/>
    <s v="Venta"/>
    <n v="59497.279999999999"/>
    <n v="1550542"/>
    <n v="1240433.6000000001"/>
    <n v="250611.11999999991"/>
    <s v="Sabrina"/>
    <n v="4.5"/>
  </r>
  <r>
    <n v="1763"/>
    <d v="2017-09-27T00:00:00"/>
    <x v="594"/>
    <x v="3"/>
    <s v="Oficinas"/>
    <n v="73"/>
    <s v="Alquiler"/>
    <n v="26193.279999999999"/>
    <n v="714617"/>
    <n v="571693.6"/>
    <n v="116730.12000000002"/>
    <s v="Ángeles"/>
    <n v="4.8"/>
  </r>
  <r>
    <n v="1764"/>
    <d v="2017-09-27T00:00:00"/>
    <x v="572"/>
    <x v="1"/>
    <s v="Terreno"/>
    <n v="184"/>
    <s v="Venta"/>
    <n v="35724.559999999998"/>
    <n v="947549"/>
    <n v="758039.2"/>
    <n v="153785.24000000005"/>
    <s v="Ángeles"/>
    <n v="3.9"/>
  </r>
  <r>
    <n v="1765"/>
    <d v="2017-09-29T00:00:00"/>
    <x v="695"/>
    <x v="0"/>
    <s v="Local Comercial"/>
    <n v="115"/>
    <s v="Alquiler"/>
    <n v="18444.88"/>
    <n v="527382"/>
    <n v="421905.6"/>
    <n v="87031.520000000019"/>
    <s v="Ángeles"/>
    <n v="4.9000000000000004"/>
  </r>
  <r>
    <n v="1766"/>
    <d v="2017-09-29T00:00:00"/>
    <x v="636"/>
    <x v="3"/>
    <s v="Depósito"/>
    <n v="227"/>
    <s v="Venta"/>
    <n v="91273.96"/>
    <n v="2335859"/>
    <n v="1868687.2"/>
    <n v="375897.84"/>
    <s v="Iván"/>
    <n v="3.9"/>
  </r>
  <r>
    <n v="1767"/>
    <d v="2017-09-29T00:00:00"/>
    <x v="499"/>
    <x v="0"/>
    <s v="Casa"/>
    <n v="77"/>
    <s v="Venta"/>
    <n v="29493.599999999999"/>
    <n v="800725"/>
    <n v="640580"/>
    <n v="130651.4"/>
    <s v="Arturo"/>
    <n v="4.5999999999999996"/>
  </r>
  <r>
    <n v="1768"/>
    <d v="2017-09-30T00:00:00"/>
    <x v="696"/>
    <x v="2"/>
    <s v="Departamento"/>
    <n v="72"/>
    <s v="Alquiler"/>
    <n v="15473.12"/>
    <n v="445863"/>
    <n v="356690.4"/>
    <n v="73699.479999999981"/>
    <s v="Sabrina"/>
    <n v="4.3"/>
  </r>
  <r>
    <n v="1769"/>
    <d v="2017-10-01T00:00:00"/>
    <x v="697"/>
    <x v="1"/>
    <s v="Departamento"/>
    <n v="130"/>
    <s v="Alquiler"/>
    <n v="20878.72"/>
    <n v="586153"/>
    <n v="468922.4"/>
    <n v="96351.879999999976"/>
    <s v="Arturo"/>
    <n v="4.9000000000000004"/>
  </r>
  <r>
    <n v="1770"/>
    <d v="2017-10-01T00:00:00"/>
    <x v="585"/>
    <x v="3"/>
    <s v="Departamento"/>
    <n v="161"/>
    <s v="Venta"/>
    <n v="34070.480000000003"/>
    <n v="915197"/>
    <n v="732157.6"/>
    <n v="148968.92000000001"/>
    <s v="Ángeles"/>
    <n v="3.8"/>
  </r>
  <r>
    <n v="1771"/>
    <d v="2017-10-01T00:00:00"/>
    <x v="568"/>
    <x v="0"/>
    <s v="Local Comercial"/>
    <n v="279"/>
    <s v="Venta"/>
    <n v="70085"/>
    <n v="1816310"/>
    <n v="1453048"/>
    <n v="293177"/>
    <s v="Ángeles"/>
    <n v="4.2"/>
  </r>
  <r>
    <n v="1772"/>
    <d v="2017-10-01T00:00:00"/>
    <x v="656"/>
    <x v="3"/>
    <s v="Terreno"/>
    <n v="143"/>
    <s v="Alquiler"/>
    <n v="25164.52"/>
    <n v="681173"/>
    <n v="544938.4"/>
    <n v="111070.07999999997"/>
    <s v="Iván"/>
    <n v="4"/>
  </r>
  <r>
    <n v="1773"/>
    <d v="2017-10-01T00:00:00"/>
    <x v="574"/>
    <x v="3"/>
    <s v="Departamento"/>
    <n v="126"/>
    <s v="Venta"/>
    <n v="32927.040000000001"/>
    <n v="886961"/>
    <n v="709568.8"/>
    <n v="144465.15999999995"/>
    <s v="Iván"/>
    <n v="4.5"/>
  </r>
  <r>
    <n v="1774"/>
    <d v="2017-10-01T00:00:00"/>
    <x v="467"/>
    <x v="3"/>
    <s v="Departamento"/>
    <n v="189"/>
    <s v="Venta"/>
    <n v="40710.6"/>
    <n v="1070000"/>
    <n v="856000"/>
    <n v="173289.4"/>
    <s v="Arturo"/>
    <n v="4.0999999999999996"/>
  </r>
  <r>
    <n v="1775"/>
    <d v="2017-10-01T00:00:00"/>
    <x v="698"/>
    <x v="2"/>
    <s v="Estacionamiento"/>
    <n v="47"/>
    <s v="Alquiler"/>
    <n v="17206.52"/>
    <n v="482798"/>
    <n v="386238.4"/>
    <n v="79353.079999999973"/>
    <s v="Arturo"/>
    <n v="4.8"/>
  </r>
  <r>
    <n v="1776"/>
    <d v="2017-10-01T00:00:00"/>
    <x v="699"/>
    <x v="0"/>
    <s v="Departamento"/>
    <n v="224"/>
    <s v="Venta"/>
    <n v="87515.68"/>
    <n v="2251602"/>
    <n v="1801281.6"/>
    <n v="362804.71999999991"/>
    <s v="Iván"/>
    <n v="4.4000000000000004"/>
  </r>
  <r>
    <n v="1777"/>
    <d v="2017-10-02T00:00:00"/>
    <x v="700"/>
    <x v="3"/>
    <s v="Estacionamiento"/>
    <n v="275"/>
    <s v="Venta"/>
    <n v="59672.52"/>
    <n v="1549223"/>
    <n v="1239378.3999999999"/>
    <n v="250172.0800000001"/>
    <s v="Sabrina"/>
    <n v="4.7"/>
  </r>
  <r>
    <n v="1778"/>
    <d v="2017-10-02T00:00:00"/>
    <x v="617"/>
    <x v="2"/>
    <s v="Casa"/>
    <n v="197"/>
    <s v="Venta"/>
    <n v="76576.12"/>
    <n v="1965713"/>
    <n v="1572570.4"/>
    <n v="316566.4800000001"/>
    <s v="Arturo"/>
    <n v="3.9"/>
  </r>
  <r>
    <n v="1779"/>
    <d v="2017-10-02T00:00:00"/>
    <x v="497"/>
    <x v="1"/>
    <s v="Local Comercial"/>
    <n v="62"/>
    <s v="Alquiler"/>
    <n v="23577.84"/>
    <n v="649981"/>
    <n v="519984.8"/>
    <n v="106418.36000000002"/>
    <s v="Iván"/>
    <n v="4.8"/>
  </r>
  <r>
    <n v="1780"/>
    <d v="2017-10-02T00:00:00"/>
    <x v="701"/>
    <x v="0"/>
    <s v="Oficinas"/>
    <n v="174"/>
    <s v="Venta"/>
    <n v="37964.400000000001"/>
    <n v="1016045"/>
    <n v="812836"/>
    <n v="165244.6"/>
    <s v="Ángeles"/>
    <n v="4.2"/>
  </r>
  <r>
    <n v="1781"/>
    <d v="2017-10-02T00:00:00"/>
    <x v="666"/>
    <x v="2"/>
    <s v="Oficinas"/>
    <n v="49"/>
    <s v="Alquiler"/>
    <n v="9540.4"/>
    <n v="300870"/>
    <n v="240696"/>
    <n v="50633.599999999999"/>
    <s v="Carlos"/>
    <n v="3.8"/>
  </r>
  <r>
    <n v="1782"/>
    <d v="2017-10-02T00:00:00"/>
    <x v="702"/>
    <x v="1"/>
    <s v="Casa"/>
    <n v="253"/>
    <s v="Venta"/>
    <n v="44649.08"/>
    <n v="1183037"/>
    <n v="946429.6"/>
    <n v="191958.32"/>
    <s v="Sabrina"/>
    <n v="4.3"/>
  </r>
  <r>
    <n v="1783"/>
    <d v="2017-10-03T00:00:00"/>
    <x v="550"/>
    <x v="2"/>
    <s v="Terreno"/>
    <n v="297"/>
    <s v="Venta"/>
    <n v="59491"/>
    <n v="1542785"/>
    <n v="1234228"/>
    <n v="249066"/>
    <s v="Arturo"/>
    <n v="4.0999999999999996"/>
  </r>
  <r>
    <n v="1784"/>
    <d v="2017-10-03T00:00:00"/>
    <x v="609"/>
    <x v="2"/>
    <s v="Estacionamiento"/>
    <n v="81"/>
    <s v="Venta"/>
    <n v="31418.6"/>
    <n v="845600"/>
    <n v="676480"/>
    <n v="137701.4"/>
    <s v="Ángeles"/>
    <n v="4.5"/>
  </r>
  <r>
    <n v="1785"/>
    <d v="2017-10-03T00:00:00"/>
    <x v="518"/>
    <x v="2"/>
    <s v="Departamento"/>
    <n v="54"/>
    <s v="Alquiler"/>
    <n v="9506"/>
    <n v="294210"/>
    <n v="235368"/>
    <n v="49336"/>
    <s v="Iván"/>
    <n v="3.6"/>
  </r>
  <r>
    <n v="1786"/>
    <d v="2017-10-03T00:00:00"/>
    <x v="703"/>
    <x v="2"/>
    <s v="Oficinas"/>
    <n v="77"/>
    <s v="Alquiler"/>
    <n v="13698.24"/>
    <n v="395891"/>
    <n v="316712.8"/>
    <n v="65479.960000000014"/>
    <s v="Arturo"/>
    <n v="4.5"/>
  </r>
  <r>
    <n v="1787"/>
    <d v="2017-10-03T00:00:00"/>
    <x v="639"/>
    <x v="3"/>
    <s v="Local Comercial"/>
    <n v="293"/>
    <s v="Venta"/>
    <n v="105729.88"/>
    <n v="2705957"/>
    <n v="2164765.6"/>
    <n v="435461.5199999999"/>
    <s v="Carlos"/>
    <n v="4.3"/>
  </r>
  <r>
    <n v="1788"/>
    <d v="2017-10-03T00:00:00"/>
    <x v="704"/>
    <x v="1"/>
    <s v="Depósito"/>
    <n v="80"/>
    <s v="Alquiler"/>
    <n v="25620.400000000001"/>
    <n v="695320"/>
    <n v="556256"/>
    <n v="113443.6"/>
    <s v="Sabrina"/>
    <n v="4"/>
  </r>
  <r>
    <n v="1789"/>
    <d v="2017-10-04T00:00:00"/>
    <x v="705"/>
    <x v="3"/>
    <s v="Casa"/>
    <n v="78"/>
    <s v="Alquiler"/>
    <n v="29134"/>
    <n v="785760"/>
    <n v="628608"/>
    <n v="128018"/>
    <s v="Ángeles"/>
    <n v="3.9"/>
  </r>
  <r>
    <n v="1790"/>
    <d v="2017-10-04T00:00:00"/>
    <x v="706"/>
    <x v="3"/>
    <s v="Estacionamiento"/>
    <n v="235"/>
    <s v="Venta"/>
    <n v="86751.56"/>
    <n v="2220849"/>
    <n v="1776679.2"/>
    <n v="357418.24000000005"/>
    <s v="Sabrina"/>
    <n v="4.7"/>
  </r>
  <r>
    <n v="1791"/>
    <d v="2017-10-04T00:00:00"/>
    <x v="707"/>
    <x v="3"/>
    <s v="Estacionamiento"/>
    <n v="222"/>
    <s v="Venta"/>
    <n v="68869.679999999993"/>
    <n v="1783877"/>
    <n v="1427101.6"/>
    <n v="287905.71999999991"/>
    <s v="Romina"/>
    <n v="4.3"/>
  </r>
  <r>
    <n v="1792"/>
    <d v="2017-10-05T00:00:00"/>
    <x v="708"/>
    <x v="0"/>
    <s v="Departamento"/>
    <n v="100"/>
    <s v="Venta"/>
    <n v="30983.599999999999"/>
    <n v="841025"/>
    <n v="672820"/>
    <n v="137221.4"/>
    <s v="Arturo"/>
    <n v="4.4000000000000004"/>
  </r>
  <r>
    <n v="1793"/>
    <d v="2017-10-05T00:00:00"/>
    <x v="568"/>
    <x v="1"/>
    <s v="Local Comercial"/>
    <n v="271"/>
    <s v="Venta"/>
    <n v="69509.08"/>
    <n v="1789537"/>
    <n v="1431629.6"/>
    <n v="288398.31999999989"/>
    <s v="Carlos"/>
    <n v="4"/>
  </r>
  <r>
    <n v="1794"/>
    <d v="2017-10-05T00:00:00"/>
    <x v="584"/>
    <x v="3"/>
    <s v="Oficinas"/>
    <n v="114"/>
    <s v="Venta"/>
    <n v="38210.559999999998"/>
    <n v="1006799"/>
    <n v="805439.2"/>
    <n v="163149.24000000005"/>
    <s v="Sabrina"/>
    <n v="4.8"/>
  </r>
  <r>
    <n v="1795"/>
    <d v="2017-10-05T00:00:00"/>
    <x v="616"/>
    <x v="2"/>
    <s v="Estacionamiento"/>
    <n v="217"/>
    <s v="Venta"/>
    <n v="56162.400000000001"/>
    <n v="1456645"/>
    <n v="1165316"/>
    <n v="235166.6"/>
    <s v="Iván"/>
    <n v="4.5"/>
  </r>
  <r>
    <n v="1796"/>
    <d v="2017-10-06T00:00:00"/>
    <x v="684"/>
    <x v="1"/>
    <s v="Estacionamiento"/>
    <n v="201"/>
    <s v="Venta"/>
    <n v="71822.2"/>
    <n v="1848165"/>
    <n v="1478532"/>
    <n v="297810.8"/>
    <s v="Iván"/>
    <n v="4.5"/>
  </r>
  <r>
    <n v="1797"/>
    <d v="2017-10-06T00:00:00"/>
    <x v="709"/>
    <x v="1"/>
    <s v="Departamento"/>
    <n v="128"/>
    <s v="Venta"/>
    <n v="34444.800000000003"/>
    <n v="918905"/>
    <n v="735124"/>
    <n v="149336.20000000001"/>
    <s v="Romina"/>
    <n v="4.3"/>
  </r>
  <r>
    <n v="1798"/>
    <d v="2017-10-06T00:00:00"/>
    <x v="628"/>
    <x v="3"/>
    <s v="Departamento"/>
    <n v="204"/>
    <s v="Venta"/>
    <n v="60323.92"/>
    <n v="1559483"/>
    <n v="1247586.3999999999"/>
    <n v="251572.68000000011"/>
    <s v="Sabrina"/>
    <n v="4.4000000000000004"/>
  </r>
  <r>
    <n v="1799"/>
    <d v="2017-10-06T00:00:00"/>
    <x v="710"/>
    <x v="1"/>
    <s v="Depósito"/>
    <n v="285"/>
    <s v="Venta"/>
    <n v="89173.04"/>
    <n v="2286061"/>
    <n v="1828848.8"/>
    <n v="368039.16"/>
    <s v="Romina"/>
    <n v="3.9"/>
  </r>
  <r>
    <n v="1800"/>
    <d v="2017-10-06T00:00:00"/>
    <x v="711"/>
    <x v="1"/>
    <s v="Depósito"/>
    <n v="155"/>
    <s v="Venta"/>
    <n v="52105.8"/>
    <n v="1356005"/>
    <n v="1084804"/>
    <n v="219095.2"/>
    <s v="Iván"/>
    <n v="3.7"/>
  </r>
  <r>
    <n v="1801"/>
    <d v="2017-10-06T00:00:00"/>
    <x v="712"/>
    <x v="0"/>
    <s v="Estacionamiento"/>
    <n v="121"/>
    <s v="Venta"/>
    <n v="46947.88"/>
    <n v="1241207"/>
    <n v="992965.6"/>
    <n v="201293.52000000002"/>
    <s v="Carlos"/>
    <n v="3.7"/>
  </r>
  <r>
    <n v="1802"/>
    <d v="2017-10-07T00:00:00"/>
    <x v="713"/>
    <x v="1"/>
    <s v="Casa"/>
    <n v="151"/>
    <s v="Venta"/>
    <n v="35240.239999999998"/>
    <n v="946091"/>
    <n v="756872.8"/>
    <n v="153977.95999999996"/>
    <s v="Romina"/>
    <n v="3.8"/>
  </r>
  <r>
    <n v="1803"/>
    <d v="2017-10-07T00:00:00"/>
    <x v="714"/>
    <x v="0"/>
    <s v="Estacionamiento"/>
    <n v="249"/>
    <s v="Venta"/>
    <n v="94382.12"/>
    <n v="2414938"/>
    <n v="1931950.4"/>
    <n v="388605.4800000001"/>
    <s v="Sabrina"/>
    <n v="3.9"/>
  </r>
  <r>
    <n v="1804"/>
    <d v="2017-10-07T00:00:00"/>
    <x v="715"/>
    <x v="0"/>
    <s v="Casa"/>
    <n v="110"/>
    <s v="Venta"/>
    <n v="33125.440000000002"/>
    <n v="894421"/>
    <n v="715536.8"/>
    <n v="145758.75999999995"/>
    <s v="Sabrina"/>
    <n v="4"/>
  </r>
  <r>
    <n v="1805"/>
    <d v="2017-10-07T00:00:00"/>
    <x v="691"/>
    <x v="0"/>
    <s v="Depósito"/>
    <n v="239"/>
    <s v="Venta"/>
    <n v="77764.160000000003"/>
    <n v="1999589"/>
    <n v="1599671.2"/>
    <n v="322153.64"/>
    <s v="Arturo"/>
    <n v="4"/>
  </r>
  <r>
    <n v="1806"/>
    <d v="2017-10-08T00:00:00"/>
    <x v="596"/>
    <x v="2"/>
    <s v="Depósito"/>
    <n v="260"/>
    <s v="Venta"/>
    <n v="44694.080000000002"/>
    <n v="1169837"/>
    <n v="935869.6"/>
    <n v="189273.32"/>
    <s v="Arturo"/>
    <n v="5"/>
  </r>
  <r>
    <n v="1807"/>
    <d v="2017-10-09T00:00:00"/>
    <x v="716"/>
    <x v="0"/>
    <s v="Oficinas"/>
    <n v="207"/>
    <s v="Venta"/>
    <n v="49084.24"/>
    <n v="1280541"/>
    <n v="1024432.8"/>
    <n v="207023.95999999996"/>
    <s v="Ángeles"/>
    <n v="3.8"/>
  </r>
  <r>
    <n v="1808"/>
    <d v="2017-10-09T00:00:00"/>
    <x v="717"/>
    <x v="1"/>
    <s v="Casa"/>
    <n v="123"/>
    <s v="Alquiler"/>
    <n v="28751.8"/>
    <n v="772430"/>
    <n v="617944"/>
    <n v="125734.2"/>
    <s v="Carlos"/>
    <n v="4.7"/>
  </r>
  <r>
    <n v="1809"/>
    <d v="2017-10-11T00:00:00"/>
    <x v="675"/>
    <x v="1"/>
    <s v="Estacionamiento"/>
    <n v="146"/>
    <s v="Venta"/>
    <n v="54352.28"/>
    <n v="1419192"/>
    <n v="1135353.6000000001"/>
    <n v="229486.11999999991"/>
    <s v="Ángeles"/>
    <n v="3.8"/>
  </r>
  <r>
    <n v="1810"/>
    <d v="2017-10-11T00:00:00"/>
    <x v="636"/>
    <x v="3"/>
    <s v="Estacionamiento"/>
    <n v="59"/>
    <s v="Alquiler"/>
    <n v="17996.36"/>
    <n v="516869"/>
    <n v="413495.2"/>
    <n v="85377.439999999988"/>
    <s v="Romina"/>
    <n v="4.3"/>
  </r>
  <r>
    <n v="1811"/>
    <d v="2017-10-12T00:00:00"/>
    <x v="604"/>
    <x v="2"/>
    <s v="Terreno"/>
    <n v="208"/>
    <s v="Venta"/>
    <n v="57967.199999999997"/>
    <n v="1509665"/>
    <n v="1207732"/>
    <n v="243965.8"/>
    <s v="Arturo"/>
    <n v="4.2"/>
  </r>
  <r>
    <n v="1812"/>
    <d v="2017-10-12T00:00:00"/>
    <x v="656"/>
    <x v="2"/>
    <s v="Departamento"/>
    <n v="119"/>
    <s v="Venta"/>
    <n v="37211.96"/>
    <n v="982109"/>
    <n v="785687.2"/>
    <n v="159209.84000000005"/>
    <s v="Carlos"/>
    <n v="4.5"/>
  </r>
  <r>
    <n v="1813"/>
    <d v="2017-10-12T00:00:00"/>
    <x v="718"/>
    <x v="2"/>
    <s v="Oficinas"/>
    <n v="243"/>
    <s v="Venta"/>
    <n v="79561.48"/>
    <n v="2046797"/>
    <n v="1637437.6"/>
    <n v="329797.91999999993"/>
    <s v="Ángeles"/>
    <n v="4.9000000000000004"/>
  </r>
  <r>
    <n v="1814"/>
    <d v="2017-10-12T00:00:00"/>
    <x v="595"/>
    <x v="1"/>
    <s v="Terreno"/>
    <n v="49"/>
    <s v="Alquiler"/>
    <n v="12832.68"/>
    <n v="382677"/>
    <n v="306141.59999999998"/>
    <n v="63702.720000000023"/>
    <s v="Ángeles"/>
    <n v="3.7"/>
  </r>
  <r>
    <n v="1815"/>
    <d v="2017-10-12T00:00:00"/>
    <x v="719"/>
    <x v="2"/>
    <s v="Terreno"/>
    <n v="69"/>
    <s v="Alquiler"/>
    <n v="26267.279999999999"/>
    <n v="722717"/>
    <n v="578173.6"/>
    <n v="118276.12000000002"/>
    <s v="Sabrina"/>
    <n v="4.4000000000000004"/>
  </r>
  <r>
    <n v="1816"/>
    <d v="2017-10-12T00:00:00"/>
    <x v="494"/>
    <x v="3"/>
    <s v="Terreno"/>
    <n v="113"/>
    <s v="Venta"/>
    <n v="41069"/>
    <n v="1086485"/>
    <n v="869188"/>
    <n v="176228"/>
    <s v="Arturo"/>
    <n v="4.5"/>
  </r>
  <r>
    <n v="1817"/>
    <d v="2017-10-13T00:00:00"/>
    <x v="720"/>
    <x v="3"/>
    <s v="Estacionamiento"/>
    <n v="69"/>
    <s v="Alquiler"/>
    <n v="13705.04"/>
    <n v="405161"/>
    <n v="324128.8"/>
    <n v="67327.16"/>
    <s v="Sabrina"/>
    <n v="4.7"/>
  </r>
  <r>
    <n v="1818"/>
    <d v="2017-10-13T00:00:00"/>
    <x v="609"/>
    <x v="1"/>
    <s v="Estacionamiento"/>
    <n v="250"/>
    <s v="Venta"/>
    <n v="81884.399999999994"/>
    <n v="2099945"/>
    <n v="1679956"/>
    <n v="338104.6"/>
    <s v="Sabrina"/>
    <n v="3.8"/>
  </r>
  <r>
    <n v="1819"/>
    <d v="2017-10-13T00:00:00"/>
    <x v="721"/>
    <x v="1"/>
    <s v="Terreno"/>
    <n v="239"/>
    <s v="Venta"/>
    <n v="63259.199999999997"/>
    <n v="1642215"/>
    <n v="1313772"/>
    <n v="265183.8"/>
    <s v="Arturo"/>
    <n v="3.9"/>
  </r>
  <r>
    <n v="1820"/>
    <d v="2017-10-14T00:00:00"/>
    <x v="698"/>
    <x v="1"/>
    <s v="Terreno"/>
    <n v="119"/>
    <s v="Alquiler"/>
    <n v="19161.88"/>
    <n v="533757"/>
    <n v="427005.6"/>
    <n v="87589.520000000019"/>
    <s v="Sabrina"/>
    <n v="4.5999999999999996"/>
  </r>
  <r>
    <n v="1821"/>
    <d v="2017-10-14T00:00:00"/>
    <x v="722"/>
    <x v="1"/>
    <s v="Estacionamiento"/>
    <n v="203"/>
    <s v="Venta"/>
    <n v="61274.04"/>
    <n v="1592711"/>
    <n v="1274168.8"/>
    <n v="257268.15999999995"/>
    <s v="Romina"/>
    <n v="3.6"/>
  </r>
  <r>
    <n v="1822"/>
    <d v="2017-10-15T00:00:00"/>
    <x v="514"/>
    <x v="0"/>
    <s v="Terreno"/>
    <n v="78"/>
    <s v="Alquiler"/>
    <n v="16747.599999999999"/>
    <n v="474125"/>
    <n v="379300"/>
    <n v="78077.399999999994"/>
    <s v="Ángeles"/>
    <n v="4.4000000000000004"/>
  </r>
  <r>
    <n v="1823"/>
    <d v="2017-10-15T00:00:00"/>
    <x v="711"/>
    <x v="0"/>
    <s v="Departamento"/>
    <n v="268"/>
    <s v="Venta"/>
    <n v="92414.92"/>
    <n v="2370608"/>
    <n v="1896486.4"/>
    <n v="381706.68000000011"/>
    <s v="Carlos"/>
    <n v="3.9"/>
  </r>
  <r>
    <n v="1824"/>
    <d v="2017-10-15T00:00:00"/>
    <x v="595"/>
    <x v="3"/>
    <s v="Departamento"/>
    <n v="254"/>
    <s v="Venta"/>
    <n v="84379.36"/>
    <n v="2172669"/>
    <n v="1738135.2"/>
    <n v="350154.44000000006"/>
    <s v="Iván"/>
    <n v="4.4000000000000004"/>
  </r>
  <r>
    <n v="1825"/>
    <d v="2017-10-15T00:00:00"/>
    <x v="603"/>
    <x v="3"/>
    <s v="Estacionamiento"/>
    <n v="256"/>
    <s v="Venta"/>
    <n v="94869"/>
    <n v="2427235"/>
    <n v="1941788"/>
    <n v="390578"/>
    <s v="Arturo"/>
    <n v="4.4000000000000004"/>
  </r>
  <r>
    <n v="1826"/>
    <d v="2017-10-16T00:00:00"/>
    <x v="723"/>
    <x v="2"/>
    <s v="Departamento"/>
    <n v="225"/>
    <s v="Venta"/>
    <n v="38806.44"/>
    <n v="1031021"/>
    <n v="824816.8"/>
    <n v="167397.75999999995"/>
    <s v="Carlos"/>
    <n v="5"/>
  </r>
  <r>
    <n v="1827"/>
    <d v="2017-10-16T00:00:00"/>
    <x v="644"/>
    <x v="2"/>
    <s v="Depósito"/>
    <n v="141"/>
    <s v="Venta"/>
    <n v="45743.4"/>
    <n v="1206345"/>
    <n v="965076"/>
    <n v="195525.6"/>
    <s v="Carlos"/>
    <n v="4.5"/>
  </r>
  <r>
    <n v="1828"/>
    <d v="2017-10-16T00:00:00"/>
    <x v="501"/>
    <x v="0"/>
    <s v="Depósito"/>
    <n v="208"/>
    <s v="Venta"/>
    <n v="66423.16"/>
    <n v="1724089"/>
    <n v="1379271.2"/>
    <n v="278394.64"/>
    <s v="Sabrina"/>
    <n v="3.9"/>
  </r>
  <r>
    <n v="1829"/>
    <d v="2017-10-17T00:00:00"/>
    <x v="724"/>
    <x v="3"/>
    <s v="Terreno"/>
    <n v="154"/>
    <s v="Alquiler"/>
    <n v="27775.52"/>
    <n v="761048"/>
    <n v="608838.40000000002"/>
    <n v="124434.07999999997"/>
    <s v="Iván"/>
    <n v="5"/>
  </r>
  <r>
    <n v="1830"/>
    <d v="2017-10-17T00:00:00"/>
    <x v="725"/>
    <x v="2"/>
    <s v="Depósito"/>
    <n v="195"/>
    <s v="Venta"/>
    <n v="73491.679999999993"/>
    <n v="1904177"/>
    <n v="1523341.6"/>
    <n v="307343.71999999991"/>
    <s v="Iván"/>
    <n v="4.3"/>
  </r>
  <r>
    <n v="1831"/>
    <d v="2017-10-17T00:00:00"/>
    <x v="726"/>
    <x v="3"/>
    <s v="Oficinas"/>
    <n v="149"/>
    <s v="Venta"/>
    <n v="38794.959999999999"/>
    <n v="1027709"/>
    <n v="822167.2"/>
    <n v="166746.84000000005"/>
    <s v="Romina"/>
    <n v="3.6"/>
  </r>
  <r>
    <n v="1832"/>
    <d v="2017-10-18T00:00:00"/>
    <x v="727"/>
    <x v="3"/>
    <s v="Local Comercial"/>
    <n v="205"/>
    <s v="Venta"/>
    <n v="50653.72"/>
    <n v="1321053"/>
    <n v="1056842.3999999999"/>
    <n v="213556.88000000009"/>
    <s v="Romina"/>
    <n v="3.9"/>
  </r>
  <r>
    <n v="1833"/>
    <d v="2017-10-18T00:00:00"/>
    <x v="497"/>
    <x v="3"/>
    <s v="Estacionamiento"/>
    <n v="64"/>
    <s v="Alquiler"/>
    <n v="14802.32"/>
    <n v="425068"/>
    <n v="340054.4"/>
    <n v="70211.27999999997"/>
    <s v="Iván"/>
    <n v="3.8"/>
  </r>
  <r>
    <n v="1834"/>
    <d v="2017-10-18T00:00:00"/>
    <x v="536"/>
    <x v="2"/>
    <s v="Departamento"/>
    <n v="152"/>
    <s v="Venta"/>
    <n v="46596.12"/>
    <n v="1218538"/>
    <n v="974830.4"/>
    <n v="197111.47999999998"/>
    <s v="Carlos"/>
    <n v="4"/>
  </r>
  <r>
    <n v="1835"/>
    <d v="2017-10-19T00:00:00"/>
    <x v="546"/>
    <x v="0"/>
    <s v="Departamento"/>
    <n v="63"/>
    <s v="Alquiler"/>
    <n v="19240.599999999999"/>
    <n v="548325"/>
    <n v="438660"/>
    <n v="90424.4"/>
    <s v="Ángeles"/>
    <n v="4.3"/>
  </r>
  <r>
    <n v="1836"/>
    <d v="2017-10-20T00:00:00"/>
    <x v="659"/>
    <x v="2"/>
    <s v="Depósito"/>
    <n v="128"/>
    <s v="Alquiler"/>
    <n v="28889.56"/>
    <n v="782349"/>
    <n v="625879.19999999995"/>
    <n v="127580.24000000005"/>
    <s v="Ángeles"/>
    <n v="3.9"/>
  </r>
  <r>
    <n v="1837"/>
    <d v="2017-10-20T00:00:00"/>
    <x v="662"/>
    <x v="1"/>
    <s v="Local Comercial"/>
    <n v="40"/>
    <s v="Alquiler"/>
    <n v="8443.0400000000009"/>
    <n v="273661"/>
    <n v="218928.8"/>
    <n v="46289.160000000011"/>
    <s v="Ángeles"/>
    <n v="4.0999999999999996"/>
  </r>
  <r>
    <n v="1838"/>
    <d v="2017-10-20T00:00:00"/>
    <x v="671"/>
    <x v="2"/>
    <s v="Depósito"/>
    <n v="210"/>
    <s v="Venta"/>
    <n v="64681.56"/>
    <n v="1679149"/>
    <n v="1343319.2"/>
    <n v="271148.24000000005"/>
    <s v="Sabrina"/>
    <n v="4.9000000000000004"/>
  </r>
  <r>
    <n v="1839"/>
    <d v="2017-10-21T00:00:00"/>
    <x v="728"/>
    <x v="1"/>
    <s v="Departamento"/>
    <n v="252"/>
    <s v="Venta"/>
    <n v="97884.4"/>
    <n v="2511995"/>
    <n v="2009596"/>
    <n v="404514.6"/>
    <s v="Iván"/>
    <n v="4.3"/>
  </r>
  <r>
    <n v="1840"/>
    <d v="2017-10-22T00:00:00"/>
    <x v="604"/>
    <x v="0"/>
    <s v="Depósito"/>
    <n v="271"/>
    <s v="Venta"/>
    <n v="60747.839999999997"/>
    <n v="1580981"/>
    <n v="1264784.8"/>
    <n v="255448.35999999996"/>
    <s v="Romina"/>
    <n v="4.2"/>
  </r>
  <r>
    <n v="1841"/>
    <d v="2017-10-22T00:00:00"/>
    <x v="713"/>
    <x v="3"/>
    <s v="Oficinas"/>
    <n v="42"/>
    <s v="Alquiler"/>
    <n v="17048.68"/>
    <n v="488902"/>
    <n v="391121.6"/>
    <n v="80731.72000000003"/>
    <s v="Sabrina"/>
    <n v="3.7"/>
  </r>
  <r>
    <n v="1842"/>
    <d v="2017-10-22T00:00:00"/>
    <x v="729"/>
    <x v="3"/>
    <s v="Casa"/>
    <n v="250"/>
    <s v="Venta"/>
    <n v="90875.32"/>
    <n v="2335693"/>
    <n v="1868554.4"/>
    <n v="376263.28000000009"/>
    <s v="Arturo"/>
    <n v="3.9"/>
  </r>
  <r>
    <n v="1843"/>
    <d v="2017-10-22T00:00:00"/>
    <x v="626"/>
    <x v="1"/>
    <s v="Terreno"/>
    <n v="91"/>
    <s v="Venta"/>
    <n v="37294"/>
    <n v="991985"/>
    <n v="793588"/>
    <n v="161103"/>
    <s v="Sabrina"/>
    <n v="4.0999999999999996"/>
  </r>
  <r>
    <n v="1844"/>
    <d v="2017-10-23T00:00:00"/>
    <x v="607"/>
    <x v="3"/>
    <s v="Oficinas"/>
    <n v="104"/>
    <s v="Alquiler"/>
    <n v="25129.279999999999"/>
    <n v="694642"/>
    <n v="555713.6"/>
    <n v="113799.12000000002"/>
    <s v="Arturo"/>
    <n v="4"/>
  </r>
  <r>
    <n v="1845"/>
    <d v="2017-10-25T00:00:00"/>
    <x v="729"/>
    <x v="0"/>
    <s v="Casa"/>
    <n v="152"/>
    <s v="Venta"/>
    <n v="36836.44"/>
    <n v="975321"/>
    <n v="780256.8"/>
    <n v="158227.75999999995"/>
    <s v="Iván"/>
    <n v="4.9000000000000004"/>
  </r>
  <r>
    <n v="1846"/>
    <d v="2017-10-26T00:00:00"/>
    <x v="730"/>
    <x v="2"/>
    <s v="Local Comercial"/>
    <n v="201"/>
    <s v="Venta"/>
    <n v="62675.4"/>
    <n v="1633845"/>
    <n v="1307076"/>
    <n v="264093.59999999998"/>
    <s v="Romina"/>
    <n v="4.8"/>
  </r>
  <r>
    <n v="1847"/>
    <d v="2017-10-27T00:00:00"/>
    <x v="731"/>
    <x v="3"/>
    <s v="Oficinas"/>
    <n v="175"/>
    <s v="Venta"/>
    <n v="58882.36"/>
    <n v="1535619"/>
    <n v="1228495.2"/>
    <n v="248241.44000000006"/>
    <s v="Carlos"/>
    <n v="3.6"/>
  </r>
  <r>
    <n v="1848"/>
    <d v="2017-10-27T00:00:00"/>
    <x v="625"/>
    <x v="3"/>
    <s v="Depósito"/>
    <n v="259"/>
    <s v="Venta"/>
    <n v="52414.239999999998"/>
    <n v="1364091"/>
    <n v="1091272.8"/>
    <n v="220403.95999999996"/>
    <s v="Ángeles"/>
    <n v="4.4000000000000004"/>
  </r>
  <r>
    <n v="1849"/>
    <d v="2017-10-28T00:00:00"/>
    <x v="589"/>
    <x v="2"/>
    <s v="Estacionamiento"/>
    <n v="155"/>
    <s v="Venta"/>
    <n v="30627.8"/>
    <n v="817605"/>
    <n v="654084"/>
    <n v="132893.20000000001"/>
    <s v="Arturo"/>
    <n v="4.5999999999999996"/>
  </r>
  <r>
    <n v="1850"/>
    <d v="2017-10-28T00:00:00"/>
    <x v="613"/>
    <x v="2"/>
    <s v="Terreno"/>
    <n v="211"/>
    <s v="Venta"/>
    <n v="38953"/>
    <n v="1028385"/>
    <n v="822708"/>
    <n v="166724"/>
    <s v="Iván"/>
    <n v="4.8"/>
  </r>
  <r>
    <n v="1851"/>
    <d v="2017-10-28T00:00:00"/>
    <x v="599"/>
    <x v="0"/>
    <s v="Departamento"/>
    <n v="155"/>
    <s v="Venta"/>
    <n v="37181.279999999999"/>
    <n v="994067"/>
    <n v="795253.6"/>
    <n v="161632.12000000002"/>
    <s v="Carlos"/>
    <n v="3.7"/>
  </r>
  <r>
    <n v="1852"/>
    <d v="2017-10-28T00:00:00"/>
    <x v="732"/>
    <x v="3"/>
    <s v="Oficinas"/>
    <n v="160"/>
    <s v="Venta"/>
    <n v="55863.4"/>
    <n v="1457545"/>
    <n v="1166036"/>
    <n v="235645.6"/>
    <s v="Sabrina"/>
    <n v="3.7"/>
  </r>
  <r>
    <n v="1853"/>
    <d v="2017-10-28T00:00:00"/>
    <x v="618"/>
    <x v="2"/>
    <s v="Departamento"/>
    <n v="218"/>
    <s v="Venta"/>
    <n v="55790.96"/>
    <n v="1459109"/>
    <n v="1167287.2"/>
    <n v="236030.84000000005"/>
    <s v="Sabrina"/>
    <n v="4.4000000000000004"/>
  </r>
  <r>
    <n v="1854"/>
    <d v="2017-10-28T00:00:00"/>
    <x v="732"/>
    <x v="2"/>
    <s v="Departamento"/>
    <n v="242"/>
    <s v="Venta"/>
    <n v="74347.16"/>
    <n v="1915439"/>
    <n v="1532351.2"/>
    <n v="308740.64"/>
    <s v="Sabrina"/>
    <n v="4.2"/>
  </r>
  <r>
    <n v="1855"/>
    <d v="2017-10-29T00:00:00"/>
    <x v="486"/>
    <x v="3"/>
    <s v="Casa"/>
    <n v="155"/>
    <s v="Venta"/>
    <n v="49804.6"/>
    <n v="1299525"/>
    <n v="1039620"/>
    <n v="210100.4"/>
    <s v="Iván"/>
    <n v="4.5999999999999996"/>
  </r>
  <r>
    <n v="1856"/>
    <d v="2017-10-29T00:00:00"/>
    <x v="559"/>
    <x v="0"/>
    <s v="Depósito"/>
    <n v="280"/>
    <s v="Venta"/>
    <n v="98008.4"/>
    <n v="2504445"/>
    <n v="2003556"/>
    <n v="402880.6"/>
    <s v="Arturo"/>
    <n v="4"/>
  </r>
  <r>
    <n v="1857"/>
    <d v="2017-10-30T00:00:00"/>
    <x v="733"/>
    <x v="0"/>
    <s v="Oficinas"/>
    <n v="249"/>
    <s v="Venta"/>
    <n v="95089.16"/>
    <n v="2430689"/>
    <n v="1944551.2"/>
    <n v="391048.64"/>
    <s v="Ángeles"/>
    <n v="4.5"/>
  </r>
  <r>
    <n v="1858"/>
    <d v="2017-10-30T00:00:00"/>
    <x v="732"/>
    <x v="2"/>
    <s v="Local Comercial"/>
    <n v="98"/>
    <s v="Alquiler"/>
    <n v="20613.32"/>
    <n v="573218"/>
    <n v="458574.4"/>
    <n v="94030.27999999997"/>
    <s v="Ángeles"/>
    <n v="4"/>
  </r>
  <r>
    <n v="1859"/>
    <d v="2017-10-31T00:00:00"/>
    <x v="734"/>
    <x v="3"/>
    <s v="Oficinas"/>
    <n v="211"/>
    <s v="Venta"/>
    <n v="74127.520000000004"/>
    <n v="1919573"/>
    <n v="1535658.4"/>
    <n v="309787.08000000007"/>
    <s v="Arturo"/>
    <n v="4.8"/>
  </r>
  <r>
    <n v="1860"/>
    <d v="2017-11-01T00:00:00"/>
    <x v="594"/>
    <x v="1"/>
    <s v="Depósito"/>
    <n v="206"/>
    <s v="Venta"/>
    <n v="82745.16"/>
    <n v="2120264"/>
    <n v="1696211.2"/>
    <n v="341307.64"/>
    <s v="Ángeles"/>
    <n v="4.8"/>
  </r>
  <r>
    <n v="1861"/>
    <d v="2017-11-02T00:00:00"/>
    <x v="735"/>
    <x v="1"/>
    <s v="Depósito"/>
    <n v="222"/>
    <s v="Venta"/>
    <n v="77170.600000000006"/>
    <n v="1981325"/>
    <n v="1585060"/>
    <n v="319094.40000000002"/>
    <s v="Ángeles"/>
    <n v="3.7"/>
  </r>
  <r>
    <n v="1862"/>
    <d v="2017-11-02T00:00:00"/>
    <x v="604"/>
    <x v="0"/>
    <s v="Local Comercial"/>
    <n v="242"/>
    <s v="Venta"/>
    <n v="88249.16"/>
    <n v="2257814"/>
    <n v="1806251.2"/>
    <n v="363313.64"/>
    <s v="Arturo"/>
    <n v="3.8"/>
  </r>
  <r>
    <n v="1863"/>
    <d v="2017-11-02T00:00:00"/>
    <x v="549"/>
    <x v="0"/>
    <s v="Local Comercial"/>
    <n v="79"/>
    <s v="Alquiler"/>
    <n v="15519.88"/>
    <n v="454357"/>
    <n v="363485.6"/>
    <n v="75351.520000000019"/>
    <s v="Sabrina"/>
    <n v="4.2"/>
  </r>
  <r>
    <n v="1864"/>
    <d v="2017-11-02T00:00:00"/>
    <x v="653"/>
    <x v="1"/>
    <s v="Casa"/>
    <n v="60"/>
    <s v="Alquiler"/>
    <n v="11003.52"/>
    <n v="340598"/>
    <n v="272478.40000000002"/>
    <n v="57116.079999999973"/>
    <s v="Carlos"/>
    <n v="4.9000000000000004"/>
  </r>
  <r>
    <n v="1865"/>
    <d v="2017-11-03T00:00:00"/>
    <x v="632"/>
    <x v="1"/>
    <s v="Local Comercial"/>
    <n v="65"/>
    <s v="Alquiler"/>
    <n v="10888.28"/>
    <n v="335892"/>
    <n v="268713.59999999998"/>
    <n v="56290.120000000024"/>
    <s v="Ángeles"/>
    <n v="4.5999999999999996"/>
  </r>
  <r>
    <n v="1866"/>
    <d v="2017-11-03T00:00:00"/>
    <x v="670"/>
    <x v="1"/>
    <s v="Estacionamiento"/>
    <n v="67"/>
    <s v="Alquiler"/>
    <n v="20625.599999999999"/>
    <n v="577375"/>
    <n v="461900"/>
    <n v="94849.4"/>
    <s v="Iván"/>
    <n v="4"/>
  </r>
  <r>
    <n v="1867"/>
    <d v="2017-11-03T00:00:00"/>
    <x v="610"/>
    <x v="1"/>
    <s v="Depósito"/>
    <n v="105"/>
    <s v="Alquiler"/>
    <n v="19696.84"/>
    <n v="551081"/>
    <n v="440864.8"/>
    <n v="90519.360000000015"/>
    <s v="Sabrina"/>
    <n v="3.8"/>
  </r>
  <r>
    <n v="1868"/>
    <d v="2017-11-04T00:00:00"/>
    <x v="736"/>
    <x v="3"/>
    <s v="Casa"/>
    <n v="63"/>
    <s v="Alquiler"/>
    <n v="25642.959999999999"/>
    <n v="703784"/>
    <n v="563027.19999999995"/>
    <n v="115113.84000000005"/>
    <s v="Sabrina"/>
    <n v="4.7"/>
  </r>
  <r>
    <n v="1869"/>
    <d v="2017-11-04T00:00:00"/>
    <x v="514"/>
    <x v="1"/>
    <s v="Oficinas"/>
    <n v="253"/>
    <s v="Venta"/>
    <n v="42298.28"/>
    <n v="1110817"/>
    <n v="888653.6"/>
    <n v="179865.12000000002"/>
    <s v="Carlos"/>
    <n v="4.0999999999999996"/>
  </r>
  <r>
    <n v="1870"/>
    <d v="2017-11-04T00:00:00"/>
    <x v="692"/>
    <x v="3"/>
    <s v="Depósito"/>
    <n v="184"/>
    <s v="Venta"/>
    <n v="74804.72"/>
    <n v="1931778"/>
    <n v="1545422.4"/>
    <n v="311550.88000000012"/>
    <s v="Ángeles"/>
    <n v="3.7"/>
  </r>
  <r>
    <n v="1871"/>
    <d v="2017-11-05T00:00:00"/>
    <x v="737"/>
    <x v="1"/>
    <s v="Estacionamiento"/>
    <n v="114"/>
    <s v="Alquiler"/>
    <n v="20240.240000000002"/>
    <n v="559966"/>
    <n v="447972.8"/>
    <n v="91752.960000000006"/>
    <s v="Sabrina"/>
    <n v="4.7"/>
  </r>
  <r>
    <n v="1872"/>
    <d v="2017-11-05T00:00:00"/>
    <x v="677"/>
    <x v="3"/>
    <s v="Depósito"/>
    <n v="229"/>
    <s v="Venta"/>
    <n v="64907.88"/>
    <n v="1681232"/>
    <n v="1344985.6"/>
    <n v="271338.5199999999"/>
    <s v="Romina"/>
    <n v="4.7"/>
  </r>
  <r>
    <n v="1873"/>
    <d v="2017-11-05T00:00:00"/>
    <x v="593"/>
    <x v="1"/>
    <s v="Depósito"/>
    <n v="118"/>
    <s v="Venta"/>
    <n v="45816.88"/>
    <n v="1198657"/>
    <n v="958925.6"/>
    <n v="193914.52000000002"/>
    <s v="Sabrina"/>
    <n v="4.5999999999999996"/>
  </r>
  <r>
    <n v="1874"/>
    <d v="2017-11-07T00:00:00"/>
    <x v="605"/>
    <x v="0"/>
    <s v="Departamento"/>
    <n v="124"/>
    <s v="Alquiler"/>
    <n v="27052.400000000001"/>
    <n v="743045"/>
    <n v="594436"/>
    <n v="121556.6"/>
    <s v="Romina"/>
    <n v="4"/>
  </r>
  <r>
    <n v="1875"/>
    <d v="2017-11-07T00:00:00"/>
    <x v="668"/>
    <x v="1"/>
    <s v="Local Comercial"/>
    <n v="86"/>
    <s v="Alquiler"/>
    <n v="22353.200000000001"/>
    <n v="625640"/>
    <n v="500512"/>
    <n v="102774.8"/>
    <s v="Romina"/>
    <n v="4.9000000000000004"/>
  </r>
  <r>
    <n v="1876"/>
    <d v="2017-11-08T00:00:00"/>
    <x v="731"/>
    <x v="1"/>
    <s v="Estacionamiento"/>
    <n v="184"/>
    <s v="Venta"/>
    <n v="54019.92"/>
    <n v="1407483"/>
    <n v="1125986.3999999999"/>
    <n v="227476.68000000011"/>
    <s v="Carlos"/>
    <n v="4.5"/>
  </r>
  <r>
    <n v="1877"/>
    <d v="2017-11-08T00:00:00"/>
    <x v="536"/>
    <x v="0"/>
    <s v="Local Comercial"/>
    <n v="166"/>
    <s v="Venta"/>
    <n v="43132.480000000003"/>
    <n v="1130372"/>
    <n v="904297.6"/>
    <n v="182941.92"/>
    <s v="Arturo"/>
    <n v="5"/>
  </r>
  <r>
    <n v="1878"/>
    <d v="2017-11-08T00:00:00"/>
    <x v="738"/>
    <x v="2"/>
    <s v="Estacionamiento"/>
    <n v="165"/>
    <s v="Venta"/>
    <n v="38077.4"/>
    <n v="1011095"/>
    <n v="808876"/>
    <n v="164141.6"/>
    <s v="Ángeles"/>
    <n v="3.7"/>
  </r>
  <r>
    <n v="1879"/>
    <d v="2017-11-08T00:00:00"/>
    <x v="739"/>
    <x v="3"/>
    <s v="Estacionamiento"/>
    <n v="52"/>
    <s v="Alquiler"/>
    <n v="9410.52"/>
    <n v="302398"/>
    <n v="241918.4"/>
    <n v="51069.08"/>
    <s v="Sabrina"/>
    <n v="4.5"/>
  </r>
  <r>
    <n v="1880"/>
    <d v="2017-11-08T00:00:00"/>
    <x v="684"/>
    <x v="3"/>
    <s v="Departamento"/>
    <n v="148"/>
    <s v="Venta"/>
    <n v="35595.919999999998"/>
    <n v="949283"/>
    <n v="759426.4"/>
    <n v="154260.68"/>
    <s v="Iván"/>
    <n v="4.3"/>
  </r>
  <r>
    <n v="1881"/>
    <d v="2017-11-09T00:00:00"/>
    <x v="536"/>
    <x v="2"/>
    <s v="Estacionamiento"/>
    <n v="150"/>
    <s v="Venta"/>
    <n v="46308.12"/>
    <n v="1210688"/>
    <n v="968550.40000000002"/>
    <n v="195829.47999999998"/>
    <s v="Arturo"/>
    <n v="4.9000000000000004"/>
  </r>
  <r>
    <n v="1882"/>
    <d v="2017-11-09T00:00:00"/>
    <x v="676"/>
    <x v="1"/>
    <s v="Casa"/>
    <n v="183"/>
    <s v="Venta"/>
    <n v="67785.600000000006"/>
    <n v="1750475"/>
    <n v="1400380"/>
    <n v="282309.40000000002"/>
    <s v="Ángeles"/>
    <n v="4.2"/>
  </r>
  <r>
    <n v="1883"/>
    <d v="2017-11-09T00:00:00"/>
    <x v="740"/>
    <x v="0"/>
    <s v="Departamento"/>
    <n v="150"/>
    <s v="Venta"/>
    <n v="59768.52"/>
    <n v="1545473"/>
    <n v="1236378.3999999999"/>
    <n v="249326.0800000001"/>
    <s v="Iván"/>
    <n v="3.6"/>
  </r>
  <r>
    <n v="1884"/>
    <d v="2017-11-10T00:00:00"/>
    <x v="554"/>
    <x v="0"/>
    <s v="Estacionamiento"/>
    <n v="241"/>
    <s v="Venta"/>
    <n v="87543.56"/>
    <n v="2252699"/>
    <n v="1802159.2"/>
    <n v="362996.24000000005"/>
    <s v="Ángeles"/>
    <n v="3.8"/>
  </r>
  <r>
    <n v="1885"/>
    <d v="2017-11-12T00:00:00"/>
    <x v="640"/>
    <x v="1"/>
    <s v="Local Comercial"/>
    <n v="220"/>
    <s v="Venta"/>
    <n v="51121"/>
    <n v="1336985"/>
    <n v="1069588"/>
    <n v="216276"/>
    <s v="Romina"/>
    <n v="3.6"/>
  </r>
  <r>
    <n v="1886"/>
    <d v="2017-11-12T00:00:00"/>
    <x v="741"/>
    <x v="3"/>
    <s v="Terreno"/>
    <n v="267"/>
    <s v="Venta"/>
    <n v="92478.32"/>
    <n v="2369543"/>
    <n v="1895634.4"/>
    <n v="381430.28000000009"/>
    <s v="Carlos"/>
    <n v="4.0999999999999996"/>
  </r>
  <r>
    <n v="1887"/>
    <d v="2017-11-13T00:00:00"/>
    <x v="633"/>
    <x v="1"/>
    <s v="Depósito"/>
    <n v="153"/>
    <s v="Alquiler"/>
    <n v="26472.36"/>
    <n v="728969"/>
    <n v="583175.19999999995"/>
    <n v="119321.44000000005"/>
    <s v="Arturo"/>
    <n v="4.4000000000000004"/>
  </r>
  <r>
    <n v="1888"/>
    <d v="2017-11-13T00:00:00"/>
    <x v="666"/>
    <x v="1"/>
    <s v="Estacionamiento"/>
    <n v="61"/>
    <s v="Alquiler"/>
    <n v="14765.88"/>
    <n v="429457"/>
    <n v="343565.6"/>
    <n v="71125.520000000019"/>
    <s v="Arturo"/>
    <n v="4.5999999999999996"/>
  </r>
  <r>
    <n v="1889"/>
    <d v="2017-11-13T00:00:00"/>
    <x v="605"/>
    <x v="2"/>
    <s v="Terreno"/>
    <n v="71"/>
    <s v="Alquiler"/>
    <n v="13060.36"/>
    <n v="378069"/>
    <n v="302455.2"/>
    <n v="62553.439999999988"/>
    <s v="Sabrina"/>
    <n v="5"/>
  </r>
  <r>
    <n v="1890"/>
    <d v="2017-11-13T00:00:00"/>
    <x v="683"/>
    <x v="2"/>
    <s v="Depósito"/>
    <n v="244"/>
    <s v="Venta"/>
    <n v="81816"/>
    <n v="2107235"/>
    <n v="1685788"/>
    <n v="339631"/>
    <s v="Romina"/>
    <n v="4.7"/>
  </r>
  <r>
    <n v="1891"/>
    <d v="2017-11-13T00:00:00"/>
    <x v="733"/>
    <x v="1"/>
    <s v="Departamento"/>
    <n v="82"/>
    <s v="Alquiler"/>
    <n v="19164.400000000001"/>
    <n v="536220"/>
    <n v="428976"/>
    <n v="88079.6"/>
    <s v="Ángeles"/>
    <n v="4.9000000000000004"/>
  </r>
  <r>
    <n v="1892"/>
    <d v="2017-11-13T00:00:00"/>
    <x v="742"/>
    <x v="3"/>
    <s v="Estacionamiento"/>
    <n v="150"/>
    <s v="Venta"/>
    <n v="54241.56"/>
    <n v="1417249"/>
    <n v="1133799.2"/>
    <n v="229208.24000000005"/>
    <s v="Romina"/>
    <n v="4.5"/>
  </r>
  <r>
    <n v="1893"/>
    <d v="2017-11-13T00:00:00"/>
    <x v="502"/>
    <x v="0"/>
    <s v="Local Comercial"/>
    <n v="63"/>
    <s v="Alquiler"/>
    <n v="20084.2"/>
    <n v="563165"/>
    <n v="450532"/>
    <n v="92548.800000000003"/>
    <s v="Carlos"/>
    <n v="4.3"/>
  </r>
  <r>
    <n v="1894"/>
    <d v="2017-11-14T00:00:00"/>
    <x v="600"/>
    <x v="1"/>
    <s v="Oficinas"/>
    <n v="42"/>
    <s v="Alquiler"/>
    <n v="15866.2"/>
    <n v="463365"/>
    <n v="370692"/>
    <n v="76806.8"/>
    <s v="Sabrina"/>
    <n v="3.8"/>
  </r>
  <r>
    <n v="1895"/>
    <d v="2017-11-14T00:00:00"/>
    <x v="632"/>
    <x v="3"/>
    <s v="Casa"/>
    <n v="275"/>
    <s v="Venta"/>
    <n v="67889.8"/>
    <n v="1756805"/>
    <n v="1405444"/>
    <n v="283471.2"/>
    <s v="Ángeles"/>
    <n v="4.5999999999999996"/>
  </r>
  <r>
    <n v="1896"/>
    <d v="2017-11-14T00:00:00"/>
    <x v="527"/>
    <x v="3"/>
    <s v="Terreno"/>
    <n v="188"/>
    <s v="Venta"/>
    <n v="31329.32"/>
    <n v="841168"/>
    <n v="672934.40000000002"/>
    <n v="136904.27999999997"/>
    <s v="Ángeles"/>
    <n v="4.8"/>
  </r>
  <r>
    <n v="1897"/>
    <d v="2017-11-15T00:00:00"/>
    <x v="743"/>
    <x v="3"/>
    <s v="Casa"/>
    <n v="56"/>
    <s v="Alquiler"/>
    <n v="16080.6"/>
    <n v="457775"/>
    <n v="366220"/>
    <n v="75474.399999999994"/>
    <s v="Carlos"/>
    <n v="4.2"/>
  </r>
  <r>
    <n v="1898"/>
    <d v="2017-11-16T00:00:00"/>
    <x v="614"/>
    <x v="1"/>
    <s v="Local Comercial"/>
    <n v="159"/>
    <s v="Venta"/>
    <n v="46343.28"/>
    <n v="1216442"/>
    <n v="973153.6"/>
    <n v="196945.12000000002"/>
    <s v="Ángeles"/>
    <n v="4"/>
  </r>
  <r>
    <n v="1899"/>
    <d v="2017-11-16T00:00:00"/>
    <x v="734"/>
    <x v="0"/>
    <s v="Local Comercial"/>
    <n v="110"/>
    <s v="Venta"/>
    <n v="34283.599999999999"/>
    <n v="915425"/>
    <n v="732340"/>
    <n v="148801.4"/>
    <s v="Sabrina"/>
    <n v="4.5999999999999996"/>
  </r>
  <r>
    <n v="1900"/>
    <d v="2017-11-16T00:00:00"/>
    <x v="744"/>
    <x v="0"/>
    <s v="Depósito"/>
    <n v="271"/>
    <s v="Venta"/>
    <n v="43770.48"/>
    <n v="1153072"/>
    <n v="922457.59999999998"/>
    <n v="186843.92"/>
    <s v="Romina"/>
    <n v="4"/>
  </r>
  <r>
    <n v="1901"/>
    <d v="2017-11-17T00:00:00"/>
    <x v="742"/>
    <x v="1"/>
    <s v="Departamento"/>
    <n v="154"/>
    <s v="Venta"/>
    <n v="35612.120000000003"/>
    <n v="953863"/>
    <n v="763090.4"/>
    <n v="155160.47999999998"/>
    <s v="Romina"/>
    <n v="4.4000000000000004"/>
  </r>
  <r>
    <n v="1902"/>
    <d v="2017-11-17T00:00:00"/>
    <x v="698"/>
    <x v="3"/>
    <s v="Estacionamiento"/>
    <n v="59"/>
    <s v="Alquiler"/>
    <n v="16499"/>
    <n v="467760"/>
    <n v="374208"/>
    <n v="77053"/>
    <s v="Sabrina"/>
    <n v="4.8"/>
  </r>
  <r>
    <n v="1903"/>
    <d v="2017-11-19T00:00:00"/>
    <x v="745"/>
    <x v="2"/>
    <s v="Local Comercial"/>
    <n v="141"/>
    <s v="Venta"/>
    <n v="47915.199999999997"/>
    <n v="1249990"/>
    <n v="999992"/>
    <n v="202082.8"/>
    <s v="Arturo"/>
    <n v="5"/>
  </r>
  <r>
    <n v="1904"/>
    <d v="2017-11-19T00:00:00"/>
    <x v="677"/>
    <x v="3"/>
    <s v="Departamento"/>
    <n v="215"/>
    <s v="Venta"/>
    <n v="63054"/>
    <n v="1638085"/>
    <n v="1310468"/>
    <n v="264563"/>
    <s v="Sabrina"/>
    <n v="4.0999999999999996"/>
  </r>
  <r>
    <n v="1905"/>
    <d v="2017-11-19T00:00:00"/>
    <x v="746"/>
    <x v="1"/>
    <s v="Depósito"/>
    <n v="82"/>
    <s v="Alquiler"/>
    <n v="29180"/>
    <n v="793385"/>
    <n v="634708"/>
    <n v="129497"/>
    <s v="Romina"/>
    <n v="4.4000000000000004"/>
  </r>
  <r>
    <n v="1906"/>
    <d v="2017-11-20T00:00:00"/>
    <x v="747"/>
    <x v="2"/>
    <s v="Estacionamiento"/>
    <n v="87"/>
    <s v="Alquiler"/>
    <n v="15624.2"/>
    <n v="452915"/>
    <n v="362332"/>
    <n v="74958.8"/>
    <s v="Iván"/>
    <n v="4.3"/>
  </r>
  <r>
    <n v="1907"/>
    <d v="2017-11-20T00:00:00"/>
    <x v="748"/>
    <x v="0"/>
    <s v="Departamento"/>
    <n v="102"/>
    <s v="Alquiler"/>
    <n v="18832.2"/>
    <n v="537865"/>
    <n v="430292"/>
    <n v="88740.800000000003"/>
    <s v="Iván"/>
    <n v="4.3"/>
  </r>
  <r>
    <n v="1908"/>
    <d v="2017-11-21T00:00:00"/>
    <x v="608"/>
    <x v="1"/>
    <s v="Local Comercial"/>
    <n v="46"/>
    <s v="Alquiler"/>
    <n v="17970.72"/>
    <n v="509153"/>
    <n v="407322.4"/>
    <n v="83859.879999999976"/>
    <s v="Ángeles"/>
    <n v="5"/>
  </r>
  <r>
    <n v="1909"/>
    <d v="2017-11-21T00:00:00"/>
    <x v="749"/>
    <x v="2"/>
    <s v="Departamento"/>
    <n v="114"/>
    <s v="Alquiler"/>
    <n v="19722.240000000002"/>
    <n v="545091"/>
    <n v="436072.8"/>
    <n v="89295.96"/>
    <s v="Romina"/>
    <n v="4"/>
  </r>
  <r>
    <n v="1910"/>
    <d v="2017-11-21T00:00:00"/>
    <x v="562"/>
    <x v="3"/>
    <s v="Oficinas"/>
    <n v="179"/>
    <s v="Venta"/>
    <n v="46466.6"/>
    <n v="1215675"/>
    <n v="972540"/>
    <n v="196668.4"/>
    <s v="Sabrina"/>
    <n v="4"/>
  </r>
  <r>
    <n v="1911"/>
    <d v="2017-11-21T00:00:00"/>
    <x v="750"/>
    <x v="2"/>
    <s v="Departamento"/>
    <n v="107"/>
    <s v="Venta"/>
    <n v="41500.080000000002"/>
    <n v="1096312"/>
    <n v="877049.6"/>
    <n v="177762.32"/>
    <s v="Carlos"/>
    <n v="3.6"/>
  </r>
  <r>
    <n v="1912"/>
    <d v="2017-11-22T00:00:00"/>
    <x v="678"/>
    <x v="3"/>
    <s v="Depósito"/>
    <n v="88"/>
    <s v="Venta"/>
    <n v="30098.799999999999"/>
    <n v="819855"/>
    <n v="655884"/>
    <n v="133872.20000000001"/>
    <s v="Iván"/>
    <n v="4.2"/>
  </r>
  <r>
    <n v="1913"/>
    <d v="2017-11-22T00:00:00"/>
    <x v="710"/>
    <x v="1"/>
    <s v="Local Comercial"/>
    <n v="280"/>
    <s v="Venta"/>
    <n v="75887.759999999995"/>
    <n v="1962829"/>
    <n v="1570263.2"/>
    <n v="316678.04000000004"/>
    <s v="Ángeles"/>
    <n v="5"/>
  </r>
  <r>
    <n v="1914"/>
    <d v="2017-11-22T00:00:00"/>
    <x v="641"/>
    <x v="2"/>
    <s v="Casa"/>
    <n v="157"/>
    <s v="Venta"/>
    <n v="35646.639999999999"/>
    <n v="951126"/>
    <n v="760900.8"/>
    <n v="154578.55999999994"/>
    <s v="Carlos"/>
    <n v="4.3"/>
  </r>
  <r>
    <n v="1915"/>
    <d v="2017-11-22T00:00:00"/>
    <x v="751"/>
    <x v="3"/>
    <s v="Oficinas"/>
    <n v="171"/>
    <s v="Venta"/>
    <n v="68265.039999999994"/>
    <n v="1773386"/>
    <n v="1418708.8"/>
    <n v="286412.15999999997"/>
    <s v="Ángeles"/>
    <n v="4.0999999999999996"/>
  </r>
  <r>
    <n v="1916"/>
    <d v="2017-11-22T00:00:00"/>
    <x v="609"/>
    <x v="1"/>
    <s v="Departamento"/>
    <n v="256"/>
    <s v="Venta"/>
    <n v="91874.72"/>
    <n v="2360353"/>
    <n v="1888282.4"/>
    <n v="380195.88000000012"/>
    <s v="Arturo"/>
    <n v="4.0999999999999996"/>
  </r>
  <r>
    <n v="1917"/>
    <d v="2017-11-23T00:00:00"/>
    <x v="752"/>
    <x v="3"/>
    <s v="Estacionamiento"/>
    <n v="55"/>
    <s v="Alquiler"/>
    <n v="16447.400000000001"/>
    <n v="462495"/>
    <n v="369996"/>
    <n v="76051.600000000006"/>
    <s v="Carlos"/>
    <n v="4.5999999999999996"/>
  </r>
  <r>
    <n v="1918"/>
    <d v="2017-11-23T00:00:00"/>
    <x v="753"/>
    <x v="1"/>
    <s v="Oficinas"/>
    <n v="42"/>
    <s v="Alquiler"/>
    <n v="11395.6"/>
    <n v="338300"/>
    <n v="270640"/>
    <n v="56264.4"/>
    <s v="Carlos"/>
    <n v="4.5999999999999996"/>
  </r>
  <r>
    <n v="1919"/>
    <d v="2017-11-23T00:00:00"/>
    <x v="685"/>
    <x v="0"/>
    <s v="Departamento"/>
    <n v="40"/>
    <s v="Alquiler"/>
    <n v="13461.72"/>
    <n v="400453"/>
    <n v="320362.40000000002"/>
    <n v="66628.879999999976"/>
    <s v="Romina"/>
    <n v="4.5"/>
  </r>
  <r>
    <n v="1920"/>
    <d v="2017-11-23T00:00:00"/>
    <x v="691"/>
    <x v="2"/>
    <s v="Local Comercial"/>
    <n v="238"/>
    <s v="Venta"/>
    <n v="92932.479999999996"/>
    <n v="2383622"/>
    <n v="1906897.6"/>
    <n v="383791.91999999993"/>
    <s v="Ángeles"/>
    <n v="5"/>
  </r>
  <r>
    <n v="1921"/>
    <d v="2017-11-24T00:00:00"/>
    <x v="752"/>
    <x v="2"/>
    <s v="Estacionamiento"/>
    <n v="83"/>
    <s v="Alquiler"/>
    <n v="25469.72"/>
    <n v="692378"/>
    <n v="553902.4"/>
    <n v="113005.87999999998"/>
    <s v="Iván"/>
    <n v="3.8"/>
  </r>
  <r>
    <n v="1922"/>
    <d v="2017-11-24T00:00:00"/>
    <x v="688"/>
    <x v="2"/>
    <s v="Oficinas"/>
    <n v="216"/>
    <s v="Venta"/>
    <n v="53786.92"/>
    <n v="1397008"/>
    <n v="1117606.3999999999"/>
    <n v="225614.68000000011"/>
    <s v="Iván"/>
    <n v="3.7"/>
  </r>
  <r>
    <n v="1923"/>
    <d v="2017-11-24T00:00:00"/>
    <x v="558"/>
    <x v="2"/>
    <s v="Depósito"/>
    <n v="284"/>
    <s v="Venta"/>
    <n v="50379.56"/>
    <n v="1312774"/>
    <n v="1050219.2"/>
    <n v="212175.24000000005"/>
    <s v="Ángeles"/>
    <n v="3.9"/>
  </r>
  <r>
    <n v="1924"/>
    <d v="2017-11-25T00:00:00"/>
    <x v="754"/>
    <x v="3"/>
    <s v="Oficinas"/>
    <n v="290"/>
    <s v="Venta"/>
    <n v="103299.2"/>
    <n v="2649890"/>
    <n v="2119912"/>
    <n v="426678.8"/>
    <s v="Romina"/>
    <n v="4.5999999999999996"/>
  </r>
  <r>
    <n v="1925"/>
    <d v="2017-11-25T00:00:00"/>
    <x v="755"/>
    <x v="0"/>
    <s v="Casa"/>
    <n v="269"/>
    <s v="Venta"/>
    <n v="71581.440000000002"/>
    <n v="1854221"/>
    <n v="1483376.8"/>
    <n v="299262.75999999995"/>
    <s v="Carlos"/>
    <n v="4"/>
  </r>
  <r>
    <n v="1926"/>
    <d v="2017-11-25T00:00:00"/>
    <x v="583"/>
    <x v="0"/>
    <s v="Local Comercial"/>
    <n v="97"/>
    <s v="Alquiler"/>
    <n v="21417.08"/>
    <n v="593612"/>
    <n v="474889.6"/>
    <n v="97305.320000000022"/>
    <s v="Romina"/>
    <n v="4"/>
  </r>
  <r>
    <n v="1927"/>
    <d v="2017-11-26T00:00:00"/>
    <x v="756"/>
    <x v="3"/>
    <s v="Departamento"/>
    <n v="40"/>
    <s v="Alquiler"/>
    <n v="6281.2"/>
    <n v="224165"/>
    <n v="179332"/>
    <n v="38551.800000000003"/>
    <s v="Sabrina"/>
    <n v="3.9"/>
  </r>
  <r>
    <n v="1928"/>
    <d v="2017-11-26T00:00:00"/>
    <x v="561"/>
    <x v="1"/>
    <s v="Depósito"/>
    <n v="173"/>
    <s v="Venta"/>
    <n v="65925.119999999995"/>
    <n v="1711388"/>
    <n v="1369110.4"/>
    <n v="276352.4800000001"/>
    <s v="Iván"/>
    <n v="4.5999999999999996"/>
  </r>
  <r>
    <n v="1929"/>
    <d v="2017-11-26T00:00:00"/>
    <x v="538"/>
    <x v="0"/>
    <s v="Oficinas"/>
    <n v="89"/>
    <s v="Venta"/>
    <n v="33051.839999999997"/>
    <n v="890981"/>
    <n v="712784.8"/>
    <n v="145144.35999999996"/>
    <s v="Arturo"/>
    <n v="3.8"/>
  </r>
  <r>
    <n v="1930"/>
    <d v="2017-11-26T00:00:00"/>
    <x v="694"/>
    <x v="3"/>
    <s v="Depósito"/>
    <n v="271"/>
    <s v="Venta"/>
    <n v="60452.08"/>
    <n v="1575737"/>
    <n v="1260589.6000000001"/>
    <n v="254695.31999999989"/>
    <s v="Arturo"/>
    <n v="4.5999999999999996"/>
  </r>
  <r>
    <n v="1931"/>
    <d v="2017-11-27T00:00:00"/>
    <x v="757"/>
    <x v="1"/>
    <s v="Oficinas"/>
    <n v="283"/>
    <s v="Venta"/>
    <n v="48033.8"/>
    <n v="1264805"/>
    <n v="1011844"/>
    <n v="204927.2"/>
    <s v="Iván"/>
    <n v="4.7"/>
  </r>
  <r>
    <n v="1932"/>
    <d v="2017-11-27T00:00:00"/>
    <x v="707"/>
    <x v="0"/>
    <s v="Local Comercial"/>
    <n v="85"/>
    <s v="Venta"/>
    <n v="30967.84"/>
    <n v="832181"/>
    <n v="665744.80000000005"/>
    <n v="135468.35999999996"/>
    <s v="Ángeles"/>
    <n v="3.8"/>
  </r>
  <r>
    <n v="1933"/>
    <d v="2017-11-27T00:00:00"/>
    <x v="623"/>
    <x v="0"/>
    <s v="Oficinas"/>
    <n v="174"/>
    <s v="Venta"/>
    <n v="66816.600000000006"/>
    <n v="1724525"/>
    <n v="1379620"/>
    <n v="278088.40000000002"/>
    <s v="Sabrina"/>
    <n v="4.4000000000000004"/>
  </r>
  <r>
    <n v="1934"/>
    <d v="2017-11-28T00:00:00"/>
    <x v="758"/>
    <x v="0"/>
    <s v="Departamento"/>
    <n v="102"/>
    <s v="Venta"/>
    <n v="39682.199999999997"/>
    <n v="1057715"/>
    <n v="846172"/>
    <n v="171860.8"/>
    <s v="Romina"/>
    <n v="3.9"/>
  </r>
  <r>
    <n v="1935"/>
    <d v="2017-11-28T00:00:00"/>
    <x v="649"/>
    <x v="0"/>
    <s v="Terreno"/>
    <n v="74"/>
    <s v="Alquiler"/>
    <n v="15169.2"/>
    <n v="441765"/>
    <n v="353412"/>
    <n v="73183.8"/>
    <s v="Romina"/>
    <n v="4.5999999999999996"/>
  </r>
  <r>
    <n v="1936"/>
    <d v="2017-11-28T00:00:00"/>
    <x v="562"/>
    <x v="0"/>
    <s v="Oficinas"/>
    <n v="244"/>
    <s v="Venta"/>
    <n v="70143"/>
    <n v="1816835"/>
    <n v="1453468"/>
    <n v="293224"/>
    <s v="Sabrina"/>
    <n v="4.0999999999999996"/>
  </r>
  <r>
    <n v="1937"/>
    <d v="2017-11-28T00:00:00"/>
    <x v="750"/>
    <x v="3"/>
    <s v="Casa"/>
    <n v="182"/>
    <s v="Venta"/>
    <n v="49962.68"/>
    <n v="1302477"/>
    <n v="1041981.6"/>
    <n v="210532.72000000003"/>
    <s v="Sabrina"/>
    <n v="5"/>
  </r>
  <r>
    <n v="1938"/>
    <d v="2017-11-29T00:00:00"/>
    <x v="759"/>
    <x v="3"/>
    <s v="Terreno"/>
    <n v="151"/>
    <s v="Venta"/>
    <n v="30181.4"/>
    <n v="820345"/>
    <n v="656276"/>
    <n v="133887.6"/>
    <s v="Romina"/>
    <n v="3.8"/>
  </r>
  <r>
    <n v="1939"/>
    <d v="2017-11-29T00:00:00"/>
    <x v="692"/>
    <x v="2"/>
    <s v="Terreno"/>
    <n v="133"/>
    <s v="Alquiler"/>
    <n v="26647.24"/>
    <n v="730116"/>
    <n v="584092.80000000005"/>
    <n v="119375.95999999995"/>
    <s v="Romina"/>
    <n v="4"/>
  </r>
  <r>
    <n v="1940"/>
    <d v="2017-11-30T00:00:00"/>
    <x v="706"/>
    <x v="1"/>
    <s v="Estacionamiento"/>
    <n v="97"/>
    <s v="Venta"/>
    <n v="36573.160000000003"/>
    <n v="977639"/>
    <n v="782111.2"/>
    <n v="158954.64000000004"/>
    <s v="Arturo"/>
    <n v="4.9000000000000004"/>
  </r>
  <r>
    <n v="1941"/>
    <d v="2017-11-30T00:00:00"/>
    <x v="709"/>
    <x v="0"/>
    <s v="Depósito"/>
    <n v="165"/>
    <s v="Venta"/>
    <n v="67006.2"/>
    <n v="1737565"/>
    <n v="1390052"/>
    <n v="280506.8"/>
    <s v="Ángeles"/>
    <n v="4.2"/>
  </r>
  <r>
    <n v="1942"/>
    <d v="2017-11-30T00:00:00"/>
    <x v="701"/>
    <x v="1"/>
    <s v="Casa"/>
    <n v="106"/>
    <s v="Alquiler"/>
    <n v="28784.880000000001"/>
    <n v="784432"/>
    <n v="627545.59999999998"/>
    <n v="128101.52000000002"/>
    <s v="Arturo"/>
    <n v="3.6"/>
  </r>
  <r>
    <n v="1943"/>
    <d v="2017-12-01T00:00:00"/>
    <x v="697"/>
    <x v="3"/>
    <s v="Oficinas"/>
    <n v="285"/>
    <s v="Venta"/>
    <n v="55488.52"/>
    <n v="1443048"/>
    <n v="1154438.3999999999"/>
    <n v="233121.0800000001"/>
    <s v="Iván"/>
    <n v="3.7"/>
  </r>
  <r>
    <n v="1944"/>
    <d v="2017-12-01T00:00:00"/>
    <x v="760"/>
    <x v="1"/>
    <s v="Local Comercial"/>
    <n v="204"/>
    <s v="Venta"/>
    <n v="60182.8"/>
    <n v="1563605"/>
    <n v="1250884"/>
    <n v="252538.2"/>
    <s v="Iván"/>
    <n v="3.8"/>
  </r>
  <r>
    <n v="1945"/>
    <d v="2017-12-03T00:00:00"/>
    <x v="701"/>
    <x v="2"/>
    <s v="Terreno"/>
    <n v="258"/>
    <s v="Venta"/>
    <n v="60803.8"/>
    <n v="1582205"/>
    <n v="1265764"/>
    <n v="255637.2"/>
    <s v="Sabrina"/>
    <n v="4.2"/>
  </r>
  <r>
    <n v="1946"/>
    <d v="2017-12-03T00:00:00"/>
    <x v="759"/>
    <x v="0"/>
    <s v="Oficinas"/>
    <n v="259"/>
    <s v="Venta"/>
    <n v="84700.479999999996"/>
    <n v="2183597"/>
    <n v="1746877.6"/>
    <n v="352018.91999999993"/>
    <s v="Carlos"/>
    <n v="4.4000000000000004"/>
  </r>
  <r>
    <n v="1947"/>
    <d v="2017-12-03T00:00:00"/>
    <x v="761"/>
    <x v="1"/>
    <s v="Estacionamiento"/>
    <n v="171"/>
    <s v="Venta"/>
    <n v="46500.44"/>
    <n v="1226421"/>
    <n v="981136.8"/>
    <n v="198783.75999999995"/>
    <s v="Romina"/>
    <n v="3.7"/>
  </r>
  <r>
    <n v="1948"/>
    <d v="2017-12-04T00:00:00"/>
    <x v="712"/>
    <x v="0"/>
    <s v="Depósito"/>
    <n v="171"/>
    <s v="Venta"/>
    <n v="66781.16"/>
    <n v="1722389"/>
    <n v="1377911.2"/>
    <n v="277696.64000000001"/>
    <s v="Arturo"/>
    <n v="3.6"/>
  </r>
  <r>
    <n v="1949"/>
    <d v="2017-12-05T00:00:00"/>
    <x v="762"/>
    <x v="1"/>
    <s v="Local Comercial"/>
    <n v="79"/>
    <s v="Alquiler"/>
    <n v="26703.599999999999"/>
    <n v="730000"/>
    <n v="584000"/>
    <n v="119296.4"/>
    <s v="Sabrina"/>
    <n v="4.9000000000000004"/>
  </r>
  <r>
    <n v="1950"/>
    <d v="2017-12-05T00:00:00"/>
    <x v="589"/>
    <x v="3"/>
    <s v="Departamento"/>
    <n v="61"/>
    <s v="Alquiler"/>
    <n v="11753.52"/>
    <n v="360698"/>
    <n v="288558.40000000002"/>
    <n v="60386.079999999973"/>
    <s v="Sabrina"/>
    <n v="4.2"/>
  </r>
  <r>
    <n v="1951"/>
    <d v="2017-12-05T00:00:00"/>
    <x v="763"/>
    <x v="0"/>
    <s v="Depósito"/>
    <n v="158"/>
    <s v="Alquiler"/>
    <n v="29370.44"/>
    <n v="790271"/>
    <n v="632216.80000000005"/>
    <n v="128683.75999999995"/>
    <s v="Iván"/>
    <n v="4.4000000000000004"/>
  </r>
  <r>
    <n v="1952"/>
    <d v="2017-12-06T00:00:00"/>
    <x v="764"/>
    <x v="1"/>
    <s v="Casa"/>
    <n v="159"/>
    <s v="Venta"/>
    <n v="52671.360000000001"/>
    <n v="1378169"/>
    <n v="1102535.2"/>
    <n v="222962.44000000006"/>
    <s v="Ángeles"/>
    <n v="4.0999999999999996"/>
  </r>
  <r>
    <n v="1953"/>
    <d v="2017-12-06T00:00:00"/>
    <x v="693"/>
    <x v="0"/>
    <s v="Casa"/>
    <n v="244"/>
    <s v="Venta"/>
    <n v="83028"/>
    <n v="2139485"/>
    <n v="1711588"/>
    <n v="344869"/>
    <s v="Iván"/>
    <n v="4.3"/>
  </r>
  <r>
    <n v="1954"/>
    <d v="2017-12-06T00:00:00"/>
    <x v="736"/>
    <x v="3"/>
    <s v="Casa"/>
    <n v="258"/>
    <s v="Venta"/>
    <n v="52725.440000000002"/>
    <n v="1382621"/>
    <n v="1106096.8"/>
    <n v="223798.75999999995"/>
    <s v="Carlos"/>
    <n v="4.5"/>
  </r>
  <r>
    <n v="1955"/>
    <d v="2017-12-07T00:00:00"/>
    <x v="528"/>
    <x v="2"/>
    <s v="Depósito"/>
    <n v="145"/>
    <s v="Alquiler"/>
    <n v="28929"/>
    <n v="790385"/>
    <n v="632308"/>
    <n v="129148"/>
    <s v="Ángeles"/>
    <n v="4.7"/>
  </r>
  <r>
    <n v="1956"/>
    <d v="2017-12-07T00:00:00"/>
    <x v="675"/>
    <x v="2"/>
    <s v="Estacionamiento"/>
    <n v="197"/>
    <s v="Venta"/>
    <n v="39898.28"/>
    <n v="1064867"/>
    <n v="851893.6"/>
    <n v="173075.12000000002"/>
    <s v="Arturo"/>
    <n v="4"/>
  </r>
  <r>
    <n v="1957"/>
    <d v="2017-12-08T00:00:00"/>
    <x v="674"/>
    <x v="3"/>
    <s v="Estacionamiento"/>
    <n v="286"/>
    <s v="Venta"/>
    <n v="113925.8"/>
    <n v="2904955"/>
    <n v="2323964"/>
    <n v="467065.2"/>
    <s v="Sabrina"/>
    <n v="4.4000000000000004"/>
  </r>
  <r>
    <n v="1958"/>
    <d v="2017-12-09T00:00:00"/>
    <x v="765"/>
    <x v="1"/>
    <s v="Casa"/>
    <n v="291"/>
    <s v="Venta"/>
    <n v="60508.28"/>
    <n v="1573317"/>
    <n v="1258653.6000000001"/>
    <n v="254155.11999999991"/>
    <s v="Carlos"/>
    <n v="4"/>
  </r>
  <r>
    <n v="1959"/>
    <d v="2017-12-09T00:00:00"/>
    <x v="766"/>
    <x v="0"/>
    <s v="Estacionamiento"/>
    <n v="196"/>
    <s v="Venta"/>
    <n v="39341.440000000002"/>
    <n v="1038696"/>
    <n v="830956.8"/>
    <n v="168397.75999999995"/>
    <s v="Ángeles"/>
    <n v="4.9000000000000004"/>
  </r>
  <r>
    <n v="1960"/>
    <d v="2017-12-09T00:00:00"/>
    <x v="767"/>
    <x v="3"/>
    <s v="Terreno"/>
    <n v="280"/>
    <s v="Venta"/>
    <n v="97263.48"/>
    <n v="2483447"/>
    <n v="1986757.6"/>
    <n v="399425.91999999993"/>
    <s v="Ángeles"/>
    <n v="3.6"/>
  </r>
  <r>
    <n v="1961"/>
    <d v="2017-12-09T00:00:00"/>
    <x v="768"/>
    <x v="1"/>
    <s v="Departamento"/>
    <n v="167"/>
    <s v="Venta"/>
    <n v="31439.8"/>
    <n v="843605"/>
    <n v="674884"/>
    <n v="137281.20000000001"/>
    <s v="Arturo"/>
    <n v="3.7"/>
  </r>
  <r>
    <n v="1962"/>
    <d v="2017-12-11T00:00:00"/>
    <x v="590"/>
    <x v="1"/>
    <s v="Depósito"/>
    <n v="231"/>
    <s v="Venta"/>
    <n v="87312.639999999999"/>
    <n v="2239651"/>
    <n v="1791720.8"/>
    <n v="360617.55999999994"/>
    <s v="Romina"/>
    <n v="4.0999999999999996"/>
  </r>
  <r>
    <n v="1963"/>
    <d v="2017-12-12T00:00:00"/>
    <x v="691"/>
    <x v="0"/>
    <s v="Departamento"/>
    <n v="111"/>
    <s v="Alquiler"/>
    <n v="20347.16"/>
    <n v="573164"/>
    <n v="458531.2"/>
    <n v="94285.639999999985"/>
    <s v="Carlos"/>
    <n v="4.0999999999999996"/>
  </r>
  <r>
    <n v="1964"/>
    <d v="2017-12-13T00:00:00"/>
    <x v="643"/>
    <x v="3"/>
    <s v="Terreno"/>
    <n v="112"/>
    <s v="Venta"/>
    <n v="31229.759999999998"/>
    <n v="840829"/>
    <n v="672663.2"/>
    <n v="136936.04000000004"/>
    <s v="Ángeles"/>
    <n v="3.9"/>
  </r>
  <r>
    <n v="1965"/>
    <d v="2017-12-13T00:00:00"/>
    <x v="769"/>
    <x v="1"/>
    <s v="Depósito"/>
    <n v="54"/>
    <s v="Alquiler"/>
    <n v="10540.96"/>
    <n v="330434"/>
    <n v="264347.2"/>
    <n v="55545.839999999989"/>
    <s v="Arturo"/>
    <n v="3.6"/>
  </r>
  <r>
    <n v="1966"/>
    <d v="2017-12-13T00:00:00"/>
    <x v="634"/>
    <x v="1"/>
    <s v="Terreno"/>
    <n v="63"/>
    <s v="Alquiler"/>
    <n v="9858.84"/>
    <n v="307481"/>
    <n v="245984.8"/>
    <n v="51637.360000000015"/>
    <s v="Sabrina"/>
    <n v="3.7"/>
  </r>
  <r>
    <n v="1967"/>
    <d v="2017-12-14T00:00:00"/>
    <x v="672"/>
    <x v="2"/>
    <s v="Estacionamiento"/>
    <n v="211"/>
    <s v="Venta"/>
    <n v="81235.360000000001"/>
    <n v="2082869"/>
    <n v="1666295.2"/>
    <n v="335338.44000000006"/>
    <s v="Arturo"/>
    <n v="3.8"/>
  </r>
  <r>
    <n v="1968"/>
    <d v="2017-12-15T00:00:00"/>
    <x v="770"/>
    <x v="2"/>
    <s v="Oficinas"/>
    <n v="215"/>
    <s v="Venta"/>
    <n v="68614.84"/>
    <n v="1768931"/>
    <n v="1415144.8"/>
    <n v="285171.36"/>
    <s v="Iván"/>
    <n v="4.5"/>
  </r>
  <r>
    <n v="1969"/>
    <d v="2017-12-16T00:00:00"/>
    <x v="691"/>
    <x v="1"/>
    <s v="Depósito"/>
    <n v="253"/>
    <s v="Venta"/>
    <n v="72965.399999999994"/>
    <n v="1879270"/>
    <n v="1503416"/>
    <n v="302888.59999999998"/>
    <s v="Ángeles"/>
    <n v="3.6"/>
  </r>
  <r>
    <n v="1970"/>
    <d v="2017-12-16T00:00:00"/>
    <x v="670"/>
    <x v="0"/>
    <s v="Terreno"/>
    <n v="102"/>
    <s v="Venta"/>
    <n v="33381.68"/>
    <n v="893177"/>
    <n v="714541.6"/>
    <n v="145253.72000000003"/>
    <s v="Ángeles"/>
    <n v="4.5999999999999996"/>
  </r>
  <r>
    <n v="1971"/>
    <d v="2017-12-16T00:00:00"/>
    <x v="771"/>
    <x v="3"/>
    <s v="Casa"/>
    <n v="128"/>
    <s v="Venta"/>
    <n v="33240"/>
    <n v="894410"/>
    <n v="715528"/>
    <n v="145642"/>
    <s v="Carlos"/>
    <n v="4.2"/>
  </r>
  <r>
    <n v="1972"/>
    <d v="2017-12-17T00:00:00"/>
    <x v="772"/>
    <x v="2"/>
    <s v="Terreno"/>
    <n v="147"/>
    <s v="Venta"/>
    <n v="31731.72"/>
    <n v="851453"/>
    <n v="681162.4"/>
    <n v="138558.87999999998"/>
    <s v="Ángeles"/>
    <n v="3.6"/>
  </r>
  <r>
    <n v="1973"/>
    <d v="2017-12-17T00:00:00"/>
    <x v="664"/>
    <x v="1"/>
    <s v="Local Comercial"/>
    <n v="61"/>
    <s v="Alquiler"/>
    <n v="18950.28"/>
    <n v="526992"/>
    <n v="421593.59999999998"/>
    <n v="86448.120000000024"/>
    <s v="Ángeles"/>
    <n v="3.6"/>
  </r>
  <r>
    <n v="1974"/>
    <d v="2017-12-17T00:00:00"/>
    <x v="553"/>
    <x v="1"/>
    <s v="Casa"/>
    <n v="53"/>
    <s v="Alquiler"/>
    <n v="14410.12"/>
    <n v="424313"/>
    <n v="339450.4"/>
    <n v="70452.479999999981"/>
    <s v="Sabrina"/>
    <n v="4.0999999999999996"/>
  </r>
  <r>
    <n v="1975"/>
    <d v="2017-12-17T00:00:00"/>
    <x v="713"/>
    <x v="3"/>
    <s v="Departamento"/>
    <n v="143"/>
    <s v="Venta"/>
    <n v="35264.480000000003"/>
    <n v="943622"/>
    <n v="754897.6"/>
    <n v="153459.92000000001"/>
    <s v="Iván"/>
    <n v="4.7"/>
  </r>
  <r>
    <n v="1976"/>
    <d v="2017-12-17T00:00:00"/>
    <x v="773"/>
    <x v="0"/>
    <s v="Local Comercial"/>
    <n v="161"/>
    <s v="Venta"/>
    <n v="54583.8"/>
    <n v="1429580"/>
    <n v="1143664"/>
    <n v="231332.2"/>
    <s v="Romina"/>
    <n v="4.3"/>
  </r>
  <r>
    <n v="1977"/>
    <d v="2017-12-18T00:00:00"/>
    <x v="587"/>
    <x v="1"/>
    <s v="Depósito"/>
    <n v="200"/>
    <s v="Venta"/>
    <n v="54916.480000000003"/>
    <n v="1431872"/>
    <n v="1145497.6000000001"/>
    <n v="231457.9199999999"/>
    <s v="Sabrina"/>
    <n v="5"/>
  </r>
  <r>
    <n v="1978"/>
    <d v="2017-12-19T00:00:00"/>
    <x v="774"/>
    <x v="2"/>
    <s v="Depósito"/>
    <n v="157"/>
    <s v="Alquiler"/>
    <n v="27163.48"/>
    <n v="733247"/>
    <n v="586597.6"/>
    <n v="119485.92000000003"/>
    <s v="Arturo"/>
    <n v="3.8"/>
  </r>
  <r>
    <n v="1979"/>
    <d v="2017-12-20T00:00:00"/>
    <x v="716"/>
    <x v="1"/>
    <s v="Depósito"/>
    <n v="232"/>
    <s v="Venta"/>
    <n v="84301.52"/>
    <n v="2172773"/>
    <n v="1738218.4"/>
    <n v="350253.08000000007"/>
    <s v="Ángeles"/>
    <n v="4"/>
  </r>
  <r>
    <n v="1980"/>
    <d v="2017-12-20T00:00:00"/>
    <x v="775"/>
    <x v="0"/>
    <s v="Departamento"/>
    <n v="278"/>
    <s v="Venta"/>
    <n v="105636.92"/>
    <n v="2708233"/>
    <n v="2166586.4"/>
    <n v="436009.68000000011"/>
    <s v="Romina"/>
    <n v="4.4000000000000004"/>
  </r>
  <r>
    <n v="1981"/>
    <d v="2017-12-20T00:00:00"/>
    <x v="644"/>
    <x v="2"/>
    <s v="Departamento"/>
    <n v="44"/>
    <s v="Alquiler"/>
    <n v="16124.6"/>
    <n v="462050"/>
    <n v="369640"/>
    <n v="76285.399999999994"/>
    <s v="Carlos"/>
    <n v="4.2"/>
  </r>
  <r>
    <n v="1982"/>
    <d v="2017-12-21T00:00:00"/>
    <x v="776"/>
    <x v="1"/>
    <s v="Estacionamiento"/>
    <n v="243"/>
    <s v="Venta"/>
    <n v="40833.68"/>
    <n v="1072877"/>
    <n v="858301.6"/>
    <n v="173741.72000000003"/>
    <s v="Sabrina"/>
    <n v="3.7"/>
  </r>
  <r>
    <n v="1983"/>
    <d v="2017-12-21T00:00:00"/>
    <x v="777"/>
    <x v="3"/>
    <s v="Departamento"/>
    <n v="238"/>
    <s v="Venta"/>
    <n v="94899.36"/>
    <n v="2427119"/>
    <n v="1941695.2"/>
    <n v="390524.44000000006"/>
    <s v="Sabrina"/>
    <n v="4.3"/>
  </r>
  <r>
    <n v="1984"/>
    <d v="2017-12-21T00:00:00"/>
    <x v="778"/>
    <x v="1"/>
    <s v="Casa"/>
    <n v="103"/>
    <s v="Alquiler"/>
    <n v="26832"/>
    <n v="737735"/>
    <n v="590188"/>
    <n v="120715"/>
    <s v="Sabrina"/>
    <n v="4.8"/>
  </r>
  <r>
    <n v="1985"/>
    <d v="2017-12-21T00:00:00"/>
    <x v="643"/>
    <x v="2"/>
    <s v="Departamento"/>
    <n v="283"/>
    <s v="Venta"/>
    <n v="110912.12"/>
    <n v="2825913"/>
    <n v="2260730.4"/>
    <n v="454270.4800000001"/>
    <s v="Arturo"/>
    <n v="4.9000000000000004"/>
  </r>
  <r>
    <n v="1986"/>
    <d v="2017-12-21T00:00:00"/>
    <x v="779"/>
    <x v="1"/>
    <s v="Casa"/>
    <n v="187"/>
    <s v="Venta"/>
    <n v="36706"/>
    <n v="976985"/>
    <n v="781588"/>
    <n v="158691"/>
    <s v="Carlos"/>
    <n v="4.9000000000000004"/>
  </r>
  <r>
    <n v="1987"/>
    <d v="2017-12-21T00:00:00"/>
    <x v="742"/>
    <x v="0"/>
    <s v="Depósito"/>
    <n v="133"/>
    <s v="Venta"/>
    <n v="34435.120000000003"/>
    <n v="912463"/>
    <n v="729970.4"/>
    <n v="148057.47999999998"/>
    <s v="Iván"/>
    <n v="3.7"/>
  </r>
  <r>
    <n v="1988"/>
    <d v="2017-12-22T00:00:00"/>
    <x v="690"/>
    <x v="0"/>
    <s v="Local Comercial"/>
    <n v="207"/>
    <s v="Venta"/>
    <n v="70076.2"/>
    <n v="1807415"/>
    <n v="1445932"/>
    <n v="291406.8"/>
    <s v="Ángeles"/>
    <n v="5"/>
  </r>
  <r>
    <n v="1989"/>
    <d v="2017-12-22T00:00:00"/>
    <x v="780"/>
    <x v="1"/>
    <s v="Estacionamiento"/>
    <n v="272"/>
    <s v="Venta"/>
    <n v="101294.36"/>
    <n v="2585069"/>
    <n v="2068055.2"/>
    <n v="415719.44000000006"/>
    <s v="Iván"/>
    <n v="4.5"/>
  </r>
  <r>
    <n v="1990"/>
    <d v="2017-12-22T00:00:00"/>
    <x v="643"/>
    <x v="1"/>
    <s v="Local Comercial"/>
    <n v="196"/>
    <s v="Venta"/>
    <n v="80090.2"/>
    <n v="2058365"/>
    <n v="1646692"/>
    <n v="331582.8"/>
    <s v="Carlos"/>
    <n v="4.8"/>
  </r>
  <r>
    <n v="1991"/>
    <d v="2017-12-22T00:00:00"/>
    <x v="781"/>
    <x v="3"/>
    <s v="Estacionamiento"/>
    <n v="267"/>
    <s v="Venta"/>
    <n v="97516.32"/>
    <n v="2493443"/>
    <n v="1994754.4"/>
    <n v="401172.28000000009"/>
    <s v="Iván"/>
    <n v="4"/>
  </r>
  <r>
    <n v="1992"/>
    <d v="2017-12-22T00:00:00"/>
    <x v="652"/>
    <x v="3"/>
    <s v="Casa"/>
    <n v="113"/>
    <s v="Venta"/>
    <n v="38345.760000000002"/>
    <n v="1020629"/>
    <n v="816503.2"/>
    <n v="165780.04000000004"/>
    <s v="Sabrina"/>
    <n v="4"/>
  </r>
  <r>
    <n v="1993"/>
    <d v="2017-12-23T00:00:00"/>
    <x v="567"/>
    <x v="2"/>
    <s v="Local Comercial"/>
    <n v="296"/>
    <s v="Venta"/>
    <n v="83570.679999999993"/>
    <n v="2146827"/>
    <n v="1717461.6"/>
    <n v="345794.71999999991"/>
    <s v="Iván"/>
    <n v="4.5"/>
  </r>
  <r>
    <n v="1994"/>
    <d v="2017-12-23T00:00:00"/>
    <x v="594"/>
    <x v="1"/>
    <s v="Oficinas"/>
    <n v="80"/>
    <s v="Alquiler"/>
    <n v="25168.68"/>
    <n v="687677"/>
    <n v="550141.6"/>
    <n v="112366.72000000003"/>
    <s v="Sabrina"/>
    <n v="4.9000000000000004"/>
  </r>
  <r>
    <n v="1995"/>
    <d v="2017-12-23T00:00:00"/>
    <x v="634"/>
    <x v="0"/>
    <s v="Terreno"/>
    <n v="262"/>
    <s v="Venta"/>
    <n v="89470.04"/>
    <n v="2300111"/>
    <n v="1840088.8"/>
    <n v="370552.16"/>
    <s v="Arturo"/>
    <n v="4.0999999999999996"/>
  </r>
  <r>
    <n v="1996"/>
    <d v="2017-12-23T00:00:00"/>
    <x v="775"/>
    <x v="1"/>
    <s v="Departamento"/>
    <n v="174"/>
    <s v="Venta"/>
    <n v="64489.36"/>
    <n v="1679069"/>
    <n v="1343255.2"/>
    <n v="271324.44000000006"/>
    <s v="Sabrina"/>
    <n v="4.3"/>
  </r>
  <r>
    <n v="1997"/>
    <d v="2017-12-23T00:00:00"/>
    <x v="782"/>
    <x v="3"/>
    <s v="Estacionamiento"/>
    <n v="202"/>
    <s v="Venta"/>
    <n v="41185.599999999999"/>
    <n v="1095325"/>
    <n v="876260"/>
    <n v="177879.4"/>
    <s v="Iván"/>
    <n v="3.8"/>
  </r>
  <r>
    <n v="1998"/>
    <d v="2017-12-24T00:00:00"/>
    <x v="554"/>
    <x v="0"/>
    <s v="Local Comercial"/>
    <n v="257"/>
    <s v="Venta"/>
    <n v="91482.12"/>
    <n v="2340413"/>
    <n v="1872330.4"/>
    <n v="376600.4800000001"/>
    <s v="Sabrina"/>
    <n v="4.0999999999999996"/>
  </r>
  <r>
    <n v="1999"/>
    <d v="2017-12-24T00:00:00"/>
    <x v="669"/>
    <x v="0"/>
    <s v="Local Comercial"/>
    <n v="238"/>
    <s v="Venta"/>
    <n v="66783.399999999994"/>
    <n v="1730195"/>
    <n v="1384156"/>
    <n v="279255.59999999998"/>
    <s v="Arturo"/>
    <n v="4.9000000000000004"/>
  </r>
  <r>
    <n v="2000"/>
    <d v="2017-12-25T00:00:00"/>
    <x v="783"/>
    <x v="3"/>
    <s v="Terreno"/>
    <n v="93"/>
    <s v="Alquiler"/>
    <n v="17118.88"/>
    <n v="493157"/>
    <n v="394525.6"/>
    <n v="81512.520000000019"/>
    <s v="Arturo"/>
    <n v="4"/>
  </r>
  <r>
    <n v="2001"/>
    <d v="2017-12-25T00:00:00"/>
    <x v="691"/>
    <x v="0"/>
    <s v="Terreno"/>
    <n v="259"/>
    <s v="Venta"/>
    <n v="53188.2"/>
    <n v="1384540"/>
    <n v="1107632"/>
    <n v="223719.8"/>
    <s v="Carlos"/>
    <n v="4.4000000000000004"/>
  </r>
  <r>
    <n v="2002"/>
    <d v="2017-12-25T00:00:00"/>
    <x v="676"/>
    <x v="1"/>
    <s v="Terreno"/>
    <n v="279"/>
    <s v="Venta"/>
    <n v="64913.08"/>
    <n v="1690337"/>
    <n v="1352269.6"/>
    <n v="273154.31999999989"/>
    <s v="Ángeles"/>
    <n v="3.7"/>
  </r>
  <r>
    <n v="2003"/>
    <d v="2017-12-26T00:00:00"/>
    <x v="722"/>
    <x v="3"/>
    <s v="Depósito"/>
    <n v="296"/>
    <s v="Venta"/>
    <n v="56469"/>
    <n v="1468985"/>
    <n v="1175188"/>
    <n v="237328"/>
    <s v="Ángeles"/>
    <n v="4.5"/>
  </r>
  <r>
    <n v="2004"/>
    <d v="2017-12-26T00:00:00"/>
    <x v="614"/>
    <x v="2"/>
    <s v="Depósito"/>
    <n v="51"/>
    <s v="Alquiler"/>
    <n v="10657.24"/>
    <n v="333341"/>
    <n v="266672.8"/>
    <n v="56010.960000000014"/>
    <s v="Ángeles"/>
    <n v="3.8"/>
  </r>
  <r>
    <n v="2005"/>
    <d v="2017-12-26T00:00:00"/>
    <x v="690"/>
    <x v="0"/>
    <s v="Casa"/>
    <n v="135"/>
    <s v="Alquiler"/>
    <n v="24554.12"/>
    <n v="666113"/>
    <n v="532890.4"/>
    <n v="108668.47999999998"/>
    <s v="Sabrina"/>
    <n v="3.7"/>
  </r>
  <r>
    <n v="2006"/>
    <d v="2017-12-27T00:00:00"/>
    <x v="722"/>
    <x v="0"/>
    <s v="Terreno"/>
    <n v="267"/>
    <s v="Venta"/>
    <n v="70272.12"/>
    <n v="1811013"/>
    <n v="1448810.4"/>
    <n v="291930.4800000001"/>
    <s v="Iván"/>
    <n v="4.2"/>
  </r>
  <r>
    <n v="2007"/>
    <d v="2017-12-27T00:00:00"/>
    <x v="709"/>
    <x v="3"/>
    <s v="Casa"/>
    <n v="50"/>
    <s v="Alquiler"/>
    <n v="15009.48"/>
    <n v="438947"/>
    <n v="351157.6"/>
    <n v="72779.920000000027"/>
    <s v="Arturo"/>
    <n v="3.8"/>
  </r>
  <r>
    <n v="2008"/>
    <d v="2017-12-27T00:00:00"/>
    <x v="528"/>
    <x v="2"/>
    <s v="Local Comercial"/>
    <n v="217"/>
    <s v="Venta"/>
    <n v="55456.44"/>
    <n v="1437846"/>
    <n v="1150276.8"/>
    <n v="232112.75999999995"/>
    <s v="Iván"/>
    <n v="4.3"/>
  </r>
  <r>
    <n v="2009"/>
    <d v="2017-12-27T00:00:00"/>
    <x v="784"/>
    <x v="1"/>
    <s v="Local Comercial"/>
    <n v="130"/>
    <s v="Venta"/>
    <n v="36202.080000000002"/>
    <n v="964112"/>
    <n v="771289.59999999998"/>
    <n v="156620.32"/>
    <s v="Arturo"/>
    <n v="4.0999999999999996"/>
  </r>
  <r>
    <n v="2010"/>
    <d v="2017-12-27T00:00:00"/>
    <x v="785"/>
    <x v="3"/>
    <s v="Depósito"/>
    <n v="154"/>
    <s v="Venta"/>
    <n v="40446.839999999997"/>
    <n v="1077231"/>
    <n v="861784.8"/>
    <n v="174999.35999999996"/>
    <s v="Sabrina"/>
    <n v="4.8"/>
  </r>
  <r>
    <n v="2011"/>
    <d v="2017-12-28T00:00:00"/>
    <x v="758"/>
    <x v="2"/>
    <s v="Local Comercial"/>
    <n v="255"/>
    <s v="Venta"/>
    <n v="61019.519999999997"/>
    <n v="1592298"/>
    <n v="1273838.3999999999"/>
    <n v="257440.0800000001"/>
    <s v="Romina"/>
    <n v="4.9000000000000004"/>
  </r>
  <r>
    <n v="2012"/>
    <d v="2017-12-30T00:00:00"/>
    <x v="786"/>
    <x v="3"/>
    <s v="Departamento"/>
    <n v="87"/>
    <s v="Venta"/>
    <n v="35965.64"/>
    <n v="961351"/>
    <n v="769080.8"/>
    <n v="156304.55999999994"/>
    <s v="Iván"/>
    <n v="4.4000000000000004"/>
  </r>
  <r>
    <n v="2013"/>
    <d v="2017-12-30T00:00:00"/>
    <x v="787"/>
    <x v="2"/>
    <s v="Oficinas"/>
    <n v="134"/>
    <s v="Alquiler"/>
    <n v="28393.439999999999"/>
    <n v="776696"/>
    <n v="621356.80000000005"/>
    <n v="126945.75999999995"/>
    <s v="Arturo"/>
    <n v="4.5"/>
  </r>
  <r>
    <n v="2014"/>
    <d v="2017-12-30T00:00:00"/>
    <x v="788"/>
    <x v="0"/>
    <s v="Depósito"/>
    <n v="220"/>
    <s v="Venta"/>
    <n v="80313.279999999999"/>
    <n v="2066092"/>
    <n v="1652873.6"/>
    <n v="332905.11999999988"/>
    <s v="Romina"/>
    <n v="4.0999999999999996"/>
  </r>
  <r>
    <n v="2015"/>
    <d v="2017-12-30T00:00:00"/>
    <x v="747"/>
    <x v="1"/>
    <s v="Casa"/>
    <n v="255"/>
    <s v="Venta"/>
    <n v="55282.04"/>
    <n v="1444211"/>
    <n v="1155368.8"/>
    <n v="233560.15999999995"/>
    <s v="Ángeles"/>
    <n v="4.3"/>
  </r>
  <r>
    <n v="2016"/>
    <d v="2017-12-31T00:00:00"/>
    <x v="789"/>
    <x v="1"/>
    <s v="Local Comercial"/>
    <n v="279"/>
    <s v="Venta"/>
    <n v="111798.68"/>
    <n v="2851777"/>
    <n v="2281421.6"/>
    <n v="458556.71999999991"/>
    <s v="Iván"/>
    <n v="4"/>
  </r>
  <r>
    <n v="2017"/>
    <d v="2017-12-31T00:00:00"/>
    <x v="790"/>
    <x v="0"/>
    <s v="Oficinas"/>
    <n v="198"/>
    <s v="Venta"/>
    <n v="52488.72"/>
    <n v="1366453"/>
    <n v="1093162.3999999999"/>
    <n v="220801.88000000009"/>
    <s v="Ángeles"/>
    <n v="4.9000000000000004"/>
  </r>
  <r>
    <n v="2018"/>
    <d v="2018-01-01T00:00:00"/>
    <x v="791"/>
    <x v="0"/>
    <s v="Departamento"/>
    <n v="69"/>
    <s v="Alquiler"/>
    <n v="20995"/>
    <n v="582410"/>
    <n v="465928"/>
    <n v="95487"/>
    <s v="Carlos"/>
    <n v="4.2"/>
  </r>
  <r>
    <n v="2019"/>
    <d v="2018-01-01T00:00:00"/>
    <x v="792"/>
    <x v="2"/>
    <s v="Oficinas"/>
    <n v="201"/>
    <s v="Venta"/>
    <n v="52731.8"/>
    <n v="1383905"/>
    <n v="1107124"/>
    <n v="224049.2"/>
    <s v="Iván"/>
    <n v="4.0999999999999996"/>
  </r>
  <r>
    <n v="2020"/>
    <d v="2018-01-01T00:00:00"/>
    <x v="793"/>
    <x v="2"/>
    <s v="Oficinas"/>
    <n v="74"/>
    <s v="Alquiler"/>
    <n v="12324.4"/>
    <n v="359445"/>
    <n v="287556"/>
    <n v="59564.6"/>
    <s v="Arturo"/>
    <n v="4.0999999999999996"/>
  </r>
  <r>
    <n v="2021"/>
    <d v="2018-01-01T00:00:00"/>
    <x v="794"/>
    <x v="0"/>
    <s v="Casa"/>
    <n v="144"/>
    <s v="Venta"/>
    <n v="33778"/>
    <n v="909485"/>
    <n v="727588"/>
    <n v="148119"/>
    <s v="Iván"/>
    <n v="3.7"/>
  </r>
  <r>
    <n v="2022"/>
    <d v="2018-01-02T00:00:00"/>
    <x v="729"/>
    <x v="2"/>
    <s v="Departamento"/>
    <n v="122"/>
    <s v="Alquiler"/>
    <n v="22751.24"/>
    <n v="625241"/>
    <n v="500192.8"/>
    <n v="102296.96000000001"/>
    <s v="Romina"/>
    <n v="3.7"/>
  </r>
  <r>
    <n v="2023"/>
    <d v="2018-01-02T00:00:00"/>
    <x v="795"/>
    <x v="2"/>
    <s v="Depósito"/>
    <n v="138"/>
    <s v="Alquiler"/>
    <n v="29516.32"/>
    <n v="799718"/>
    <n v="639774.4"/>
    <n v="130427.27999999997"/>
    <s v="Sabrina"/>
    <n v="4.0999999999999996"/>
  </r>
  <r>
    <n v="2024"/>
    <d v="2018-01-02T00:00:00"/>
    <x v="608"/>
    <x v="2"/>
    <s v="Local Comercial"/>
    <n v="267"/>
    <s v="Venta"/>
    <n v="97740.96"/>
    <n v="2507734"/>
    <n v="2006187.2"/>
    <n v="403805.84"/>
    <s v="Carlos"/>
    <n v="5"/>
  </r>
  <r>
    <n v="2025"/>
    <d v="2018-01-02T00:00:00"/>
    <x v="796"/>
    <x v="3"/>
    <s v="Oficinas"/>
    <n v="272"/>
    <s v="Venta"/>
    <n v="58881.120000000003"/>
    <n v="1536163"/>
    <n v="1228930.3999999999"/>
    <n v="248351.4800000001"/>
    <s v="Sabrina"/>
    <n v="4.4000000000000004"/>
  </r>
  <r>
    <n v="2026"/>
    <d v="2018-01-03T00:00:00"/>
    <x v="797"/>
    <x v="1"/>
    <s v="Terreno"/>
    <n v="210"/>
    <s v="Venta"/>
    <n v="43707.32"/>
    <n v="1146293"/>
    <n v="917034.4"/>
    <n v="185551.27999999997"/>
    <s v="Carlos"/>
    <n v="4.5999999999999996"/>
  </r>
  <r>
    <n v="2027"/>
    <d v="2018-01-03T00:00:00"/>
    <x v="671"/>
    <x v="2"/>
    <s v="Depósito"/>
    <n v="35"/>
    <s v="Alquiler"/>
    <n v="14116.36"/>
    <n v="405444"/>
    <n v="324355.20000000001"/>
    <n v="66972.439999999988"/>
    <s v="Romina"/>
    <n v="4.4000000000000004"/>
  </r>
  <r>
    <n v="2028"/>
    <d v="2018-01-03T00:00:00"/>
    <x v="590"/>
    <x v="1"/>
    <s v="Departamento"/>
    <n v="118"/>
    <s v="Alquiler"/>
    <n v="26091.4"/>
    <n v="717245"/>
    <n v="573796"/>
    <n v="117357.6"/>
    <s v="Ángeles"/>
    <n v="3.8"/>
  </r>
  <r>
    <n v="2029"/>
    <d v="2018-01-03T00:00:00"/>
    <x v="653"/>
    <x v="0"/>
    <s v="Oficinas"/>
    <n v="172"/>
    <s v="Venta"/>
    <n v="45809.36"/>
    <n v="1212694"/>
    <n v="970155.2"/>
    <n v="196729.44000000006"/>
    <s v="Romina"/>
    <n v="3.7"/>
  </r>
  <r>
    <n v="2030"/>
    <d v="2018-01-03T00:00:00"/>
    <x v="798"/>
    <x v="2"/>
    <s v="Local Comercial"/>
    <n v="224"/>
    <s v="Venta"/>
    <n v="87989.72"/>
    <n v="2255953"/>
    <n v="1804762.4"/>
    <n v="363200.88000000012"/>
    <s v="Sabrina"/>
    <n v="5"/>
  </r>
  <r>
    <n v="2031"/>
    <d v="2018-01-03T00:00:00"/>
    <x v="799"/>
    <x v="1"/>
    <s v="Casa"/>
    <n v="227"/>
    <s v="Venta"/>
    <n v="56869"/>
    <n v="1486910"/>
    <n v="1189528"/>
    <n v="240513"/>
    <s v="Sabrina"/>
    <n v="5"/>
  </r>
  <r>
    <n v="2032"/>
    <d v="2018-01-03T00:00:00"/>
    <x v="743"/>
    <x v="3"/>
    <s v="Local Comercial"/>
    <n v="110"/>
    <s v="Alquiler"/>
    <n v="23628.68"/>
    <n v="652677"/>
    <n v="522141.6"/>
    <n v="106906.72000000003"/>
    <s v="Ángeles"/>
    <n v="4.2"/>
  </r>
  <r>
    <n v="2033"/>
    <d v="2018-01-03T00:00:00"/>
    <x v="800"/>
    <x v="1"/>
    <s v="Depósito"/>
    <n v="149"/>
    <s v="Venta"/>
    <n v="48987"/>
    <n v="1284235"/>
    <n v="1027388"/>
    <n v="207860"/>
    <s v="Ángeles"/>
    <n v="4.7"/>
  </r>
  <r>
    <n v="2034"/>
    <d v="2018-01-05T00:00:00"/>
    <x v="748"/>
    <x v="0"/>
    <s v="Departamento"/>
    <n v="156"/>
    <s v="Alquiler"/>
    <n v="29521.88"/>
    <n v="797532"/>
    <n v="638025.6"/>
    <n v="129984.52000000002"/>
    <s v="Sabrina"/>
    <n v="3.8"/>
  </r>
  <r>
    <n v="2035"/>
    <d v="2018-01-05T00:00:00"/>
    <x v="719"/>
    <x v="0"/>
    <s v="Depósito"/>
    <n v="285"/>
    <s v="Venta"/>
    <n v="71457.600000000006"/>
    <n v="1845625"/>
    <n v="1476500"/>
    <n v="297667.40000000002"/>
    <s v="Carlos"/>
    <n v="3.8"/>
  </r>
  <r>
    <n v="2036"/>
    <d v="2018-01-05T00:00:00"/>
    <x v="777"/>
    <x v="0"/>
    <s v="Local Comercial"/>
    <n v="87"/>
    <s v="Alquiler"/>
    <n v="16747.599999999999"/>
    <n v="483425"/>
    <n v="386740"/>
    <n v="79937.399999999994"/>
    <s v="Ángeles"/>
    <n v="3.7"/>
  </r>
  <r>
    <n v="2037"/>
    <d v="2018-01-06T00:00:00"/>
    <x v="690"/>
    <x v="2"/>
    <s v="Departamento"/>
    <n v="107"/>
    <s v="Alquiler"/>
    <n v="26865"/>
    <n v="737185"/>
    <n v="589748"/>
    <n v="120572"/>
    <s v="Arturo"/>
    <n v="4.5999999999999996"/>
  </r>
  <r>
    <n v="2038"/>
    <d v="2018-01-06T00:00:00"/>
    <x v="558"/>
    <x v="0"/>
    <s v="Depósito"/>
    <n v="280"/>
    <s v="Venta"/>
    <n v="83350.36"/>
    <n v="2144269"/>
    <n v="1715415.2"/>
    <n v="345503.44000000006"/>
    <s v="Ángeles"/>
    <n v="4"/>
  </r>
  <r>
    <n v="2039"/>
    <d v="2018-01-06T00:00:00"/>
    <x v="722"/>
    <x v="1"/>
    <s v="Terreno"/>
    <n v="194"/>
    <s v="Venta"/>
    <n v="44702.04"/>
    <n v="1175561"/>
    <n v="940448.8"/>
    <n v="190410.15999999995"/>
    <s v="Carlos"/>
    <n v="5"/>
  </r>
  <r>
    <n v="2040"/>
    <d v="2018-01-07T00:00:00"/>
    <x v="747"/>
    <x v="3"/>
    <s v="Departamento"/>
    <n v="202"/>
    <s v="Venta"/>
    <n v="79826.399999999994"/>
    <n v="2050595"/>
    <n v="1640476"/>
    <n v="330292.59999999998"/>
    <s v="Carlos"/>
    <n v="4.7"/>
  </r>
  <r>
    <n v="2041"/>
    <d v="2018-01-07T00:00:00"/>
    <x v="685"/>
    <x v="0"/>
    <s v="Departamento"/>
    <n v="117"/>
    <s v="Venta"/>
    <n v="32178"/>
    <n v="859685"/>
    <n v="687748"/>
    <n v="139759"/>
    <s v="Ángeles"/>
    <n v="4.2"/>
  </r>
  <r>
    <n v="2042"/>
    <d v="2018-01-08T00:00:00"/>
    <x v="699"/>
    <x v="0"/>
    <s v="Departamento"/>
    <n v="77"/>
    <s v="Alquiler"/>
    <n v="20601.2"/>
    <n v="575765"/>
    <n v="460612"/>
    <n v="94551.8"/>
    <s v="Ángeles"/>
    <n v="4.5999999999999996"/>
  </r>
  <r>
    <n v="2043"/>
    <d v="2018-01-08T00:00:00"/>
    <x v="675"/>
    <x v="3"/>
    <s v="Oficinas"/>
    <n v="275"/>
    <s v="Venta"/>
    <n v="92704"/>
    <n v="2382885"/>
    <n v="1906308"/>
    <n v="383873"/>
    <s v="Ángeles"/>
    <n v="3.6"/>
  </r>
  <r>
    <n v="2044"/>
    <d v="2018-01-08T00:00:00"/>
    <x v="801"/>
    <x v="0"/>
    <s v="Depósito"/>
    <n v="103"/>
    <s v="Alquiler"/>
    <n v="21962.68"/>
    <n v="604227"/>
    <n v="483381.6"/>
    <n v="98882.72000000003"/>
    <s v="Iván"/>
    <n v="3.6"/>
  </r>
  <r>
    <n v="2045"/>
    <d v="2018-01-09T00:00:00"/>
    <x v="677"/>
    <x v="2"/>
    <s v="Departamento"/>
    <n v="191"/>
    <s v="Venta"/>
    <n v="70570.399999999994"/>
    <n v="1829045"/>
    <n v="1463236"/>
    <n v="295238.59999999998"/>
    <s v="Carlos"/>
    <n v="4"/>
  </r>
  <r>
    <n v="2046"/>
    <d v="2018-01-09T00:00:00"/>
    <x v="772"/>
    <x v="1"/>
    <s v="Departamento"/>
    <n v="249"/>
    <s v="Venta"/>
    <n v="92371.92"/>
    <n v="2368133"/>
    <n v="1894506.4"/>
    <n v="381254.68000000011"/>
    <s v="Sabrina"/>
    <n v="4.3"/>
  </r>
  <r>
    <n v="2047"/>
    <d v="2018-01-09T00:00:00"/>
    <x v="640"/>
    <x v="2"/>
    <s v="Oficinas"/>
    <n v="244"/>
    <s v="Venta"/>
    <n v="81022.2"/>
    <n v="2089490"/>
    <n v="1671592"/>
    <n v="336875.8"/>
    <s v="Sabrina"/>
    <n v="3.8"/>
  </r>
  <r>
    <n v="2048"/>
    <d v="2018-01-10T00:00:00"/>
    <x v="651"/>
    <x v="3"/>
    <s v="Terreno"/>
    <n v="166"/>
    <s v="Venta"/>
    <n v="42903.199999999997"/>
    <n v="1138765"/>
    <n v="911012"/>
    <n v="184849.8"/>
    <s v="Arturo"/>
    <n v="4.9000000000000004"/>
  </r>
  <r>
    <n v="2049"/>
    <d v="2018-01-10T00:00:00"/>
    <x v="678"/>
    <x v="3"/>
    <s v="Depósito"/>
    <n v="272"/>
    <s v="Venta"/>
    <n v="73561"/>
    <n v="1893010"/>
    <n v="1514408"/>
    <n v="305041"/>
    <s v="Iván"/>
    <n v="3.8"/>
  </r>
  <r>
    <n v="2050"/>
    <d v="2018-01-10T00:00:00"/>
    <x v="717"/>
    <x v="1"/>
    <s v="Terreno"/>
    <n v="173"/>
    <s v="Venta"/>
    <n v="68517.8"/>
    <n v="1777805"/>
    <n v="1422244"/>
    <n v="287043.20000000001"/>
    <s v="Ángeles"/>
    <n v="4.7"/>
  </r>
  <r>
    <n v="2051"/>
    <d v="2018-01-11T00:00:00"/>
    <x v="756"/>
    <x v="0"/>
    <s v="Departamento"/>
    <n v="127"/>
    <s v="Venta"/>
    <n v="50211.4"/>
    <n v="1312045"/>
    <n v="1049636"/>
    <n v="212197.6"/>
    <s v="Ángeles"/>
    <n v="3.7"/>
  </r>
  <r>
    <n v="2052"/>
    <d v="2018-01-11T00:00:00"/>
    <x v="802"/>
    <x v="3"/>
    <s v="Departamento"/>
    <n v="61"/>
    <s v="Alquiler"/>
    <n v="14489.44"/>
    <n v="422521"/>
    <n v="338016.8"/>
    <n v="70014.760000000009"/>
    <s v="Iván"/>
    <n v="4.5999999999999996"/>
  </r>
  <r>
    <n v="2053"/>
    <d v="2018-01-11T00:00:00"/>
    <x v="803"/>
    <x v="3"/>
    <s v="Depósito"/>
    <n v="178"/>
    <s v="Venta"/>
    <n v="68055"/>
    <n v="1767160"/>
    <n v="1413728"/>
    <n v="285377"/>
    <s v="Ángeles"/>
    <n v="4.4000000000000004"/>
  </r>
  <r>
    <n v="2054"/>
    <d v="2018-01-11T00:00:00"/>
    <x v="617"/>
    <x v="3"/>
    <s v="Terreno"/>
    <n v="241"/>
    <s v="Venta"/>
    <n v="62095.88"/>
    <n v="1605182"/>
    <n v="1284145.6000000001"/>
    <n v="258940.5199999999"/>
    <s v="Sabrina"/>
    <n v="4.2"/>
  </r>
  <r>
    <n v="2055"/>
    <d v="2018-01-11T00:00:00"/>
    <x v="651"/>
    <x v="1"/>
    <s v="Estacionamiento"/>
    <n v="265"/>
    <s v="Venta"/>
    <n v="47035.6"/>
    <n v="1232950"/>
    <n v="986360"/>
    <n v="199554.4"/>
    <s v="Iván"/>
    <n v="4.4000000000000004"/>
  </r>
  <r>
    <n v="2056"/>
    <d v="2018-01-12T00:00:00"/>
    <x v="804"/>
    <x v="1"/>
    <s v="Terreno"/>
    <n v="284"/>
    <s v="Venta"/>
    <n v="97512.2"/>
    <n v="2498765"/>
    <n v="1999012"/>
    <n v="402240.8"/>
    <s v="Iván"/>
    <n v="4.0999999999999996"/>
  </r>
  <r>
    <n v="2057"/>
    <d v="2018-01-12T00:00:00"/>
    <x v="805"/>
    <x v="1"/>
    <s v="Oficinas"/>
    <n v="48"/>
    <s v="Alquiler"/>
    <n v="15925.24"/>
    <n v="455741"/>
    <n v="364592.8"/>
    <n v="75222.960000000006"/>
    <s v="Ángeles"/>
    <n v="4"/>
  </r>
  <r>
    <n v="2058"/>
    <d v="2018-01-13T00:00:00"/>
    <x v="781"/>
    <x v="3"/>
    <s v="Departamento"/>
    <n v="115"/>
    <s v="Venta"/>
    <n v="46760.04"/>
    <n v="1220861"/>
    <n v="976688.8"/>
    <n v="197412.15999999995"/>
    <s v="Sabrina"/>
    <n v="4.5999999999999996"/>
  </r>
  <r>
    <n v="2059"/>
    <d v="2018-01-13T00:00:00"/>
    <x v="793"/>
    <x v="3"/>
    <s v="Local Comercial"/>
    <n v="92"/>
    <s v="Alquiler"/>
    <n v="28649.200000000001"/>
    <n v="774915"/>
    <n v="619932"/>
    <n v="126333.8"/>
    <s v="Sabrina"/>
    <n v="5"/>
  </r>
  <r>
    <n v="2060"/>
    <d v="2018-01-13T00:00:00"/>
    <x v="806"/>
    <x v="0"/>
    <s v="Depósito"/>
    <n v="200"/>
    <s v="Venta"/>
    <n v="56666.32"/>
    <n v="1473893"/>
    <n v="1179114.3999999999"/>
    <n v="238112.28000000009"/>
    <s v="Ángeles"/>
    <n v="4.9000000000000004"/>
  </r>
  <r>
    <n v="2061"/>
    <d v="2018-01-13T00:00:00"/>
    <x v="807"/>
    <x v="0"/>
    <s v="Casa"/>
    <n v="255"/>
    <s v="Venta"/>
    <n v="63693.04"/>
    <n v="1652336"/>
    <n v="1321868.8"/>
    <n v="266774.15999999997"/>
    <s v="Iván"/>
    <n v="4.5999999999999996"/>
  </r>
  <r>
    <n v="2062"/>
    <d v="2018-01-13T00:00:00"/>
    <x v="743"/>
    <x v="1"/>
    <s v="Estacionamiento"/>
    <n v="49"/>
    <s v="Alquiler"/>
    <n v="17887.88"/>
    <n v="503207"/>
    <n v="402565.6"/>
    <n v="82753.520000000019"/>
    <s v="Iván"/>
    <n v="4"/>
  </r>
  <r>
    <n v="2063"/>
    <d v="2018-01-13T00:00:00"/>
    <x v="683"/>
    <x v="3"/>
    <s v="Estacionamiento"/>
    <n v="267"/>
    <s v="Venta"/>
    <n v="57177.24"/>
    <n v="1487041"/>
    <n v="1189632.8"/>
    <n v="240230.95999999996"/>
    <s v="Ángeles"/>
    <n v="3.8"/>
  </r>
  <r>
    <n v="2064"/>
    <d v="2018-01-14T00:00:00"/>
    <x v="808"/>
    <x v="0"/>
    <s v="Departamento"/>
    <n v="138"/>
    <s v="Venta"/>
    <n v="52205.24"/>
    <n v="1368341"/>
    <n v="1094672.8"/>
    <n v="221462.95999999996"/>
    <s v="Sabrina"/>
    <n v="4.4000000000000004"/>
  </r>
  <r>
    <n v="2065"/>
    <d v="2018-01-14T00:00:00"/>
    <x v="763"/>
    <x v="2"/>
    <s v="Depósito"/>
    <n v="143"/>
    <s v="Venta"/>
    <n v="33864"/>
    <n v="909685"/>
    <n v="727748"/>
    <n v="148073"/>
    <s v="Arturo"/>
    <n v="4.5999999999999996"/>
  </r>
  <r>
    <n v="2066"/>
    <d v="2018-01-14T00:00:00"/>
    <x v="809"/>
    <x v="0"/>
    <s v="Casa"/>
    <n v="162"/>
    <s v="Venta"/>
    <n v="57479.8"/>
    <n v="1498055"/>
    <n v="1198444"/>
    <n v="242131.20000000001"/>
    <s v="Romina"/>
    <n v="3.7"/>
  </r>
  <r>
    <n v="2067"/>
    <d v="2018-01-14T00:00:00"/>
    <x v="810"/>
    <x v="3"/>
    <s v="Depósito"/>
    <n v="122"/>
    <s v="Alquiler"/>
    <n v="21575.08"/>
    <n v="599312"/>
    <n v="479449.59999999998"/>
    <n v="98287.320000000022"/>
    <s v="Carlos"/>
    <n v="4.5"/>
  </r>
  <r>
    <n v="2068"/>
    <d v="2018-01-14T00:00:00"/>
    <x v="811"/>
    <x v="3"/>
    <s v="Departamento"/>
    <n v="250"/>
    <s v="Venta"/>
    <n v="98581.4"/>
    <n v="2530895"/>
    <n v="2024716"/>
    <n v="407597.6"/>
    <s v="Sabrina"/>
    <n v="4.7"/>
  </r>
  <r>
    <n v="2069"/>
    <d v="2018-01-15T00:00:00"/>
    <x v="812"/>
    <x v="2"/>
    <s v="Estacionamiento"/>
    <n v="193"/>
    <s v="Venta"/>
    <n v="66661.279999999999"/>
    <n v="1721617"/>
    <n v="1377293.6"/>
    <n v="277662.11999999988"/>
    <s v="Carlos"/>
    <n v="3.6"/>
  </r>
  <r>
    <n v="2070"/>
    <d v="2018-01-15T00:00:00"/>
    <x v="684"/>
    <x v="1"/>
    <s v="Depósito"/>
    <n v="239"/>
    <s v="Venta"/>
    <n v="94860.6"/>
    <n v="2435525"/>
    <n v="1948420"/>
    <n v="392244.4"/>
    <s v="Carlos"/>
    <n v="4.5999999999999996"/>
  </r>
  <r>
    <n v="2071"/>
    <d v="2018-01-15T00:00:00"/>
    <x v="559"/>
    <x v="1"/>
    <s v="Casa"/>
    <n v="268"/>
    <s v="Venta"/>
    <n v="98407.48"/>
    <n v="2524197"/>
    <n v="2019357.6"/>
    <n v="406431.91999999993"/>
    <s v="Romina"/>
    <n v="3.6"/>
  </r>
  <r>
    <n v="2072"/>
    <d v="2018-01-15T00:00:00"/>
    <x v="672"/>
    <x v="1"/>
    <s v="Casa"/>
    <n v="90"/>
    <s v="Venta"/>
    <n v="31396.799999999999"/>
    <n v="844655"/>
    <n v="675724"/>
    <n v="137534.20000000001"/>
    <s v="Iván"/>
    <n v="4.5999999999999996"/>
  </r>
  <r>
    <n v="2073"/>
    <d v="2018-01-15T00:00:00"/>
    <x v="813"/>
    <x v="0"/>
    <s v="Oficinas"/>
    <n v="233"/>
    <s v="Venta"/>
    <n v="80464.320000000007"/>
    <n v="2067268"/>
    <n v="1653814.4"/>
    <n v="332989.28000000009"/>
    <s v="Ángeles"/>
    <n v="3.6"/>
  </r>
  <r>
    <n v="2074"/>
    <d v="2018-01-16T00:00:00"/>
    <x v="808"/>
    <x v="2"/>
    <s v="Oficinas"/>
    <n v="75"/>
    <s v="Alquiler"/>
    <n v="13389.2"/>
    <n v="399765"/>
    <n v="319812"/>
    <n v="66563.8"/>
    <s v="Arturo"/>
    <n v="5"/>
  </r>
  <r>
    <n v="2075"/>
    <d v="2018-01-16T00:00:00"/>
    <x v="783"/>
    <x v="3"/>
    <s v="Casa"/>
    <n v="202"/>
    <s v="Venta"/>
    <n v="53380.6"/>
    <n v="1391850"/>
    <n v="1113480"/>
    <n v="224989.4"/>
    <s v="Carlos"/>
    <n v="4.9000000000000004"/>
  </r>
  <r>
    <n v="2076"/>
    <d v="2018-01-17T00:00:00"/>
    <x v="788"/>
    <x v="3"/>
    <s v="Casa"/>
    <n v="260"/>
    <s v="Venta"/>
    <n v="42319"/>
    <n v="1111160"/>
    <n v="888928"/>
    <n v="179913"/>
    <s v="Romina"/>
    <n v="4.8"/>
  </r>
  <r>
    <n v="2077"/>
    <d v="2018-01-17T00:00:00"/>
    <x v="656"/>
    <x v="1"/>
    <s v="Depósito"/>
    <n v="240"/>
    <s v="Venta"/>
    <n v="94741.32"/>
    <n v="2434493"/>
    <n v="1947594.4"/>
    <n v="392157.28000000009"/>
    <s v="Iván"/>
    <n v="4"/>
  </r>
  <r>
    <n v="2078"/>
    <d v="2018-01-17T00:00:00"/>
    <x v="759"/>
    <x v="0"/>
    <s v="Estacionamiento"/>
    <n v="118"/>
    <s v="Alquiler"/>
    <n v="23369.68"/>
    <n v="645827"/>
    <n v="516661.6"/>
    <n v="105795.72000000003"/>
    <s v="Romina"/>
    <n v="3.6"/>
  </r>
  <r>
    <n v="2079"/>
    <d v="2018-01-17T00:00:00"/>
    <x v="702"/>
    <x v="0"/>
    <s v="Departamento"/>
    <n v="216"/>
    <s v="Venta"/>
    <n v="55419.76"/>
    <n v="1448454"/>
    <n v="1158763.2"/>
    <n v="234271.04000000004"/>
    <s v="Arturo"/>
    <n v="4.2"/>
  </r>
  <r>
    <n v="2080"/>
    <d v="2018-01-18T00:00:00"/>
    <x v="547"/>
    <x v="3"/>
    <s v="Estacionamiento"/>
    <n v="229"/>
    <s v="Venta"/>
    <n v="80817.240000000005"/>
    <n v="2086091"/>
    <n v="1668872.8"/>
    <n v="336400.95999999996"/>
    <s v="Ángeles"/>
    <n v="4.5999999999999996"/>
  </r>
  <r>
    <n v="2081"/>
    <d v="2018-01-18T00:00:00"/>
    <x v="636"/>
    <x v="0"/>
    <s v="Estacionamiento"/>
    <n v="62"/>
    <s v="Alquiler"/>
    <n v="19396.400000000001"/>
    <n v="537095"/>
    <n v="429676"/>
    <n v="88022.6"/>
    <s v="Sabrina"/>
    <n v="3.9"/>
  </r>
  <r>
    <n v="2082"/>
    <d v="2018-01-19T00:00:00"/>
    <x v="814"/>
    <x v="0"/>
    <s v="Terreno"/>
    <n v="110"/>
    <s v="Venta"/>
    <n v="36424.480000000003"/>
    <n v="975047"/>
    <n v="780037.6"/>
    <n v="158584.92000000001"/>
    <s v="Ángeles"/>
    <n v="4.2"/>
  </r>
  <r>
    <n v="2083"/>
    <d v="2018-01-19T00:00:00"/>
    <x v="645"/>
    <x v="2"/>
    <s v="Casa"/>
    <n v="263"/>
    <s v="Venta"/>
    <n v="89052.12"/>
    <n v="2281688"/>
    <n v="1825350.4"/>
    <n v="367285.4800000001"/>
    <s v="Ángeles"/>
    <n v="4.2"/>
  </r>
  <r>
    <n v="2084"/>
    <d v="2018-01-19T00:00:00"/>
    <x v="815"/>
    <x v="3"/>
    <s v="Depósito"/>
    <n v="181"/>
    <s v="Venta"/>
    <n v="56138.8"/>
    <n v="1458705"/>
    <n v="1166964"/>
    <n v="235602.2"/>
    <s v="Ángeles"/>
    <n v="3.9"/>
  </r>
  <r>
    <n v="2085"/>
    <d v="2018-01-19T00:00:00"/>
    <x v="728"/>
    <x v="1"/>
    <s v="Departamento"/>
    <n v="291"/>
    <s v="Venta"/>
    <n v="94636.28"/>
    <n v="2424317"/>
    <n v="1939453.6"/>
    <n v="390227.11999999988"/>
    <s v="Ángeles"/>
    <n v="4.3"/>
  </r>
  <r>
    <n v="2086"/>
    <d v="2018-01-20T00:00:00"/>
    <x v="777"/>
    <x v="3"/>
    <s v="Terreno"/>
    <n v="250"/>
    <s v="Venta"/>
    <n v="56123.199999999997"/>
    <n v="1464965"/>
    <n v="1171972"/>
    <n v="236869.8"/>
    <s v="Arturo"/>
    <n v="3.9"/>
  </r>
  <r>
    <n v="2087"/>
    <d v="2018-01-20T00:00:00"/>
    <x v="730"/>
    <x v="2"/>
    <s v="Departamento"/>
    <n v="261"/>
    <s v="Venta"/>
    <n v="83749.399999999994"/>
    <n v="2156220"/>
    <n v="1724976"/>
    <n v="347494.6"/>
    <s v="Arturo"/>
    <n v="4.0999999999999996"/>
  </r>
  <r>
    <n v="2088"/>
    <d v="2018-01-21T00:00:00"/>
    <x v="816"/>
    <x v="3"/>
    <s v="Local Comercial"/>
    <n v="98"/>
    <s v="Alquiler"/>
    <n v="26369.040000000001"/>
    <n v="710761"/>
    <n v="568608.80000000005"/>
    <n v="115783.15999999995"/>
    <s v="Sabrina"/>
    <n v="4.7"/>
  </r>
  <r>
    <n v="2089"/>
    <d v="2018-01-21T00:00:00"/>
    <x v="773"/>
    <x v="1"/>
    <s v="Estacionamiento"/>
    <n v="35"/>
    <s v="Alquiler"/>
    <n v="9086.44"/>
    <n v="291546"/>
    <n v="233236.8"/>
    <n v="49222.760000000009"/>
    <s v="Arturo"/>
    <n v="4.3"/>
  </r>
  <r>
    <n v="2090"/>
    <d v="2018-01-21T00:00:00"/>
    <x v="717"/>
    <x v="3"/>
    <s v="Departamento"/>
    <n v="175"/>
    <s v="Venta"/>
    <n v="43416.84"/>
    <n v="1141331"/>
    <n v="913064.8"/>
    <n v="184849.35999999996"/>
    <s v="Iván"/>
    <n v="3.8"/>
  </r>
  <r>
    <n v="2091"/>
    <d v="2018-01-23T00:00:00"/>
    <x v="817"/>
    <x v="3"/>
    <s v="Depósito"/>
    <n v="164"/>
    <s v="Venta"/>
    <n v="51110.12"/>
    <n v="1334888"/>
    <n v="1067910.3999999999"/>
    <n v="215867.4800000001"/>
    <s v="Romina"/>
    <n v="4.0999999999999996"/>
  </r>
  <r>
    <n v="2092"/>
    <d v="2018-01-23T00:00:00"/>
    <x v="716"/>
    <x v="2"/>
    <s v="Oficinas"/>
    <n v="78"/>
    <s v="Alquiler"/>
    <n v="17811.400000000001"/>
    <n v="509170"/>
    <n v="407336"/>
    <n v="84022.6"/>
    <s v="Arturo"/>
    <n v="4.5"/>
  </r>
  <r>
    <n v="2093"/>
    <d v="2018-01-23T00:00:00"/>
    <x v="661"/>
    <x v="0"/>
    <s v="Departamento"/>
    <n v="287"/>
    <s v="Venta"/>
    <n v="46491.64"/>
    <n v="1219326"/>
    <n v="975460.8"/>
    <n v="197373.55999999994"/>
    <s v="Ángeles"/>
    <n v="4.8"/>
  </r>
  <r>
    <n v="2094"/>
    <d v="2018-01-23T00:00:00"/>
    <x v="781"/>
    <x v="2"/>
    <s v="Local Comercial"/>
    <n v="149"/>
    <s v="Venta"/>
    <n v="56389.72"/>
    <n v="1463603"/>
    <n v="1170882.3999999999"/>
    <n v="236330.88000000009"/>
    <s v="Arturo"/>
    <n v="4.4000000000000004"/>
  </r>
  <r>
    <n v="2095"/>
    <d v="2018-01-23T00:00:00"/>
    <x v="716"/>
    <x v="1"/>
    <s v="Casa"/>
    <n v="37"/>
    <s v="Alquiler"/>
    <n v="10058.200000000001"/>
    <n v="309365"/>
    <n v="247492"/>
    <n v="51814.8"/>
    <s v="Ángeles"/>
    <n v="3.8"/>
  </r>
  <r>
    <n v="2096"/>
    <d v="2018-01-23T00:00:00"/>
    <x v="778"/>
    <x v="3"/>
    <s v="Terreno"/>
    <n v="133"/>
    <s v="Venta"/>
    <n v="32489.64"/>
    <n v="867801"/>
    <n v="694240.8"/>
    <n v="141070.55999999994"/>
    <s v="Iván"/>
    <n v="4.4000000000000004"/>
  </r>
  <r>
    <n v="2097"/>
    <d v="2018-01-23T00:00:00"/>
    <x v="818"/>
    <x v="2"/>
    <s v="Oficinas"/>
    <n v="184"/>
    <s v="Venta"/>
    <n v="57812.4"/>
    <n v="1505945"/>
    <n v="1204756"/>
    <n v="243376.6"/>
    <s v="Romina"/>
    <n v="4.5999999999999996"/>
  </r>
  <r>
    <n v="2098"/>
    <d v="2018-01-24T00:00:00"/>
    <x v="757"/>
    <x v="2"/>
    <s v="Estacionamiento"/>
    <n v="116"/>
    <s v="Venta"/>
    <n v="44498.96"/>
    <n v="1169684"/>
    <n v="935747.2"/>
    <n v="189437.84000000005"/>
    <s v="Sabrina"/>
    <n v="3.7"/>
  </r>
  <r>
    <n v="2099"/>
    <d v="2018-01-24T00:00:00"/>
    <x v="647"/>
    <x v="2"/>
    <s v="Casa"/>
    <n v="140"/>
    <s v="Venta"/>
    <n v="48986.400000000001"/>
    <n v="1284245"/>
    <n v="1027396"/>
    <n v="207862.6"/>
    <s v="Sabrina"/>
    <n v="4.5"/>
  </r>
  <r>
    <n v="2100"/>
    <d v="2018-01-24T00:00:00"/>
    <x v="798"/>
    <x v="1"/>
    <s v="Estacionamiento"/>
    <n v="74"/>
    <s v="Alquiler"/>
    <n v="28338.2"/>
    <n v="764165"/>
    <n v="611332"/>
    <n v="124494.8"/>
    <s v="Carlos"/>
    <n v="4.7"/>
  </r>
  <r>
    <n v="2101"/>
    <d v="2018-01-24T00:00:00"/>
    <x v="625"/>
    <x v="1"/>
    <s v="Casa"/>
    <n v="215"/>
    <s v="Venta"/>
    <n v="60256.6"/>
    <n v="1559325"/>
    <n v="1247460"/>
    <n v="251608.4"/>
    <s v="Ángeles"/>
    <n v="3.9"/>
  </r>
  <r>
    <n v="2102"/>
    <d v="2018-01-24T00:00:00"/>
    <x v="550"/>
    <x v="1"/>
    <s v="Terreno"/>
    <n v="191"/>
    <s v="Venta"/>
    <n v="58450.44"/>
    <n v="1526396"/>
    <n v="1221116.8"/>
    <n v="246828.75999999995"/>
    <s v="Romina"/>
    <n v="4"/>
  </r>
  <r>
    <n v="2103"/>
    <d v="2018-01-25T00:00:00"/>
    <x v="643"/>
    <x v="0"/>
    <s v="Depósito"/>
    <n v="226"/>
    <s v="Venta"/>
    <n v="56745.36"/>
    <n v="1483994"/>
    <n v="1187195.2"/>
    <n v="240053.44000000006"/>
    <s v="Carlos"/>
    <n v="4.5999999999999996"/>
  </r>
  <r>
    <n v="2104"/>
    <d v="2018-01-25T00:00:00"/>
    <x v="717"/>
    <x v="0"/>
    <s v="Local Comercial"/>
    <n v="218"/>
    <s v="Venta"/>
    <n v="77669.960000000006"/>
    <n v="2007359"/>
    <n v="1605887.2"/>
    <n v="323801.84000000003"/>
    <s v="Carlos"/>
    <n v="4.2"/>
  </r>
  <r>
    <n v="2105"/>
    <d v="2018-01-25T00:00:00"/>
    <x v="604"/>
    <x v="1"/>
    <s v="Terreno"/>
    <n v="232"/>
    <s v="Venta"/>
    <n v="56665.08"/>
    <n v="1475312"/>
    <n v="1180249.6000000001"/>
    <n v="238397.31999999989"/>
    <s v="Arturo"/>
    <n v="3.8"/>
  </r>
  <r>
    <n v="2106"/>
    <d v="2018-01-25T00:00:00"/>
    <x v="735"/>
    <x v="3"/>
    <s v="Departamento"/>
    <n v="206"/>
    <s v="Venta"/>
    <n v="56419.6"/>
    <n v="1477025"/>
    <n v="1181620"/>
    <n v="238985.4"/>
    <s v="Iván"/>
    <n v="4.5"/>
  </r>
  <r>
    <n v="2107"/>
    <d v="2018-01-25T00:00:00"/>
    <x v="819"/>
    <x v="1"/>
    <s v="Casa"/>
    <n v="80"/>
    <s v="Venta"/>
    <n v="31681.119999999999"/>
    <n v="852713"/>
    <n v="682170.4"/>
    <n v="138861.47999999998"/>
    <s v="Iván"/>
    <n v="5"/>
  </r>
  <r>
    <n v="2108"/>
    <d v="2018-01-26T00:00:00"/>
    <x v="820"/>
    <x v="3"/>
    <s v="Terreno"/>
    <n v="132"/>
    <s v="Venta"/>
    <n v="47082.400000000001"/>
    <n v="1233970"/>
    <n v="987176"/>
    <n v="199711.6"/>
    <s v="Arturo"/>
    <n v="4.2"/>
  </r>
  <r>
    <n v="2109"/>
    <d v="2018-01-26T00:00:00"/>
    <x v="821"/>
    <x v="1"/>
    <s v="Departamento"/>
    <n v="87"/>
    <s v="Alquiler"/>
    <n v="20332.68"/>
    <n v="565377"/>
    <n v="452301.6"/>
    <n v="92742.72000000003"/>
    <s v="Ángeles"/>
    <n v="3.8"/>
  </r>
  <r>
    <n v="2110"/>
    <d v="2018-01-26T00:00:00"/>
    <x v="661"/>
    <x v="2"/>
    <s v="Estacionamiento"/>
    <n v="267"/>
    <s v="Venta"/>
    <n v="60217.16"/>
    <n v="1564739"/>
    <n v="1251791.2"/>
    <n v="252730.64000000004"/>
    <s v="Arturo"/>
    <n v="4"/>
  </r>
  <r>
    <n v="2111"/>
    <d v="2018-01-26T00:00:00"/>
    <x v="737"/>
    <x v="3"/>
    <s v="Departamento"/>
    <n v="255"/>
    <s v="Venta"/>
    <n v="88693.96"/>
    <n v="2270384"/>
    <n v="1816307.2"/>
    <n v="365382.84"/>
    <s v="Sabrina"/>
    <n v="4"/>
  </r>
  <r>
    <n v="2112"/>
    <d v="2018-01-26T00:00:00"/>
    <x v="728"/>
    <x v="2"/>
    <s v="Local Comercial"/>
    <n v="74"/>
    <s v="Alquiler"/>
    <n v="27303.4"/>
    <n v="746045"/>
    <n v="596836"/>
    <n v="121905.60000000001"/>
    <s v="Carlos"/>
    <n v="4.4000000000000004"/>
  </r>
  <r>
    <n v="2113"/>
    <d v="2018-01-26T00:00:00"/>
    <x v="684"/>
    <x v="1"/>
    <s v="Depósito"/>
    <n v="251"/>
    <s v="Venta"/>
    <n v="83664.88"/>
    <n v="2147957"/>
    <n v="1718365.6"/>
    <n v="345926.5199999999"/>
    <s v="Carlos"/>
    <n v="3.6"/>
  </r>
  <r>
    <n v="2114"/>
    <d v="2018-01-27T00:00:00"/>
    <x v="636"/>
    <x v="3"/>
    <s v="Local Comercial"/>
    <n v="130"/>
    <s v="Alquiler"/>
    <n v="25367.759999999998"/>
    <n v="693229"/>
    <n v="554583.19999999995"/>
    <n v="113278.04000000005"/>
    <s v="Sabrina"/>
    <n v="4.9000000000000004"/>
  </r>
  <r>
    <n v="2115"/>
    <d v="2018-01-28T00:00:00"/>
    <x v="700"/>
    <x v="2"/>
    <s v="Oficinas"/>
    <n v="249"/>
    <s v="Venta"/>
    <n v="67752.679999999993"/>
    <n v="1750477"/>
    <n v="1400381.6"/>
    <n v="282342.71999999991"/>
    <s v="Arturo"/>
    <n v="4.5"/>
  </r>
  <r>
    <n v="2116"/>
    <d v="2018-01-28T00:00:00"/>
    <x v="708"/>
    <x v="3"/>
    <s v="Oficinas"/>
    <n v="289"/>
    <s v="Venta"/>
    <n v="53024.84"/>
    <n v="1391531"/>
    <n v="1113224.8"/>
    <n v="225281.35999999996"/>
    <s v="Iván"/>
    <n v="4.9000000000000004"/>
  </r>
  <r>
    <n v="2117"/>
    <d v="2018-01-29T00:00:00"/>
    <x v="822"/>
    <x v="3"/>
    <s v="Local Comercial"/>
    <n v="89"/>
    <s v="Alquiler"/>
    <n v="28844.6"/>
    <n v="785275"/>
    <n v="628220"/>
    <n v="128210.4"/>
    <s v="Sabrina"/>
    <n v="3.9"/>
  </r>
  <r>
    <n v="2118"/>
    <d v="2018-01-29T00:00:00"/>
    <x v="823"/>
    <x v="2"/>
    <s v="Local Comercial"/>
    <n v="241"/>
    <s v="Venta"/>
    <n v="50730.68"/>
    <n v="1322327"/>
    <n v="1057861.6000000001"/>
    <n v="213734.71999999991"/>
    <s v="Iván"/>
    <n v="4.5999999999999996"/>
  </r>
  <r>
    <n v="2119"/>
    <d v="2018-01-29T00:00:00"/>
    <x v="767"/>
    <x v="2"/>
    <s v="Oficinas"/>
    <n v="93"/>
    <s v="Alquiler"/>
    <n v="19658"/>
    <n v="546085"/>
    <n v="436868"/>
    <n v="89559"/>
    <s v="Arturo"/>
    <n v="4.0999999999999996"/>
  </r>
  <r>
    <n v="2120"/>
    <d v="2018-01-30T00:00:00"/>
    <x v="813"/>
    <x v="3"/>
    <s v="Depósito"/>
    <n v="70"/>
    <s v="Alquiler"/>
    <n v="13953"/>
    <n v="415385"/>
    <n v="332308"/>
    <n v="69124"/>
    <s v="Romina"/>
    <n v="4.4000000000000004"/>
  </r>
  <r>
    <n v="2121"/>
    <d v="2018-01-30T00:00:00"/>
    <x v="784"/>
    <x v="0"/>
    <s v="Terreno"/>
    <n v="166"/>
    <s v="Venta"/>
    <n v="31346.44"/>
    <n v="846671"/>
    <n v="677336.8"/>
    <n v="137987.75999999995"/>
    <s v="Carlos"/>
    <n v="4.8"/>
  </r>
  <r>
    <n v="2122"/>
    <d v="2018-01-30T00:00:00"/>
    <x v="824"/>
    <x v="0"/>
    <s v="Casa"/>
    <n v="119"/>
    <s v="Alquiler"/>
    <n v="29643.360000000001"/>
    <n v="793919"/>
    <n v="635135.19999999995"/>
    <n v="129140.44000000005"/>
    <s v="Arturo"/>
    <n v="3.8"/>
  </r>
  <r>
    <n v="2123"/>
    <d v="2018-01-31T00:00:00"/>
    <x v="776"/>
    <x v="0"/>
    <s v="Departamento"/>
    <n v="52"/>
    <s v="Alquiler"/>
    <n v="21010.639999999999"/>
    <n v="587301"/>
    <n v="469840.8"/>
    <n v="96449.560000000012"/>
    <s v="Iván"/>
    <n v="4.0999999999999996"/>
  </r>
  <r>
    <n v="2124"/>
    <d v="2018-02-01T00:00:00"/>
    <x v="825"/>
    <x v="1"/>
    <s v="Casa"/>
    <n v="86"/>
    <s v="Alquiler"/>
    <n v="18344.84"/>
    <n v="511656"/>
    <n v="409324.79999999999"/>
    <n v="83986.360000000015"/>
    <s v="Sabrina"/>
    <n v="3.7"/>
  </r>
  <r>
    <n v="2125"/>
    <d v="2018-02-01T00:00:00"/>
    <x v="826"/>
    <x v="2"/>
    <s v="Casa"/>
    <n v="90"/>
    <s v="Alquiler"/>
    <n v="25161"/>
    <n v="687235"/>
    <n v="549788"/>
    <n v="112286"/>
    <s v="Romina"/>
    <n v="4.5999999999999996"/>
  </r>
  <r>
    <n v="2126"/>
    <d v="2018-02-01T00:00:00"/>
    <x v="624"/>
    <x v="0"/>
    <s v="Oficinas"/>
    <n v="245"/>
    <s v="Venta"/>
    <n v="94235"/>
    <n v="2417885"/>
    <n v="1934308"/>
    <n v="389342"/>
    <s v="Ángeles"/>
    <n v="5"/>
  </r>
  <r>
    <n v="2127"/>
    <d v="2018-02-01T00:00:00"/>
    <x v="804"/>
    <x v="0"/>
    <s v="Departamento"/>
    <n v="154"/>
    <s v="Venta"/>
    <n v="55152.84"/>
    <n v="1446031"/>
    <n v="1156824.8"/>
    <n v="234053.35999999996"/>
    <s v="Arturo"/>
    <n v="3.6"/>
  </r>
  <r>
    <n v="2128"/>
    <d v="2018-02-02T00:00:00"/>
    <x v="807"/>
    <x v="3"/>
    <s v="Estacionamiento"/>
    <n v="258"/>
    <s v="Venta"/>
    <n v="86126.28"/>
    <n v="2217917"/>
    <n v="1774333.6"/>
    <n v="357457.11999999988"/>
    <s v="Ángeles"/>
    <n v="4"/>
  </r>
  <r>
    <n v="2129"/>
    <d v="2018-02-02T00:00:00"/>
    <x v="825"/>
    <x v="1"/>
    <s v="Departamento"/>
    <n v="227"/>
    <s v="Venta"/>
    <n v="50635.64"/>
    <n v="1323251"/>
    <n v="1058600.8"/>
    <n v="214014.55999999994"/>
    <s v="Sabrina"/>
    <n v="4.0999999999999996"/>
  </r>
  <r>
    <n v="2130"/>
    <d v="2018-02-02T00:00:00"/>
    <x v="807"/>
    <x v="0"/>
    <s v="Terreno"/>
    <n v="162"/>
    <s v="Venta"/>
    <n v="35909.72"/>
    <n v="964853"/>
    <n v="771882.4"/>
    <n v="157060.87999999998"/>
    <s v="Iván"/>
    <n v="4.4000000000000004"/>
  </r>
  <r>
    <n v="2131"/>
    <d v="2018-02-02T00:00:00"/>
    <x v="756"/>
    <x v="0"/>
    <s v="Casa"/>
    <n v="283"/>
    <s v="Venta"/>
    <n v="71916.92"/>
    <n v="1856933"/>
    <n v="1485546.4"/>
    <n v="299469.68000000011"/>
    <s v="Carlos"/>
    <n v="4.5999999999999996"/>
  </r>
  <r>
    <n v="2132"/>
    <d v="2018-02-03T00:00:00"/>
    <x v="754"/>
    <x v="3"/>
    <s v="Oficinas"/>
    <n v="207"/>
    <s v="Venta"/>
    <n v="58594.400000000001"/>
    <n v="1519295"/>
    <n v="1215436"/>
    <n v="245264.6"/>
    <s v="Romina"/>
    <n v="4.2"/>
  </r>
  <r>
    <n v="2133"/>
    <d v="2018-02-03T00:00:00"/>
    <x v="811"/>
    <x v="0"/>
    <s v="Local Comercial"/>
    <n v="37"/>
    <s v="Alquiler"/>
    <n v="6795.2"/>
    <n v="226765"/>
    <n v="181412"/>
    <n v="38557.800000000003"/>
    <s v="Carlos"/>
    <n v="4.0999999999999996"/>
  </r>
  <r>
    <n v="2134"/>
    <d v="2018-02-03T00:00:00"/>
    <x v="765"/>
    <x v="1"/>
    <s v="Terreno"/>
    <n v="230"/>
    <s v="Venta"/>
    <n v="90889.8"/>
    <n v="2327030"/>
    <n v="1861624"/>
    <n v="374516.2"/>
    <s v="Romina"/>
    <n v="4.9000000000000004"/>
  </r>
  <r>
    <n v="2135"/>
    <d v="2018-02-04T00:00:00"/>
    <x v="704"/>
    <x v="0"/>
    <s v="Departamento"/>
    <n v="280"/>
    <s v="Venta"/>
    <n v="67143.48"/>
    <n v="1745522"/>
    <n v="1396417.6"/>
    <n v="281960.91999999993"/>
    <s v="Romina"/>
    <n v="4.5"/>
  </r>
  <r>
    <n v="2136"/>
    <d v="2018-02-04T00:00:00"/>
    <x v="627"/>
    <x v="3"/>
    <s v="Oficinas"/>
    <n v="64"/>
    <s v="Alquiler"/>
    <n v="25576.560000000001"/>
    <n v="706149"/>
    <n v="564919.19999999995"/>
    <n v="115653.24000000005"/>
    <s v="Iván"/>
    <n v="3.7"/>
  </r>
  <r>
    <n v="2137"/>
    <d v="2018-02-04T00:00:00"/>
    <x v="827"/>
    <x v="0"/>
    <s v="Oficinas"/>
    <n v="211"/>
    <s v="Venta"/>
    <n v="47136"/>
    <n v="1240685"/>
    <n v="992548"/>
    <n v="201001"/>
    <s v="Carlos"/>
    <n v="4.2"/>
  </r>
  <r>
    <n v="2138"/>
    <d v="2018-02-04T00:00:00"/>
    <x v="675"/>
    <x v="1"/>
    <s v="Departamento"/>
    <n v="103"/>
    <s v="Venta"/>
    <n v="40989.800000000003"/>
    <n v="1077605"/>
    <n v="862084"/>
    <n v="174531.20000000001"/>
    <s v="Arturo"/>
    <n v="4.8"/>
  </r>
  <r>
    <n v="2139"/>
    <d v="2018-02-05T00:00:00"/>
    <x v="619"/>
    <x v="0"/>
    <s v="Terreno"/>
    <n v="123"/>
    <s v="Venta"/>
    <n v="44437.04"/>
    <n v="1177361"/>
    <n v="941888.8"/>
    <n v="191035.15999999995"/>
    <s v="Arturo"/>
    <n v="4.7"/>
  </r>
  <r>
    <n v="2140"/>
    <d v="2018-02-05T00:00:00"/>
    <x v="800"/>
    <x v="0"/>
    <s v="Estacionamiento"/>
    <n v="191"/>
    <s v="Venta"/>
    <n v="51542.04"/>
    <n v="1351611"/>
    <n v="1081288.8"/>
    <n v="218780.15999999995"/>
    <s v="Sabrina"/>
    <n v="4.0999999999999996"/>
  </r>
  <r>
    <n v="2141"/>
    <d v="2018-02-06T00:00:00"/>
    <x v="620"/>
    <x v="0"/>
    <s v="Local Comercial"/>
    <n v="60"/>
    <s v="Alquiler"/>
    <n v="9820.7999999999993"/>
    <n v="309030"/>
    <n v="247224"/>
    <n v="51985.2"/>
    <s v="Romina"/>
    <n v="3.6"/>
  </r>
  <r>
    <n v="2142"/>
    <d v="2018-02-06T00:00:00"/>
    <x v="827"/>
    <x v="0"/>
    <s v="Depósito"/>
    <n v="83"/>
    <s v="Venta"/>
    <n v="31517.68"/>
    <n v="844677"/>
    <n v="675741.6"/>
    <n v="137417.72000000003"/>
    <s v="Romina"/>
    <n v="4.2"/>
  </r>
  <r>
    <n v="2143"/>
    <d v="2018-02-06T00:00:00"/>
    <x v="828"/>
    <x v="3"/>
    <s v="Terreno"/>
    <n v="118"/>
    <s v="Alquiler"/>
    <n v="20839.88"/>
    <n v="573157"/>
    <n v="458525.6"/>
    <n v="93791.520000000019"/>
    <s v="Ángeles"/>
    <n v="3.9"/>
  </r>
  <r>
    <n v="2144"/>
    <d v="2018-02-07T00:00:00"/>
    <x v="689"/>
    <x v="1"/>
    <s v="Oficinas"/>
    <n v="211"/>
    <s v="Venta"/>
    <n v="66171.12"/>
    <n v="1714213"/>
    <n v="1371370.4"/>
    <n v="276671.4800000001"/>
    <s v="Arturo"/>
    <n v="3.9"/>
  </r>
  <r>
    <n v="2145"/>
    <d v="2018-02-07T00:00:00"/>
    <x v="606"/>
    <x v="3"/>
    <s v="Local Comercial"/>
    <n v="43"/>
    <s v="Alquiler"/>
    <n v="7942.68"/>
    <n v="260827"/>
    <n v="208661.6"/>
    <n v="44222.719999999994"/>
    <s v="Iván"/>
    <n v="3.9"/>
  </r>
  <r>
    <n v="2146"/>
    <d v="2018-02-07T00:00:00"/>
    <x v="783"/>
    <x v="0"/>
    <s v="Terreno"/>
    <n v="92"/>
    <s v="Alquiler"/>
    <n v="22058.400000000001"/>
    <n v="607245"/>
    <n v="485796"/>
    <n v="99390.6"/>
    <s v="Ángeles"/>
    <n v="3.6"/>
  </r>
  <r>
    <n v="2147"/>
    <d v="2018-02-07T00:00:00"/>
    <x v="829"/>
    <x v="1"/>
    <s v="Local Comercial"/>
    <n v="97"/>
    <s v="Alquiler"/>
    <n v="26231.599999999999"/>
    <n v="718725"/>
    <n v="574980"/>
    <n v="117513.4"/>
    <s v="Iván"/>
    <n v="4.0999999999999996"/>
  </r>
  <r>
    <n v="2148"/>
    <d v="2018-02-07T00:00:00"/>
    <x v="830"/>
    <x v="1"/>
    <s v="Casa"/>
    <n v="199"/>
    <s v="Venta"/>
    <n v="69038.679999999993"/>
    <n v="1783777"/>
    <n v="1427021.6"/>
    <n v="287716.71999999991"/>
    <s v="Romina"/>
    <n v="3.7"/>
  </r>
  <r>
    <n v="2149"/>
    <d v="2018-02-08T00:00:00"/>
    <x v="801"/>
    <x v="0"/>
    <s v="Oficinas"/>
    <n v="136"/>
    <s v="Alquiler"/>
    <n v="26858.76"/>
    <n v="729729"/>
    <n v="583783.19999999995"/>
    <n v="119087.04000000005"/>
    <s v="Iván"/>
    <n v="4.9000000000000004"/>
  </r>
  <r>
    <n v="2150"/>
    <d v="2018-02-08T00:00:00"/>
    <x v="831"/>
    <x v="0"/>
    <s v="Terreno"/>
    <n v="204"/>
    <s v="Venta"/>
    <n v="45452.44"/>
    <n v="1191921"/>
    <n v="953536.8"/>
    <n v="192931.75999999995"/>
    <s v="Arturo"/>
    <n v="4.2"/>
  </r>
  <r>
    <n v="2151"/>
    <d v="2018-02-09T00:00:00"/>
    <x v="832"/>
    <x v="3"/>
    <s v="Departamento"/>
    <n v="36"/>
    <s v="Alquiler"/>
    <n v="11538.6"/>
    <n v="339850"/>
    <n v="271880"/>
    <n v="56431.4"/>
    <s v="Arturo"/>
    <n v="5"/>
  </r>
  <r>
    <n v="2152"/>
    <d v="2018-02-09T00:00:00"/>
    <x v="682"/>
    <x v="2"/>
    <s v="Terreno"/>
    <n v="288"/>
    <s v="Venta"/>
    <n v="51142.76"/>
    <n v="1335354"/>
    <n v="1068283.2"/>
    <n v="215928.04000000004"/>
    <s v="Iván"/>
    <n v="4.3"/>
  </r>
  <r>
    <n v="2153"/>
    <d v="2018-02-09T00:00:00"/>
    <x v="833"/>
    <x v="2"/>
    <s v="Depósito"/>
    <n v="221"/>
    <s v="Venta"/>
    <n v="79288.28"/>
    <n v="2037717"/>
    <n v="1630173.6"/>
    <n v="328255.11999999988"/>
    <s v="Ángeles"/>
    <n v="4.2"/>
  </r>
  <r>
    <n v="2154"/>
    <d v="2018-02-09T00:00:00"/>
    <x v="807"/>
    <x v="2"/>
    <s v="Oficinas"/>
    <n v="194"/>
    <s v="Venta"/>
    <n v="60434"/>
    <n v="1576285"/>
    <n v="1261028"/>
    <n v="254823"/>
    <s v="Romina"/>
    <n v="4.9000000000000004"/>
  </r>
  <r>
    <n v="2155"/>
    <d v="2018-02-09T00:00:00"/>
    <x v="788"/>
    <x v="0"/>
    <s v="Departamento"/>
    <n v="245"/>
    <s v="Venta"/>
    <n v="77129.8"/>
    <n v="1985705"/>
    <n v="1588564"/>
    <n v="320011.2"/>
    <s v="Romina"/>
    <n v="3.7"/>
  </r>
  <r>
    <n v="2156"/>
    <d v="2018-02-09T00:00:00"/>
    <x v="726"/>
    <x v="0"/>
    <s v="Terreno"/>
    <n v="253"/>
    <s v="Venta"/>
    <n v="64120.24"/>
    <n v="1664041"/>
    <n v="1331232.8"/>
    <n v="268687.95999999996"/>
    <s v="Ángeles"/>
    <n v="4.9000000000000004"/>
  </r>
  <r>
    <n v="2157"/>
    <d v="2018-02-10T00:00:00"/>
    <x v="834"/>
    <x v="3"/>
    <s v="Oficinas"/>
    <n v="248"/>
    <s v="Venta"/>
    <n v="60283.88"/>
    <n v="1558707"/>
    <n v="1246965.6000000001"/>
    <n v="251457.5199999999"/>
    <s v="Ángeles"/>
    <n v="4.4000000000000004"/>
  </r>
  <r>
    <n v="2158"/>
    <d v="2018-02-11T00:00:00"/>
    <x v="812"/>
    <x v="3"/>
    <s v="Local Comercial"/>
    <n v="92"/>
    <s v="Alquiler"/>
    <n v="25373.84"/>
    <n v="689381"/>
    <n v="551504.80000000005"/>
    <n v="112502.35999999996"/>
    <s v="Carlos"/>
    <n v="4.3"/>
  </r>
  <r>
    <n v="2159"/>
    <d v="2018-02-11T00:00:00"/>
    <x v="639"/>
    <x v="1"/>
    <s v="Oficinas"/>
    <n v="226"/>
    <s v="Venta"/>
    <n v="45188.76"/>
    <n v="1194029"/>
    <n v="955223.2"/>
    <n v="193617.04000000004"/>
    <s v="Iván"/>
    <n v="3.8"/>
  </r>
  <r>
    <n v="2160"/>
    <d v="2018-02-12T00:00:00"/>
    <x v="691"/>
    <x v="3"/>
    <s v="Local Comercial"/>
    <n v="114"/>
    <s v="Alquiler"/>
    <n v="28324.44"/>
    <n v="771271"/>
    <n v="617016.80000000005"/>
    <n v="125929.75999999995"/>
    <s v="Carlos"/>
    <n v="4.2"/>
  </r>
  <r>
    <n v="2161"/>
    <d v="2018-02-12T00:00:00"/>
    <x v="750"/>
    <x v="1"/>
    <s v="Casa"/>
    <n v="206"/>
    <s v="Venta"/>
    <n v="59523.4"/>
    <n v="1547645"/>
    <n v="1238116"/>
    <n v="250005.6"/>
    <s v="Sabrina"/>
    <n v="4.7"/>
  </r>
  <r>
    <n v="2162"/>
    <d v="2018-02-12T00:00:00"/>
    <x v="835"/>
    <x v="1"/>
    <s v="Estacionamiento"/>
    <n v="178"/>
    <s v="Venta"/>
    <n v="33591.919999999998"/>
    <n v="900733"/>
    <n v="720586.4"/>
    <n v="146554.68"/>
    <s v="Ángeles"/>
    <n v="4.9000000000000004"/>
  </r>
  <r>
    <n v="2163"/>
    <d v="2018-02-12T00:00:00"/>
    <x v="627"/>
    <x v="3"/>
    <s v="Terreno"/>
    <n v="138"/>
    <s v="Venta"/>
    <n v="55246.879999999997"/>
    <n v="1438307"/>
    <n v="1150645.6000000001"/>
    <n v="232414.5199999999"/>
    <s v="Ángeles"/>
    <n v="4.7"/>
  </r>
  <r>
    <n v="2164"/>
    <d v="2018-02-12T00:00:00"/>
    <x v="836"/>
    <x v="2"/>
    <s v="Local Comercial"/>
    <n v="59"/>
    <s v="Alquiler"/>
    <n v="19324.599999999999"/>
    <n v="543025"/>
    <n v="434420"/>
    <n v="89280.4"/>
    <s v="Carlos"/>
    <n v="4.0999999999999996"/>
  </r>
  <r>
    <n v="2165"/>
    <d v="2018-02-13T00:00:00"/>
    <x v="837"/>
    <x v="1"/>
    <s v="Estacionamiento"/>
    <n v="76"/>
    <s v="Alquiler"/>
    <n v="17019.96"/>
    <n v="480784"/>
    <n v="384627.20000000001"/>
    <n v="79136.84"/>
    <s v="Carlos"/>
    <n v="3.6"/>
  </r>
  <r>
    <n v="2166"/>
    <d v="2018-02-14T00:00:00"/>
    <x v="837"/>
    <x v="2"/>
    <s v="Depósito"/>
    <n v="128"/>
    <s v="Venta"/>
    <n v="45808.68"/>
    <n v="1200027"/>
    <n v="960021.6"/>
    <n v="194196.72000000003"/>
    <s v="Sabrina"/>
    <n v="4.8"/>
  </r>
  <r>
    <n v="2167"/>
    <d v="2018-02-15T00:00:00"/>
    <x v="838"/>
    <x v="2"/>
    <s v="Local Comercial"/>
    <n v="146"/>
    <s v="Venta"/>
    <n v="56460.44"/>
    <n v="1472696"/>
    <n v="1178156.8"/>
    <n v="238078.75999999995"/>
    <s v="Ángeles"/>
    <n v="4.5"/>
  </r>
  <r>
    <n v="2168"/>
    <d v="2018-02-15T00:00:00"/>
    <x v="645"/>
    <x v="1"/>
    <s v="Oficinas"/>
    <n v="80"/>
    <s v="Alquiler"/>
    <n v="18145.68"/>
    <n v="518477"/>
    <n v="414781.6"/>
    <n v="85549.72000000003"/>
    <s v="Iván"/>
    <n v="4.4000000000000004"/>
  </r>
  <r>
    <n v="2169"/>
    <d v="2018-02-15T00:00:00"/>
    <x v="748"/>
    <x v="3"/>
    <s v="Terreno"/>
    <n v="223"/>
    <s v="Venta"/>
    <n v="81850.44"/>
    <n v="2106271"/>
    <n v="1685016.8"/>
    <n v="339403.75999999995"/>
    <s v="Sabrina"/>
    <n v="4.4000000000000004"/>
  </r>
  <r>
    <n v="2170"/>
    <d v="2018-02-15T00:00:00"/>
    <x v="689"/>
    <x v="2"/>
    <s v="Estacionamiento"/>
    <n v="129"/>
    <s v="Venta"/>
    <n v="38261.56"/>
    <n v="1010249"/>
    <n v="808199.2"/>
    <n v="163788.24000000005"/>
    <s v="Carlos"/>
    <n v="4.9000000000000004"/>
  </r>
  <r>
    <n v="2171"/>
    <d v="2018-02-16T00:00:00"/>
    <x v="818"/>
    <x v="2"/>
    <s v="Departamento"/>
    <n v="111"/>
    <s v="Alquiler"/>
    <n v="24498.720000000001"/>
    <n v="673403"/>
    <n v="538722.4"/>
    <n v="110181.87999999998"/>
    <s v="Sabrina"/>
    <n v="5"/>
  </r>
  <r>
    <n v="2172"/>
    <d v="2018-02-16T00:00:00"/>
    <x v="791"/>
    <x v="2"/>
    <s v="Estacionamiento"/>
    <n v="196"/>
    <s v="Venta"/>
    <n v="68090.880000000005"/>
    <n v="1769507"/>
    <n v="1415605.6"/>
    <n v="285810.5199999999"/>
    <s v="Arturo"/>
    <n v="3.9"/>
  </r>
  <r>
    <n v="2173"/>
    <d v="2018-02-16T00:00:00"/>
    <x v="711"/>
    <x v="3"/>
    <s v="Terreno"/>
    <n v="274"/>
    <s v="Venta"/>
    <n v="92085.96"/>
    <n v="2367809"/>
    <n v="1894247.2"/>
    <n v="381475.84000000003"/>
    <s v="Carlos"/>
    <n v="3.7"/>
  </r>
  <r>
    <n v="2174"/>
    <d v="2018-02-16T00:00:00"/>
    <x v="691"/>
    <x v="1"/>
    <s v="Oficinas"/>
    <n v="185"/>
    <s v="Venta"/>
    <n v="60822.04"/>
    <n v="1578461"/>
    <n v="1262768.8"/>
    <n v="254870.15999999995"/>
    <s v="Carlos"/>
    <n v="3.8"/>
  </r>
  <r>
    <n v="2175"/>
    <d v="2018-02-16T00:00:00"/>
    <x v="836"/>
    <x v="3"/>
    <s v="Terreno"/>
    <n v="112"/>
    <s v="Alquiler"/>
    <n v="21804.28"/>
    <n v="597617"/>
    <n v="478093.6"/>
    <n v="97719.120000000024"/>
    <s v="Sabrina"/>
    <n v="3.7"/>
  </r>
  <r>
    <n v="2176"/>
    <d v="2018-02-16T00:00:00"/>
    <x v="764"/>
    <x v="3"/>
    <s v="Local Comercial"/>
    <n v="269"/>
    <s v="Venta"/>
    <n v="51013.8"/>
    <n v="1339205"/>
    <n v="1071364"/>
    <n v="216827.2"/>
    <s v="Ángeles"/>
    <n v="4.4000000000000004"/>
  </r>
  <r>
    <n v="2177"/>
    <d v="2018-02-17T00:00:00"/>
    <x v="839"/>
    <x v="3"/>
    <s v="Terreno"/>
    <n v="71"/>
    <s v="Alquiler"/>
    <n v="13434.28"/>
    <n v="402617"/>
    <n v="322093.59999999998"/>
    <n v="67089.120000000024"/>
    <s v="Iván"/>
    <n v="4.8"/>
  </r>
  <r>
    <n v="2178"/>
    <d v="2018-02-17T00:00:00"/>
    <x v="832"/>
    <x v="0"/>
    <s v="Oficinas"/>
    <n v="264"/>
    <s v="Venta"/>
    <n v="83413.36"/>
    <n v="2144594"/>
    <n v="1715675.2"/>
    <n v="345505.44000000006"/>
    <s v="Arturo"/>
    <n v="3.7"/>
  </r>
  <r>
    <n v="2179"/>
    <d v="2018-02-17T00:00:00"/>
    <x v="609"/>
    <x v="3"/>
    <s v="Oficinas"/>
    <n v="121"/>
    <s v="Venta"/>
    <n v="35930.720000000001"/>
    <n v="964728"/>
    <n v="771782.4"/>
    <n v="157014.87999999998"/>
    <s v="Ángeles"/>
    <n v="4.9000000000000004"/>
  </r>
  <r>
    <n v="2180"/>
    <d v="2018-02-17T00:00:00"/>
    <x v="840"/>
    <x v="0"/>
    <s v="Terreno"/>
    <n v="95"/>
    <s v="Alquiler"/>
    <n v="25981.8"/>
    <n v="710155"/>
    <n v="568124"/>
    <n v="116049.2"/>
    <s v="Arturo"/>
    <n v="4.8"/>
  </r>
  <r>
    <n v="2181"/>
    <d v="2018-02-17T00:00:00"/>
    <x v="841"/>
    <x v="3"/>
    <s v="Casa"/>
    <n v="149"/>
    <s v="Venta"/>
    <n v="44760.24"/>
    <n v="1176641"/>
    <n v="941312.8"/>
    <n v="190567.95999999996"/>
    <s v="Carlos"/>
    <n v="4.8"/>
  </r>
  <r>
    <n v="2182"/>
    <d v="2018-02-18T00:00:00"/>
    <x v="693"/>
    <x v="2"/>
    <s v="Oficinas"/>
    <n v="123"/>
    <s v="Venta"/>
    <n v="40155.32"/>
    <n v="1067543"/>
    <n v="854034.4"/>
    <n v="173353.27999999997"/>
    <s v="Romina"/>
    <n v="4"/>
  </r>
  <r>
    <n v="2183"/>
    <d v="2018-02-18T00:00:00"/>
    <x v="842"/>
    <x v="3"/>
    <s v="Oficinas"/>
    <n v="50"/>
    <s v="Alquiler"/>
    <n v="9876.4"/>
    <n v="298670"/>
    <n v="238936"/>
    <n v="49857.599999999999"/>
    <s v="Carlos"/>
    <n v="3.8"/>
  </r>
  <r>
    <n v="2184"/>
    <d v="2018-02-18T00:00:00"/>
    <x v="706"/>
    <x v="2"/>
    <s v="Casa"/>
    <n v="100"/>
    <s v="Venta"/>
    <n v="32894.879999999997"/>
    <n v="876007"/>
    <n v="700805.6"/>
    <n v="142306.52000000002"/>
    <s v="Sabrina"/>
    <n v="4.5999999999999996"/>
  </r>
  <r>
    <n v="2185"/>
    <d v="2018-02-18T00:00:00"/>
    <x v="843"/>
    <x v="2"/>
    <s v="Casa"/>
    <n v="82"/>
    <s v="Venta"/>
    <n v="29975.72"/>
    <n v="807453"/>
    <n v="645962.4"/>
    <n v="131514.87999999998"/>
    <s v="Sabrina"/>
    <n v="4.3"/>
  </r>
  <r>
    <n v="2186"/>
    <d v="2018-02-20T00:00:00"/>
    <x v="639"/>
    <x v="3"/>
    <s v="Estacionamiento"/>
    <n v="225"/>
    <s v="Venta"/>
    <n v="71984.44"/>
    <n v="1851821"/>
    <n v="1481456.8"/>
    <n v="298379.75999999995"/>
    <s v="Iván"/>
    <n v="4.8"/>
  </r>
  <r>
    <n v="2187"/>
    <d v="2018-02-20T00:00:00"/>
    <x v="793"/>
    <x v="3"/>
    <s v="Departamento"/>
    <n v="65"/>
    <s v="Alquiler"/>
    <n v="13046.12"/>
    <n v="378563"/>
    <n v="302850.40000000002"/>
    <n v="62666.479999999974"/>
    <s v="Arturo"/>
    <n v="3.6"/>
  </r>
  <r>
    <n v="2188"/>
    <d v="2018-02-20T00:00:00"/>
    <x v="772"/>
    <x v="0"/>
    <s v="Estacionamiento"/>
    <n v="242"/>
    <s v="Venta"/>
    <n v="65426.8"/>
    <n v="1696605"/>
    <n v="1357284"/>
    <n v="273894.2"/>
    <s v="Arturo"/>
    <n v="5"/>
  </r>
  <r>
    <n v="2189"/>
    <d v="2018-02-20T00:00:00"/>
    <x v="844"/>
    <x v="1"/>
    <s v="Casa"/>
    <n v="265"/>
    <s v="Venta"/>
    <n v="64717.36"/>
    <n v="1683894"/>
    <n v="1347115.2"/>
    <n v="272061.44000000006"/>
    <s v="Arturo"/>
    <n v="4.9000000000000004"/>
  </r>
  <r>
    <n v="2190"/>
    <d v="2018-02-20T00:00:00"/>
    <x v="790"/>
    <x v="2"/>
    <s v="Local Comercial"/>
    <n v="211"/>
    <s v="Venta"/>
    <n v="75824.52"/>
    <n v="1949123"/>
    <n v="1559298.4"/>
    <n v="314000.08000000007"/>
    <s v="Sabrina"/>
    <n v="3.8"/>
  </r>
  <r>
    <n v="2191"/>
    <d v="2018-02-20T00:00:00"/>
    <x v="845"/>
    <x v="1"/>
    <s v="Casa"/>
    <n v="83"/>
    <s v="Alquiler"/>
    <n v="21180.84"/>
    <n v="581381"/>
    <n v="465104.8"/>
    <n v="95095.360000000015"/>
    <s v="Romina"/>
    <n v="4.4000000000000004"/>
  </r>
  <r>
    <n v="2192"/>
    <d v="2018-02-21T00:00:00"/>
    <x v="839"/>
    <x v="3"/>
    <s v="Local Comercial"/>
    <n v="246"/>
    <s v="Venta"/>
    <n v="51552"/>
    <n v="1343735"/>
    <n v="1074988"/>
    <n v="217195"/>
    <s v="Sabrina"/>
    <n v="4"/>
  </r>
  <r>
    <n v="2193"/>
    <d v="2018-02-21T00:00:00"/>
    <x v="610"/>
    <x v="1"/>
    <s v="Estacionamiento"/>
    <n v="253"/>
    <s v="Venta"/>
    <n v="97949"/>
    <n v="2506485"/>
    <n v="2005188"/>
    <n v="403348"/>
    <s v="Sabrina"/>
    <n v="3.7"/>
  </r>
  <r>
    <n v="2194"/>
    <d v="2018-02-21T00:00:00"/>
    <x v="614"/>
    <x v="2"/>
    <s v="Casa"/>
    <n v="147"/>
    <s v="Venta"/>
    <n v="43432.480000000003"/>
    <n v="1145747"/>
    <n v="916597.6"/>
    <n v="185716.92"/>
    <s v="Romina"/>
    <n v="3.9"/>
  </r>
  <r>
    <n v="2195"/>
    <d v="2018-02-22T00:00:00"/>
    <x v="798"/>
    <x v="0"/>
    <s v="Estacionamiento"/>
    <n v="164"/>
    <s v="Venta"/>
    <n v="32931.08"/>
    <n v="887237"/>
    <n v="709789.6"/>
    <n v="144516.32"/>
    <s v="Carlos"/>
    <n v="4.5999999999999996"/>
  </r>
  <r>
    <n v="2196"/>
    <d v="2018-02-22T00:00:00"/>
    <x v="774"/>
    <x v="2"/>
    <s v="Casa"/>
    <n v="61"/>
    <s v="Alquiler"/>
    <n v="11764.64"/>
    <n v="356101"/>
    <n v="284880.8"/>
    <n v="59455.560000000012"/>
    <s v="Romina"/>
    <n v="4.4000000000000004"/>
  </r>
  <r>
    <n v="2197"/>
    <d v="2018-02-22T00:00:00"/>
    <x v="825"/>
    <x v="3"/>
    <s v="Casa"/>
    <n v="156"/>
    <s v="Venta"/>
    <n v="30877.4"/>
    <n v="836645"/>
    <n v="669316"/>
    <n v="136451.6"/>
    <s v="Iván"/>
    <n v="3.6"/>
  </r>
  <r>
    <n v="2198"/>
    <d v="2018-02-22T00:00:00"/>
    <x v="827"/>
    <x v="1"/>
    <s v="Departamento"/>
    <n v="103"/>
    <s v="Alquiler"/>
    <n v="27117.8"/>
    <n v="741255"/>
    <n v="593004"/>
    <n v="121133.2"/>
    <s v="Arturo"/>
    <n v="4.2"/>
  </r>
  <r>
    <n v="2199"/>
    <d v="2018-02-22T00:00:00"/>
    <x v="746"/>
    <x v="0"/>
    <s v="Depósito"/>
    <n v="187"/>
    <s v="Venta"/>
    <n v="38073.519999999997"/>
    <n v="1019048"/>
    <n v="815238.4"/>
    <n v="165736.07999999999"/>
    <s v="Arturo"/>
    <n v="4.5"/>
  </r>
  <r>
    <n v="2200"/>
    <d v="2018-02-23T00:00:00"/>
    <x v="846"/>
    <x v="1"/>
    <s v="Oficinas"/>
    <n v="266"/>
    <s v="Venta"/>
    <n v="62222.28"/>
    <n v="1622517"/>
    <n v="1298013.6000000001"/>
    <n v="262281.11999999988"/>
    <s v="Ángeles"/>
    <n v="4.9000000000000004"/>
  </r>
  <r>
    <n v="2201"/>
    <d v="2018-02-24T00:00:00"/>
    <x v="847"/>
    <x v="2"/>
    <s v="Terreno"/>
    <n v="251"/>
    <s v="Venta"/>
    <n v="62775.32"/>
    <n v="1634768"/>
    <n v="1307814.3999999999"/>
    <n v="264178.28000000009"/>
    <s v="Sabrina"/>
    <n v="4.8"/>
  </r>
  <r>
    <n v="2202"/>
    <d v="2018-02-24T00:00:00"/>
    <x v="639"/>
    <x v="2"/>
    <s v="Estacionamiento"/>
    <n v="130"/>
    <s v="Venta"/>
    <n v="29792.2"/>
    <n v="800990"/>
    <n v="640792"/>
    <n v="130405.8"/>
    <s v="Arturo"/>
    <n v="4.5999999999999996"/>
  </r>
  <r>
    <n v="2203"/>
    <d v="2018-02-24T00:00:00"/>
    <x v="848"/>
    <x v="1"/>
    <s v="Casa"/>
    <n v="75"/>
    <s v="Alquiler"/>
    <n v="16772.04"/>
    <n v="480461"/>
    <n v="384368.8"/>
    <n v="79320.160000000003"/>
    <s v="Iván"/>
    <n v="3.7"/>
  </r>
  <r>
    <n v="2204"/>
    <d v="2018-02-27T00:00:00"/>
    <x v="738"/>
    <x v="2"/>
    <s v="Departamento"/>
    <n v="76"/>
    <s v="Venta"/>
    <n v="30437.88"/>
    <n v="825182"/>
    <n v="660145.6"/>
    <n v="134598.52000000002"/>
    <s v="Sabrina"/>
    <n v="4.5"/>
  </r>
  <r>
    <n v="2205"/>
    <d v="2018-02-27T00:00:00"/>
    <x v="842"/>
    <x v="1"/>
    <s v="Estacionamiento"/>
    <n v="163"/>
    <s v="Alquiler"/>
    <n v="26268.28"/>
    <n v="721567"/>
    <n v="577253.6"/>
    <n v="118045.12000000002"/>
    <s v="Carlos"/>
    <n v="4.2"/>
  </r>
  <r>
    <n v="2206"/>
    <d v="2018-02-28T00:00:00"/>
    <x v="792"/>
    <x v="1"/>
    <s v="Departamento"/>
    <n v="117"/>
    <s v="Venta"/>
    <n v="39213.879999999997"/>
    <n v="1038607"/>
    <n v="830885.6"/>
    <n v="168507.52000000002"/>
    <s v="Arturo"/>
    <n v="4.5"/>
  </r>
  <r>
    <n v="2207"/>
    <d v="2018-02-28T00:00:00"/>
    <x v="672"/>
    <x v="2"/>
    <s v="Local Comercial"/>
    <n v="274"/>
    <s v="Venta"/>
    <n v="102055.28"/>
    <n v="2613817"/>
    <n v="2091053.6"/>
    <n v="420708.11999999988"/>
    <s v="Romina"/>
    <n v="4"/>
  </r>
  <r>
    <n v="2208"/>
    <d v="2018-02-28T00:00:00"/>
    <x v="711"/>
    <x v="0"/>
    <s v="Departamento"/>
    <n v="96"/>
    <s v="Venta"/>
    <n v="34685"/>
    <n v="925385"/>
    <n v="740308"/>
    <n v="150392"/>
    <s v="Carlos"/>
    <n v="4.2"/>
  </r>
  <r>
    <n v="2209"/>
    <d v="2018-03-01T00:00:00"/>
    <x v="849"/>
    <x v="0"/>
    <s v="Local Comercial"/>
    <n v="291"/>
    <s v="Venta"/>
    <n v="69730"/>
    <n v="1797685"/>
    <n v="1438148"/>
    <n v="289807"/>
    <s v="Carlos"/>
    <n v="4.3"/>
  </r>
  <r>
    <n v="2210"/>
    <d v="2018-03-01T00:00:00"/>
    <x v="671"/>
    <x v="0"/>
    <s v="Casa"/>
    <n v="235"/>
    <s v="Venta"/>
    <n v="67568"/>
    <n v="1742885"/>
    <n v="1394308"/>
    <n v="281009"/>
    <s v="Arturo"/>
    <n v="4.0999999999999996"/>
  </r>
  <r>
    <n v="2211"/>
    <d v="2018-03-01T00:00:00"/>
    <x v="750"/>
    <x v="3"/>
    <s v="Terreno"/>
    <n v="142"/>
    <s v="Venta"/>
    <n v="43161.84"/>
    <n v="1131631"/>
    <n v="905304.8"/>
    <n v="183164.35999999996"/>
    <s v="Ángeles"/>
    <n v="3.6"/>
  </r>
  <r>
    <n v="2212"/>
    <d v="2018-03-01T00:00:00"/>
    <x v="710"/>
    <x v="2"/>
    <s v="Local Comercial"/>
    <n v="280"/>
    <s v="Venta"/>
    <n v="52908.84"/>
    <n v="1387681"/>
    <n v="1110144.8"/>
    <n v="224627.35999999996"/>
    <s v="Iván"/>
    <n v="3.8"/>
  </r>
  <r>
    <n v="2213"/>
    <d v="2018-03-02T00:00:00"/>
    <x v="850"/>
    <x v="1"/>
    <s v="Estacionamiento"/>
    <n v="94"/>
    <s v="Alquiler"/>
    <n v="18879.96"/>
    <n v="530409"/>
    <n v="424327.2"/>
    <n v="87201.84"/>
    <s v="Sabrina"/>
    <n v="4.2"/>
  </r>
  <r>
    <n v="2214"/>
    <d v="2018-03-02T00:00:00"/>
    <x v="813"/>
    <x v="2"/>
    <s v="Depósito"/>
    <n v="243"/>
    <s v="Venta"/>
    <n v="74597.600000000006"/>
    <n v="1918925"/>
    <n v="1535140"/>
    <n v="309187.40000000002"/>
    <s v="Romina"/>
    <n v="4.2"/>
  </r>
  <r>
    <n v="2215"/>
    <d v="2018-03-02T00:00:00"/>
    <x v="802"/>
    <x v="3"/>
    <s v="Estacionamiento"/>
    <n v="135"/>
    <s v="Alquiler"/>
    <n v="25669.64"/>
    <n v="695801"/>
    <n v="556640.80000000005"/>
    <n v="113490.55999999995"/>
    <s v="Sabrina"/>
    <n v="5"/>
  </r>
  <r>
    <n v="2216"/>
    <d v="2018-03-03T00:00:00"/>
    <x v="851"/>
    <x v="3"/>
    <s v="Depósito"/>
    <n v="119"/>
    <s v="Alquiler"/>
    <n v="25331"/>
    <n v="693985"/>
    <n v="555188"/>
    <n v="113466"/>
    <s v="Romina"/>
    <n v="3.9"/>
  </r>
  <r>
    <n v="2217"/>
    <d v="2018-03-03T00:00:00"/>
    <x v="732"/>
    <x v="3"/>
    <s v="Local Comercial"/>
    <n v="127"/>
    <s v="Alquiler"/>
    <n v="27196"/>
    <n v="740435"/>
    <n v="592348"/>
    <n v="120891"/>
    <s v="Ángeles"/>
    <n v="3.8"/>
  </r>
  <r>
    <n v="2218"/>
    <d v="2018-03-03T00:00:00"/>
    <x v="702"/>
    <x v="3"/>
    <s v="Oficinas"/>
    <n v="240"/>
    <s v="Venta"/>
    <n v="75555.12"/>
    <n v="1955213"/>
    <n v="1564170.4"/>
    <n v="315487.4800000001"/>
    <s v="Sabrina"/>
    <n v="4.4000000000000004"/>
  </r>
  <r>
    <n v="2219"/>
    <d v="2018-03-03T00:00:00"/>
    <x v="852"/>
    <x v="0"/>
    <s v="Terreno"/>
    <n v="71"/>
    <s v="Alquiler"/>
    <n v="27176.84"/>
    <n v="734231"/>
    <n v="587384.80000000005"/>
    <n v="119669.35999999996"/>
    <s v="Romina"/>
    <n v="4.3"/>
  </r>
  <r>
    <n v="2220"/>
    <d v="2018-03-04T00:00:00"/>
    <x v="772"/>
    <x v="0"/>
    <s v="Estacionamiento"/>
    <n v="42"/>
    <s v="Alquiler"/>
    <n v="13287.8"/>
    <n v="385205"/>
    <n v="308164"/>
    <n v="63753.2"/>
    <s v="Sabrina"/>
    <n v="4.2"/>
  </r>
  <r>
    <n v="2221"/>
    <d v="2018-03-04T00:00:00"/>
    <x v="853"/>
    <x v="2"/>
    <s v="Local Comercial"/>
    <n v="265"/>
    <s v="Venta"/>
    <n v="75256.44"/>
    <n v="1944771"/>
    <n v="1555816.8"/>
    <n v="313697.75999999995"/>
    <s v="Iván"/>
    <n v="3.9"/>
  </r>
  <r>
    <n v="2222"/>
    <d v="2018-03-04T00:00:00"/>
    <x v="698"/>
    <x v="0"/>
    <s v="Depósito"/>
    <n v="194"/>
    <s v="Venta"/>
    <n v="76292.92"/>
    <n v="1965683"/>
    <n v="1572546.4"/>
    <n v="316843.68000000011"/>
    <s v="Ángeles"/>
    <n v="4"/>
  </r>
  <r>
    <n v="2223"/>
    <d v="2018-03-04T00:00:00"/>
    <x v="678"/>
    <x v="3"/>
    <s v="Local Comercial"/>
    <n v="92"/>
    <s v="Venta"/>
    <n v="36456.080000000002"/>
    <n v="964412"/>
    <n v="771529.6"/>
    <n v="156426.32"/>
    <s v="Ángeles"/>
    <n v="3.8"/>
  </r>
  <r>
    <n v="2224"/>
    <d v="2018-03-05T00:00:00"/>
    <x v="702"/>
    <x v="2"/>
    <s v="Depósito"/>
    <n v="289"/>
    <s v="Venta"/>
    <n v="78834.36"/>
    <n v="2032694"/>
    <n v="1626155.2"/>
    <n v="327704.44000000006"/>
    <s v="Iván"/>
    <n v="4.2"/>
  </r>
  <r>
    <n v="2225"/>
    <d v="2018-03-05T00:00:00"/>
    <x v="776"/>
    <x v="2"/>
    <s v="Casa"/>
    <n v="240"/>
    <s v="Venta"/>
    <n v="61369.64"/>
    <n v="1588526"/>
    <n v="1270820.8"/>
    <n v="256335.55999999994"/>
    <s v="Sabrina"/>
    <n v="3.8"/>
  </r>
  <r>
    <n v="2226"/>
    <d v="2018-03-05T00:00:00"/>
    <x v="800"/>
    <x v="0"/>
    <s v="Terreno"/>
    <n v="174"/>
    <s v="Venta"/>
    <n v="38439.360000000001"/>
    <n v="1017419"/>
    <n v="813935.2"/>
    <n v="165044.44000000006"/>
    <s v="Sabrina"/>
    <n v="4.2"/>
  </r>
  <r>
    <n v="2227"/>
    <d v="2018-03-06T00:00:00"/>
    <x v="634"/>
    <x v="1"/>
    <s v="Terreno"/>
    <n v="128"/>
    <s v="Alquiler"/>
    <n v="28328.12"/>
    <n v="768513"/>
    <n v="614810.4"/>
    <n v="125374.47999999998"/>
    <s v="Arturo"/>
    <n v="4.5999999999999996"/>
  </r>
  <r>
    <n v="2228"/>
    <d v="2018-03-06T00:00:00"/>
    <x v="854"/>
    <x v="2"/>
    <s v="Estacionamiento"/>
    <n v="173"/>
    <s v="Venta"/>
    <n v="57627.56"/>
    <n v="1499749"/>
    <n v="1199799.2"/>
    <n v="242322.24000000005"/>
    <s v="Arturo"/>
    <n v="4.2"/>
  </r>
  <r>
    <n v="2229"/>
    <d v="2018-03-06T00:00:00"/>
    <x v="855"/>
    <x v="3"/>
    <s v="Estacionamiento"/>
    <n v="121"/>
    <s v="Venta"/>
    <n v="45929.88"/>
    <n v="1214207"/>
    <n v="971365.6"/>
    <n v="196911.52000000002"/>
    <s v="Arturo"/>
    <n v="3.9"/>
  </r>
  <r>
    <n v="2230"/>
    <d v="2018-03-06T00:00:00"/>
    <x v="819"/>
    <x v="2"/>
    <s v="Estacionamiento"/>
    <n v="137"/>
    <s v="Venta"/>
    <n v="47564.88"/>
    <n v="1241832"/>
    <n v="993465.6"/>
    <n v="200801.52000000002"/>
    <s v="Ángeles"/>
    <n v="4.5999999999999996"/>
  </r>
  <r>
    <n v="2231"/>
    <d v="2018-03-07T00:00:00"/>
    <x v="713"/>
    <x v="3"/>
    <s v="Oficinas"/>
    <n v="220"/>
    <s v="Venta"/>
    <n v="59272"/>
    <n v="1547310"/>
    <n v="1237848"/>
    <n v="250190"/>
    <s v="Sabrina"/>
    <n v="4.5"/>
  </r>
  <r>
    <n v="2232"/>
    <d v="2018-03-07T00:00:00"/>
    <x v="856"/>
    <x v="3"/>
    <s v="Casa"/>
    <n v="223"/>
    <s v="Venta"/>
    <n v="89482.6"/>
    <n v="2294000"/>
    <n v="1835200"/>
    <n v="369317.4"/>
    <s v="Sabrina"/>
    <n v="5"/>
  </r>
  <r>
    <n v="2233"/>
    <d v="2018-03-07T00:00:00"/>
    <x v="805"/>
    <x v="3"/>
    <s v="Local Comercial"/>
    <n v="155"/>
    <s v="Venta"/>
    <n v="47301"/>
    <n v="1239335"/>
    <n v="991468"/>
    <n v="200566"/>
    <s v="Arturo"/>
    <n v="4.7"/>
  </r>
  <r>
    <n v="2234"/>
    <d v="2018-03-08T00:00:00"/>
    <x v="629"/>
    <x v="1"/>
    <s v="Local Comercial"/>
    <n v="174"/>
    <s v="Venta"/>
    <n v="46805.32"/>
    <n v="1227518"/>
    <n v="982014.4"/>
    <n v="198698.27999999997"/>
    <s v="Romina"/>
    <n v="4.7"/>
  </r>
  <r>
    <n v="2235"/>
    <d v="2018-03-08T00:00:00"/>
    <x v="857"/>
    <x v="2"/>
    <s v="Depósito"/>
    <n v="56"/>
    <s v="Alquiler"/>
    <n v="19279.439999999999"/>
    <n v="537321"/>
    <n v="429856.8"/>
    <n v="88184.760000000009"/>
    <s v="Carlos"/>
    <n v="4.5999999999999996"/>
  </r>
  <r>
    <n v="2236"/>
    <d v="2018-03-08T00:00:00"/>
    <x v="858"/>
    <x v="2"/>
    <s v="Casa"/>
    <n v="135"/>
    <s v="Venta"/>
    <n v="53039.76"/>
    <n v="1380329"/>
    <n v="1104263.2"/>
    <n v="223026.04000000004"/>
    <s v="Romina"/>
    <n v="4.3"/>
  </r>
  <r>
    <n v="2237"/>
    <d v="2018-03-08T00:00:00"/>
    <x v="859"/>
    <x v="1"/>
    <s v="Local Comercial"/>
    <n v="244"/>
    <s v="Venta"/>
    <n v="57604.959999999999"/>
    <n v="1496709"/>
    <n v="1197367.2"/>
    <n v="241736.84000000005"/>
    <s v="Ángeles"/>
    <n v="3.6"/>
  </r>
  <r>
    <n v="2238"/>
    <d v="2018-03-08T00:00:00"/>
    <x v="860"/>
    <x v="3"/>
    <s v="Estacionamiento"/>
    <n v="210"/>
    <s v="Venta"/>
    <n v="65235.32"/>
    <n v="1696318"/>
    <n v="1357054.4"/>
    <n v="274028.28000000009"/>
    <s v="Sabrina"/>
    <n v="4.3"/>
  </r>
  <r>
    <n v="2239"/>
    <d v="2018-03-09T00:00:00"/>
    <x v="713"/>
    <x v="1"/>
    <s v="Local Comercial"/>
    <n v="266"/>
    <s v="Venta"/>
    <n v="67324.479999999996"/>
    <n v="1742197"/>
    <n v="1393757.6"/>
    <n v="281114.91999999993"/>
    <s v="Carlos"/>
    <n v="4.5999999999999996"/>
  </r>
  <r>
    <n v="2240"/>
    <d v="2018-03-09T00:00:00"/>
    <x v="763"/>
    <x v="3"/>
    <s v="Depósito"/>
    <n v="48"/>
    <s v="Alquiler"/>
    <n v="19334.12"/>
    <n v="540313"/>
    <n v="432250.4"/>
    <n v="88728.479999999981"/>
    <s v="Iván"/>
    <n v="4.7"/>
  </r>
  <r>
    <n v="2241"/>
    <d v="2018-03-11T00:00:00"/>
    <x v="623"/>
    <x v="2"/>
    <s v="Terreno"/>
    <n v="253"/>
    <s v="Venta"/>
    <n v="76480.56"/>
    <n v="1967099"/>
    <n v="1573679.2"/>
    <n v="316939.24000000005"/>
    <s v="Carlos"/>
    <n v="3.6"/>
  </r>
  <r>
    <n v="2242"/>
    <d v="2018-03-11T00:00:00"/>
    <x v="861"/>
    <x v="2"/>
    <s v="Estacionamiento"/>
    <n v="81"/>
    <s v="Alquiler"/>
    <n v="27720.68"/>
    <n v="745277"/>
    <n v="596221.6"/>
    <n v="121334.72000000003"/>
    <s v="Sabrina"/>
    <n v="4.5"/>
  </r>
  <r>
    <n v="2243"/>
    <d v="2018-03-11T00:00:00"/>
    <x v="848"/>
    <x v="0"/>
    <s v="Estacionamiento"/>
    <n v="39"/>
    <s v="Alquiler"/>
    <n v="17076.599999999999"/>
    <n v="483425"/>
    <n v="386740"/>
    <n v="79608.399999999994"/>
    <s v="Arturo"/>
    <n v="3.6"/>
  </r>
  <r>
    <n v="2244"/>
    <d v="2018-03-12T00:00:00"/>
    <x v="862"/>
    <x v="1"/>
    <s v="Casa"/>
    <n v="147"/>
    <s v="Venta"/>
    <n v="45467"/>
    <n v="1196135"/>
    <n v="956908"/>
    <n v="193760"/>
    <s v="Carlos"/>
    <n v="3.8"/>
  </r>
  <r>
    <n v="2245"/>
    <d v="2018-03-13T00:00:00"/>
    <x v="863"/>
    <x v="1"/>
    <s v="Oficinas"/>
    <n v="175"/>
    <s v="Venta"/>
    <n v="58370.96"/>
    <n v="1525609"/>
    <n v="1220487.2"/>
    <n v="246750.84000000005"/>
    <s v="Arturo"/>
    <n v="4.9000000000000004"/>
  </r>
  <r>
    <n v="2246"/>
    <d v="2018-03-13T00:00:00"/>
    <x v="731"/>
    <x v="1"/>
    <s v="Depósito"/>
    <n v="236"/>
    <s v="Venta"/>
    <n v="85774.399999999994"/>
    <n v="2211845"/>
    <n v="1769476"/>
    <n v="356594.6"/>
    <s v="Sabrina"/>
    <n v="4.5"/>
  </r>
  <r>
    <n v="2247"/>
    <d v="2018-03-13T00:00:00"/>
    <x v="864"/>
    <x v="0"/>
    <s v="Local Comercial"/>
    <n v="207"/>
    <s v="Venta"/>
    <n v="52528.44"/>
    <n v="1368421"/>
    <n v="1094736.8"/>
    <n v="221155.75999999995"/>
    <s v="Carlos"/>
    <n v="3.8"/>
  </r>
  <r>
    <n v="2248"/>
    <d v="2018-03-13T00:00:00"/>
    <x v="865"/>
    <x v="0"/>
    <s v="Departamento"/>
    <n v="140"/>
    <s v="Alquiler"/>
    <n v="23400.76"/>
    <n v="652529"/>
    <n v="522023.2"/>
    <n v="107105.04"/>
    <s v="Romina"/>
    <n v="4.0999999999999996"/>
  </r>
  <r>
    <n v="2249"/>
    <d v="2018-03-14T00:00:00"/>
    <x v="866"/>
    <x v="0"/>
    <s v="Casa"/>
    <n v="224"/>
    <s v="Venta"/>
    <n v="48517.96"/>
    <n v="1280184"/>
    <n v="1024147.2"/>
    <n v="207518.84000000005"/>
    <s v="Ángeles"/>
    <n v="4"/>
  </r>
  <r>
    <n v="2250"/>
    <d v="2018-03-14T00:00:00"/>
    <x v="748"/>
    <x v="1"/>
    <s v="Terreno"/>
    <n v="58"/>
    <s v="Alquiler"/>
    <n v="12626.08"/>
    <n v="380087"/>
    <n v="304069.59999999998"/>
    <n v="63391.320000000022"/>
    <s v="Romina"/>
    <n v="4.4000000000000004"/>
  </r>
  <r>
    <n v="2251"/>
    <d v="2018-03-15T00:00:00"/>
    <x v="702"/>
    <x v="3"/>
    <s v="Depósito"/>
    <n v="279"/>
    <s v="Venta"/>
    <n v="48199.199999999997"/>
    <n v="1256215"/>
    <n v="1004972"/>
    <n v="203043.8"/>
    <s v="Arturo"/>
    <n v="4"/>
  </r>
  <r>
    <n v="2252"/>
    <d v="2018-03-15T00:00:00"/>
    <x v="646"/>
    <x v="0"/>
    <s v="Terreno"/>
    <n v="42"/>
    <s v="Alquiler"/>
    <n v="15025.48"/>
    <n v="436997"/>
    <n v="349597.6"/>
    <n v="72373.920000000027"/>
    <s v="Arturo"/>
    <n v="4.8"/>
  </r>
  <r>
    <n v="2253"/>
    <d v="2018-03-16T00:00:00"/>
    <x v="805"/>
    <x v="2"/>
    <s v="Casa"/>
    <n v="253"/>
    <s v="Venta"/>
    <n v="64718.239999999998"/>
    <n v="1683041"/>
    <n v="1346432.8"/>
    <n v="271889.95999999996"/>
    <s v="Romina"/>
    <n v="4"/>
  </r>
  <r>
    <n v="2254"/>
    <d v="2018-03-16T00:00:00"/>
    <x v="867"/>
    <x v="3"/>
    <s v="Oficinas"/>
    <n v="84"/>
    <s v="Alquiler"/>
    <n v="23158.2"/>
    <n v="640265"/>
    <n v="512212"/>
    <n v="104894.8"/>
    <s v="Carlos"/>
    <n v="4.0999999999999996"/>
  </r>
  <r>
    <n v="2255"/>
    <d v="2018-03-16T00:00:00"/>
    <x v="784"/>
    <x v="3"/>
    <s v="Depósito"/>
    <n v="174"/>
    <s v="Venta"/>
    <n v="46160.72"/>
    <n v="1207903"/>
    <n v="966322.4"/>
    <n v="195419.87999999998"/>
    <s v="Ángeles"/>
    <n v="5"/>
  </r>
  <r>
    <n v="2256"/>
    <d v="2018-03-17T00:00:00"/>
    <x v="868"/>
    <x v="3"/>
    <s v="Estacionamiento"/>
    <n v="118"/>
    <s v="Venta"/>
    <n v="29345.599999999999"/>
    <n v="800600"/>
    <n v="640480"/>
    <n v="130774.39999999999"/>
    <s v="Carlos"/>
    <n v="4.4000000000000004"/>
  </r>
  <r>
    <n v="2257"/>
    <d v="2018-03-17T00:00:00"/>
    <x v="822"/>
    <x v="1"/>
    <s v="Casa"/>
    <n v="189"/>
    <s v="Venta"/>
    <n v="63824.32"/>
    <n v="1648193"/>
    <n v="1318554.3999999999"/>
    <n v="265814.28000000009"/>
    <s v="Iván"/>
    <n v="4.8"/>
  </r>
  <r>
    <n v="2258"/>
    <d v="2018-03-18T00:00:00"/>
    <x v="772"/>
    <x v="2"/>
    <s v="Casa"/>
    <n v="54"/>
    <s v="Alquiler"/>
    <n v="13696.8"/>
    <n v="395105"/>
    <n v="316084"/>
    <n v="65324.2"/>
    <s v="Ángeles"/>
    <n v="3.7"/>
  </r>
  <r>
    <n v="2259"/>
    <d v="2018-03-19T00:00:00"/>
    <x v="869"/>
    <x v="2"/>
    <s v="Oficinas"/>
    <n v="281"/>
    <s v="Venta"/>
    <n v="55509.919999999998"/>
    <n v="1450183"/>
    <n v="1160146.3999999999"/>
    <n v="234526.68000000011"/>
    <s v="Romina"/>
    <n v="3.9"/>
  </r>
  <r>
    <n v="2260"/>
    <d v="2018-03-19T00:00:00"/>
    <x v="870"/>
    <x v="1"/>
    <s v="Oficinas"/>
    <n v="77"/>
    <s v="Alquiler"/>
    <n v="28721.599999999999"/>
    <n v="779750"/>
    <n v="623800"/>
    <n v="127228.4"/>
    <s v="Carlos"/>
    <n v="4.8"/>
  </r>
  <r>
    <n v="2261"/>
    <d v="2018-03-20T00:00:00"/>
    <x v="753"/>
    <x v="1"/>
    <s v="Terreno"/>
    <n v="89"/>
    <s v="Alquiler"/>
    <n v="16561.32"/>
    <n v="471818"/>
    <n v="377454.4"/>
    <n v="77802.27999999997"/>
    <s v="Iván"/>
    <n v="4.8"/>
  </r>
  <r>
    <n v="2262"/>
    <d v="2018-03-20T00:00:00"/>
    <x v="831"/>
    <x v="3"/>
    <s v="Casa"/>
    <n v="194"/>
    <s v="Venta"/>
    <n v="66296.160000000003"/>
    <n v="1722214"/>
    <n v="1377771.2"/>
    <n v="278146.64"/>
    <s v="Sabrina"/>
    <n v="4.2"/>
  </r>
  <r>
    <n v="2263"/>
    <d v="2018-03-20T00:00:00"/>
    <x v="750"/>
    <x v="0"/>
    <s v="Casa"/>
    <n v="215"/>
    <s v="Venta"/>
    <n v="60902.2"/>
    <n v="1587265"/>
    <n v="1269812"/>
    <n v="256550.8"/>
    <s v="Romina"/>
    <n v="4.8"/>
  </r>
  <r>
    <n v="2264"/>
    <d v="2018-03-20T00:00:00"/>
    <x v="645"/>
    <x v="1"/>
    <s v="Departamento"/>
    <n v="270"/>
    <s v="Venta"/>
    <n v="57373.32"/>
    <n v="1493343"/>
    <n v="1194674.3999999999"/>
    <n v="241295.28000000009"/>
    <s v="Arturo"/>
    <n v="3.9"/>
  </r>
  <r>
    <n v="2265"/>
    <d v="2018-03-21T00:00:00"/>
    <x v="871"/>
    <x v="0"/>
    <s v="Departamento"/>
    <n v="145"/>
    <s v="Venta"/>
    <n v="37036.28"/>
    <n v="985317"/>
    <n v="788253.6"/>
    <n v="160027.12000000002"/>
    <s v="Carlos"/>
    <n v="4.8"/>
  </r>
  <r>
    <n v="2266"/>
    <d v="2018-03-21T00:00:00"/>
    <x v="708"/>
    <x v="2"/>
    <s v="Terreno"/>
    <n v="286"/>
    <s v="Venta"/>
    <n v="111227"/>
    <n v="2833535"/>
    <n v="2266828"/>
    <n v="455480"/>
    <s v="Sabrina"/>
    <n v="3.8"/>
  </r>
  <r>
    <n v="2267"/>
    <d v="2018-03-21T00:00:00"/>
    <x v="806"/>
    <x v="1"/>
    <s v="Estacionamiento"/>
    <n v="144"/>
    <s v="Venta"/>
    <n v="30062.68"/>
    <n v="812927"/>
    <n v="650341.6"/>
    <n v="132522.72000000003"/>
    <s v="Iván"/>
    <n v="3.8"/>
  </r>
  <r>
    <n v="2268"/>
    <d v="2018-03-21T00:00:00"/>
    <x v="872"/>
    <x v="2"/>
    <s v="Terreno"/>
    <n v="92"/>
    <s v="Venta"/>
    <n v="34496.92"/>
    <n v="922483"/>
    <n v="737986.4"/>
    <n v="149999.67999999999"/>
    <s v="Romina"/>
    <n v="3.7"/>
  </r>
  <r>
    <n v="2269"/>
    <d v="2018-03-23T00:00:00"/>
    <x v="834"/>
    <x v="2"/>
    <s v="Terreno"/>
    <n v="180"/>
    <s v="Venta"/>
    <n v="33647.599999999999"/>
    <n v="903950"/>
    <n v="723160"/>
    <n v="147142.39999999999"/>
    <s v="Ángeles"/>
    <n v="4.5"/>
  </r>
  <r>
    <n v="2270"/>
    <d v="2018-03-23T00:00:00"/>
    <x v="872"/>
    <x v="0"/>
    <s v="Terreno"/>
    <n v="199"/>
    <s v="Venta"/>
    <n v="32220"/>
    <n v="859635"/>
    <n v="687708"/>
    <n v="139707"/>
    <s v="Iván"/>
    <n v="4.4000000000000004"/>
  </r>
  <r>
    <n v="2271"/>
    <d v="2018-03-23T00:00:00"/>
    <x v="873"/>
    <x v="3"/>
    <s v="Depósito"/>
    <n v="222"/>
    <s v="Venta"/>
    <n v="58974"/>
    <n v="1538135"/>
    <n v="1230508"/>
    <n v="248653"/>
    <s v="Iván"/>
    <n v="4.9000000000000004"/>
  </r>
  <r>
    <n v="2272"/>
    <d v="2018-03-24T00:00:00"/>
    <x v="862"/>
    <x v="1"/>
    <s v="Depósito"/>
    <n v="184"/>
    <s v="Venta"/>
    <n v="36466"/>
    <n v="962835"/>
    <n v="770268"/>
    <n v="156101"/>
    <s v="Romina"/>
    <n v="4.2"/>
  </r>
  <r>
    <n v="2273"/>
    <d v="2018-03-25T00:00:00"/>
    <x v="874"/>
    <x v="3"/>
    <s v="Oficinas"/>
    <n v="144"/>
    <s v="Venta"/>
    <n v="54888"/>
    <n v="1432685"/>
    <n v="1146148"/>
    <n v="231649"/>
    <s v="Arturo"/>
    <n v="4.9000000000000004"/>
  </r>
  <r>
    <n v="2274"/>
    <d v="2018-03-26T00:00:00"/>
    <x v="865"/>
    <x v="2"/>
    <s v="Oficinas"/>
    <n v="107"/>
    <s v="Venta"/>
    <n v="38315.800000000003"/>
    <n v="1014605"/>
    <n v="811684"/>
    <n v="164605.20000000001"/>
    <s v="Ángeles"/>
    <n v="4.5"/>
  </r>
  <r>
    <n v="2275"/>
    <d v="2018-03-26T00:00:00"/>
    <x v="795"/>
    <x v="1"/>
    <s v="Casa"/>
    <n v="110"/>
    <s v="Alquiler"/>
    <n v="17215.2"/>
    <n v="497615"/>
    <n v="398092"/>
    <n v="82307.8"/>
    <s v="Carlos"/>
    <n v="4.2"/>
  </r>
  <r>
    <n v="2276"/>
    <d v="2018-03-26T00:00:00"/>
    <x v="875"/>
    <x v="0"/>
    <s v="Depósito"/>
    <n v="228"/>
    <s v="Venta"/>
    <n v="84593.600000000006"/>
    <n v="2181800"/>
    <n v="1745440"/>
    <n v="351766.4"/>
    <s v="Carlos"/>
    <n v="5"/>
  </r>
  <r>
    <n v="2277"/>
    <d v="2018-03-26T00:00:00"/>
    <x v="791"/>
    <x v="1"/>
    <s v="Terreno"/>
    <n v="258"/>
    <s v="Venta"/>
    <n v="80317.679999999993"/>
    <n v="2070527"/>
    <n v="1656421.6"/>
    <n v="333787.71999999991"/>
    <s v="Romina"/>
    <n v="3.9"/>
  </r>
  <r>
    <n v="2278"/>
    <d v="2018-03-26T00:00:00"/>
    <x v="828"/>
    <x v="0"/>
    <s v="Estacionamiento"/>
    <n v="290"/>
    <s v="Venta"/>
    <n v="96015.32"/>
    <n v="2464043"/>
    <n v="1971234.4"/>
    <n v="396793.28000000009"/>
    <s v="Arturo"/>
    <n v="3.7"/>
  </r>
  <r>
    <n v="2279"/>
    <d v="2018-03-28T00:00:00"/>
    <x v="821"/>
    <x v="1"/>
    <s v="Local Comercial"/>
    <n v="62"/>
    <s v="Alquiler"/>
    <n v="12016.28"/>
    <n v="364967"/>
    <n v="291973.59999999998"/>
    <n v="60977.120000000024"/>
    <s v="Carlos"/>
    <n v="4.0999999999999996"/>
  </r>
  <r>
    <n v="2280"/>
    <d v="2018-03-28T00:00:00"/>
    <x v="876"/>
    <x v="0"/>
    <s v="Estacionamiento"/>
    <n v="284"/>
    <s v="Venta"/>
    <n v="56744.4"/>
    <n v="1478945"/>
    <n v="1183156"/>
    <n v="239044.6"/>
    <s v="Romina"/>
    <n v="3.6"/>
  </r>
  <r>
    <n v="2281"/>
    <d v="2018-03-28T00:00:00"/>
    <x v="869"/>
    <x v="2"/>
    <s v="Departamento"/>
    <n v="249"/>
    <s v="Venta"/>
    <n v="61389.440000000002"/>
    <n v="1594521"/>
    <n v="1275616.8"/>
    <n v="257514.75999999995"/>
    <s v="Ángeles"/>
    <n v="3.9"/>
  </r>
  <r>
    <n v="2282"/>
    <d v="2018-03-29T00:00:00"/>
    <x v="877"/>
    <x v="2"/>
    <s v="Local Comercial"/>
    <n v="70"/>
    <s v="Alquiler"/>
    <n v="14456.84"/>
    <n v="421881"/>
    <n v="337504.8"/>
    <n v="69919.360000000015"/>
    <s v="Iván"/>
    <n v="3.6"/>
  </r>
  <r>
    <n v="2283"/>
    <d v="2018-03-29T00:00:00"/>
    <x v="678"/>
    <x v="1"/>
    <s v="Departamento"/>
    <n v="37"/>
    <s v="Alquiler"/>
    <n v="8653.56"/>
    <n v="274499"/>
    <n v="219599.2"/>
    <n v="46246.239999999991"/>
    <s v="Arturo"/>
    <n v="3.6"/>
  </r>
  <r>
    <n v="2284"/>
    <d v="2018-03-29T00:00:00"/>
    <x v="694"/>
    <x v="0"/>
    <s v="Departamento"/>
    <n v="67"/>
    <s v="Alquiler"/>
    <n v="16407.8"/>
    <n v="469855"/>
    <n v="375884"/>
    <n v="77563.199999999997"/>
    <s v="Ángeles"/>
    <n v="5"/>
  </r>
  <r>
    <n v="2285"/>
    <d v="2018-03-30T00:00:00"/>
    <x v="676"/>
    <x v="1"/>
    <s v="Casa"/>
    <n v="198"/>
    <s v="Venta"/>
    <n v="33950.44"/>
    <n v="911821"/>
    <n v="729456.8"/>
    <n v="148413.75999999995"/>
    <s v="Ángeles"/>
    <n v="3.7"/>
  </r>
  <r>
    <n v="2286"/>
    <d v="2018-03-30T00:00:00"/>
    <x v="803"/>
    <x v="3"/>
    <s v="Terreno"/>
    <n v="103"/>
    <s v="Venta"/>
    <n v="30403.64"/>
    <n v="817001"/>
    <n v="653600.80000000005"/>
    <n v="132996.55999999994"/>
    <s v="Carlos"/>
    <n v="4.5999999999999996"/>
  </r>
  <r>
    <n v="2287"/>
    <d v="2018-03-30T00:00:00"/>
    <x v="878"/>
    <x v="3"/>
    <s v="Casa"/>
    <n v="225"/>
    <s v="Venta"/>
    <n v="66797.2"/>
    <n v="1727215"/>
    <n v="1381772"/>
    <n v="278645.8"/>
    <s v="Romina"/>
    <n v="4.8"/>
  </r>
  <r>
    <n v="2288"/>
    <d v="2018-03-30T00:00:00"/>
    <x v="824"/>
    <x v="0"/>
    <s v="Depósito"/>
    <n v="127"/>
    <s v="Venta"/>
    <n v="30418.92"/>
    <n v="816633"/>
    <n v="653306.4"/>
    <n v="132907.68"/>
    <s v="Carlos"/>
    <n v="3.6"/>
  </r>
  <r>
    <n v="2289"/>
    <d v="2018-03-31T00:00:00"/>
    <x v="731"/>
    <x v="3"/>
    <s v="Depósito"/>
    <n v="108"/>
    <s v="Venta"/>
    <n v="34592.32"/>
    <n v="919268"/>
    <n v="735414.4"/>
    <n v="149261.27999999997"/>
    <s v="Ángeles"/>
    <n v="4.2"/>
  </r>
  <r>
    <n v="2290"/>
    <d v="2018-03-31T00:00:00"/>
    <x v="879"/>
    <x v="1"/>
    <s v="Casa"/>
    <n v="93"/>
    <s v="Venta"/>
    <n v="37360.639999999999"/>
    <n v="987376"/>
    <n v="789900.80000000005"/>
    <n v="160114.55999999994"/>
    <s v="Sabrina"/>
    <n v="3.6"/>
  </r>
  <r>
    <n v="2291"/>
    <d v="2018-03-31T00:00:00"/>
    <x v="880"/>
    <x v="3"/>
    <s v="Depósito"/>
    <n v="277"/>
    <s v="Venta"/>
    <n v="48374.48"/>
    <n v="1264422"/>
    <n v="1011537.6"/>
    <n v="204509.92"/>
    <s v="Carlos"/>
    <n v="3.7"/>
  </r>
  <r>
    <n v="2292"/>
    <d v="2018-03-31T00:00:00"/>
    <x v="881"/>
    <x v="0"/>
    <s v="Estacionamiento"/>
    <n v="292"/>
    <s v="Venta"/>
    <n v="58783.199999999997"/>
    <n v="1527415"/>
    <n v="1221932"/>
    <n v="246699.8"/>
    <s v="Carlos"/>
    <n v="3.9"/>
  </r>
  <r>
    <n v="2293"/>
    <d v="2018-04-01T00:00:00"/>
    <x v="882"/>
    <x v="2"/>
    <s v="Terreno"/>
    <n v="99"/>
    <s v="Venta"/>
    <n v="32450.52"/>
    <n v="864623"/>
    <n v="691698.4"/>
    <n v="140474.07999999999"/>
    <s v="Romina"/>
    <n v="4.5"/>
  </r>
  <r>
    <n v="2294"/>
    <d v="2018-04-01T00:00:00"/>
    <x v="845"/>
    <x v="0"/>
    <s v="Local Comercial"/>
    <n v="105"/>
    <s v="Alquiler"/>
    <n v="18523.8"/>
    <n v="522005"/>
    <n v="417604"/>
    <n v="85877.2"/>
    <s v="Sabrina"/>
    <n v="4.4000000000000004"/>
  </r>
  <r>
    <n v="2295"/>
    <d v="2018-04-01T00:00:00"/>
    <x v="883"/>
    <x v="0"/>
    <s v="Departamento"/>
    <n v="150"/>
    <s v="Venta"/>
    <n v="56272.6"/>
    <n v="1462175"/>
    <n v="1169740"/>
    <n v="236162.4"/>
    <s v="Iván"/>
    <n v="5"/>
  </r>
  <r>
    <n v="2296"/>
    <d v="2018-04-01T00:00:00"/>
    <x v="884"/>
    <x v="3"/>
    <s v="Depósito"/>
    <n v="111"/>
    <s v="Alquiler"/>
    <n v="28690.6"/>
    <n v="783425"/>
    <n v="626740"/>
    <n v="127994.4"/>
    <s v="Iván"/>
    <n v="4.5999999999999996"/>
  </r>
  <r>
    <n v="2297"/>
    <d v="2018-04-01T00:00:00"/>
    <x v="862"/>
    <x v="2"/>
    <s v="Terreno"/>
    <n v="160"/>
    <s v="Venta"/>
    <n v="29947.68"/>
    <n v="807777"/>
    <n v="646221.6"/>
    <n v="131607.72000000003"/>
    <s v="Carlos"/>
    <n v="4.5999999999999996"/>
  </r>
  <r>
    <n v="2298"/>
    <d v="2018-04-01T00:00:00"/>
    <x v="850"/>
    <x v="1"/>
    <s v="Casa"/>
    <n v="113"/>
    <s v="Alquiler"/>
    <n v="28247.360000000001"/>
    <n v="769619"/>
    <n v="615695.19999999995"/>
    <n v="125676.44000000005"/>
    <s v="Iván"/>
    <n v="4.4000000000000004"/>
  </r>
  <r>
    <n v="2299"/>
    <d v="2018-04-02T00:00:00"/>
    <x v="795"/>
    <x v="1"/>
    <s v="Terreno"/>
    <n v="37"/>
    <s v="Alquiler"/>
    <n v="15022.08"/>
    <n v="440212"/>
    <n v="352169.6"/>
    <n v="73020.320000000022"/>
    <s v="Iván"/>
    <n v="5"/>
  </r>
  <r>
    <n v="2300"/>
    <d v="2018-04-02T00:00:00"/>
    <x v="885"/>
    <x v="0"/>
    <s v="Departamento"/>
    <n v="124"/>
    <s v="Venta"/>
    <n v="47723.48"/>
    <n v="1249797"/>
    <n v="999837.6"/>
    <n v="202235.92"/>
    <s v="Ángeles"/>
    <n v="4.9000000000000004"/>
  </r>
  <r>
    <n v="2301"/>
    <d v="2018-04-02T00:00:00"/>
    <x v="790"/>
    <x v="0"/>
    <s v="Terreno"/>
    <n v="184"/>
    <s v="Venta"/>
    <n v="69759.8"/>
    <n v="1797405"/>
    <n v="1437924"/>
    <n v="289721.2"/>
    <s v="Iván"/>
    <n v="4.5999999999999996"/>
  </r>
  <r>
    <n v="2302"/>
    <d v="2018-04-03T00:00:00"/>
    <x v="823"/>
    <x v="0"/>
    <s v="Depósito"/>
    <n v="117"/>
    <s v="Venta"/>
    <n v="38483.519999999997"/>
    <n v="1015073"/>
    <n v="812058.4"/>
    <n v="164531.07999999999"/>
    <s v="Iván"/>
    <n v="4.5999999999999996"/>
  </r>
  <r>
    <n v="2303"/>
    <d v="2018-04-03T00:00:00"/>
    <x v="683"/>
    <x v="1"/>
    <s v="Local Comercial"/>
    <n v="76"/>
    <s v="Alquiler"/>
    <n v="22912.400000000001"/>
    <n v="632145"/>
    <n v="505716"/>
    <n v="103516.6"/>
    <s v="Arturo"/>
    <n v="4.8"/>
  </r>
  <r>
    <n v="2304"/>
    <d v="2018-04-04T00:00:00"/>
    <x v="886"/>
    <x v="1"/>
    <s v="Depósito"/>
    <n v="178"/>
    <s v="Venta"/>
    <n v="29967.8"/>
    <n v="815705"/>
    <n v="652564"/>
    <n v="133173.20000000001"/>
    <s v="Ángeles"/>
    <n v="3.6"/>
  </r>
  <r>
    <n v="2305"/>
    <d v="2018-04-04T00:00:00"/>
    <x v="887"/>
    <x v="0"/>
    <s v="Casa"/>
    <n v="176"/>
    <s v="Venta"/>
    <n v="41786.800000000003"/>
    <n v="1108205"/>
    <n v="886564"/>
    <n v="179854.2"/>
    <s v="Romina"/>
    <n v="5"/>
  </r>
  <r>
    <n v="2306"/>
    <d v="2018-04-04T00:00:00"/>
    <x v="888"/>
    <x v="2"/>
    <s v="Casa"/>
    <n v="145"/>
    <s v="Venta"/>
    <n v="49626"/>
    <n v="1304435"/>
    <n v="1043548"/>
    <n v="211261"/>
    <s v="Iván"/>
    <n v="3.9"/>
  </r>
  <r>
    <n v="2307"/>
    <d v="2018-04-05T00:00:00"/>
    <x v="791"/>
    <x v="2"/>
    <s v="Oficinas"/>
    <n v="149"/>
    <s v="Venta"/>
    <n v="55417.16"/>
    <n v="1441889"/>
    <n v="1153511.2"/>
    <n v="232960.64000000004"/>
    <s v="Ángeles"/>
    <n v="3.6"/>
  </r>
  <r>
    <n v="2308"/>
    <d v="2018-04-05T00:00:00"/>
    <x v="671"/>
    <x v="1"/>
    <s v="Casa"/>
    <n v="258"/>
    <s v="Venta"/>
    <n v="103077.64"/>
    <n v="2635001"/>
    <n v="2108000.7999999998"/>
    <n v="423922.56000000017"/>
    <s v="Romina"/>
    <n v="4.3"/>
  </r>
  <r>
    <n v="2309"/>
    <d v="2018-04-05T00:00:00"/>
    <x v="889"/>
    <x v="2"/>
    <s v="Oficinas"/>
    <n v="291"/>
    <s v="Venta"/>
    <n v="88532.6"/>
    <n v="2272975"/>
    <n v="1818380"/>
    <n v="366062.4"/>
    <s v="Carlos"/>
    <n v="3.8"/>
  </r>
  <r>
    <n v="2310"/>
    <d v="2018-04-06T00:00:00"/>
    <x v="884"/>
    <x v="1"/>
    <s v="Oficinas"/>
    <n v="76"/>
    <s v="Alquiler"/>
    <n v="22837.08"/>
    <n v="629837"/>
    <n v="503869.6"/>
    <n v="103130.32000000002"/>
    <s v="Carlos"/>
    <n v="3.9"/>
  </r>
  <r>
    <n v="2311"/>
    <d v="2018-04-06T00:00:00"/>
    <x v="885"/>
    <x v="2"/>
    <s v="Departamento"/>
    <n v="74"/>
    <s v="Venta"/>
    <n v="29786"/>
    <n v="807285"/>
    <n v="645828"/>
    <n v="131671"/>
    <s v="Arturo"/>
    <n v="4"/>
  </r>
  <r>
    <n v="2312"/>
    <d v="2018-04-07T00:00:00"/>
    <x v="801"/>
    <x v="3"/>
    <s v="Local Comercial"/>
    <n v="257"/>
    <s v="Venta"/>
    <n v="46924.08"/>
    <n v="1225862"/>
    <n v="980689.6"/>
    <n v="198248.32000000001"/>
    <s v="Iván"/>
    <n v="3.9"/>
  </r>
  <r>
    <n v="2313"/>
    <d v="2018-04-07T00:00:00"/>
    <x v="890"/>
    <x v="2"/>
    <s v="Departamento"/>
    <n v="75"/>
    <s v="Alquiler"/>
    <n v="15657.4"/>
    <n v="455095"/>
    <n v="364076"/>
    <n v="75361.600000000006"/>
    <s v="Carlos"/>
    <n v="4.9000000000000004"/>
  </r>
  <r>
    <n v="2314"/>
    <d v="2018-04-07T00:00:00"/>
    <x v="740"/>
    <x v="3"/>
    <s v="Local Comercial"/>
    <n v="229"/>
    <s v="Venta"/>
    <n v="57973.440000000002"/>
    <n v="1511621"/>
    <n v="1209296.8"/>
    <n v="244350.75999999995"/>
    <s v="Romina"/>
    <n v="3.9"/>
  </r>
  <r>
    <n v="2315"/>
    <d v="2018-04-07T00:00:00"/>
    <x v="883"/>
    <x v="1"/>
    <s v="Local Comercial"/>
    <n v="79"/>
    <s v="Alquiler"/>
    <n v="15893.88"/>
    <n v="448757"/>
    <n v="359005.6"/>
    <n v="73857.520000000019"/>
    <s v="Sabrina"/>
    <n v="4.0999999999999996"/>
  </r>
  <r>
    <n v="2316"/>
    <d v="2018-04-07T00:00:00"/>
    <x v="891"/>
    <x v="2"/>
    <s v="Terreno"/>
    <n v="178"/>
    <s v="Venta"/>
    <n v="70902.399999999994"/>
    <n v="1825670"/>
    <n v="1460536"/>
    <n v="294231.59999999998"/>
    <s v="Romina"/>
    <n v="3.6"/>
  </r>
  <r>
    <n v="2317"/>
    <d v="2018-04-08T00:00:00"/>
    <x v="892"/>
    <x v="0"/>
    <s v="Depósito"/>
    <n v="144"/>
    <s v="Alquiler"/>
    <n v="28761.4"/>
    <n v="774120"/>
    <n v="619296"/>
    <n v="126062.6"/>
    <s v="Romina"/>
    <n v="4.5999999999999996"/>
  </r>
  <r>
    <n v="2318"/>
    <d v="2018-04-08T00:00:00"/>
    <x v="716"/>
    <x v="2"/>
    <s v="Oficinas"/>
    <n v="174"/>
    <s v="Venta"/>
    <n v="31399.200000000001"/>
    <n v="845565"/>
    <n v="676452"/>
    <n v="137713.79999999999"/>
    <s v="Iván"/>
    <n v="4.5"/>
  </r>
  <r>
    <n v="2319"/>
    <d v="2018-04-09T00:00:00"/>
    <x v="804"/>
    <x v="3"/>
    <s v="Local Comercial"/>
    <n v="40"/>
    <s v="Alquiler"/>
    <n v="11690.48"/>
    <n v="350022"/>
    <n v="280017.59999999998"/>
    <n v="58313.920000000027"/>
    <s v="Carlos"/>
    <n v="4.5999999999999996"/>
  </r>
  <r>
    <n v="2320"/>
    <d v="2018-04-09T00:00:00"/>
    <x v="891"/>
    <x v="2"/>
    <s v="Depósito"/>
    <n v="106"/>
    <s v="Alquiler"/>
    <n v="27172.76"/>
    <n v="741379"/>
    <n v="593103.19999999995"/>
    <n v="121103.04000000005"/>
    <s v="Romina"/>
    <n v="3.6"/>
  </r>
  <r>
    <n v="2321"/>
    <d v="2018-04-09T00:00:00"/>
    <x v="671"/>
    <x v="1"/>
    <s v="Local Comercial"/>
    <n v="52"/>
    <s v="Alquiler"/>
    <n v="15553.76"/>
    <n v="443529"/>
    <n v="354823.2"/>
    <n v="73152.039999999994"/>
    <s v="Iván"/>
    <n v="5"/>
  </r>
  <r>
    <n v="2322"/>
    <d v="2018-04-09T00:00:00"/>
    <x v="893"/>
    <x v="3"/>
    <s v="Local Comercial"/>
    <n v="40"/>
    <s v="Alquiler"/>
    <n v="15026.4"/>
    <n v="439370"/>
    <n v="351496"/>
    <n v="72847.600000000006"/>
    <s v="Carlos"/>
    <n v="4.7"/>
  </r>
  <r>
    <n v="2323"/>
    <d v="2018-04-09T00:00:00"/>
    <x v="853"/>
    <x v="1"/>
    <s v="Local Comercial"/>
    <n v="137"/>
    <s v="Venta"/>
    <n v="41119.120000000003"/>
    <n v="1095113"/>
    <n v="876090.4"/>
    <n v="177903.47999999998"/>
    <s v="Sabrina"/>
    <n v="5"/>
  </r>
  <r>
    <n v="2324"/>
    <d v="2018-04-10T00:00:00"/>
    <x v="889"/>
    <x v="1"/>
    <s v="Estacionamiento"/>
    <n v="176"/>
    <s v="Venta"/>
    <n v="55062.32"/>
    <n v="1436793"/>
    <n v="1149434.3999999999"/>
    <n v="232296.28000000009"/>
    <s v="Carlos"/>
    <n v="4.5"/>
  </r>
  <r>
    <n v="2325"/>
    <d v="2018-04-10T00:00:00"/>
    <x v="806"/>
    <x v="0"/>
    <s v="Depósito"/>
    <n v="84"/>
    <s v="Alquiler"/>
    <n v="27754.959999999999"/>
    <n v="747684"/>
    <n v="598147.19999999995"/>
    <n v="121781.84000000005"/>
    <s v="Romina"/>
    <n v="4.3"/>
  </r>
  <r>
    <n v="2326"/>
    <d v="2018-04-10T00:00:00"/>
    <x v="831"/>
    <x v="2"/>
    <s v="Local Comercial"/>
    <n v="84"/>
    <s v="Alquiler"/>
    <n v="28049.759999999998"/>
    <n v="765929"/>
    <n v="612743.19999999995"/>
    <n v="125136.04000000005"/>
    <s v="Sabrina"/>
    <n v="4.0999999999999996"/>
  </r>
  <r>
    <n v="2327"/>
    <d v="2018-04-11T00:00:00"/>
    <x v="894"/>
    <x v="0"/>
    <s v="Local Comercial"/>
    <n v="158"/>
    <s v="Venta"/>
    <n v="49040.08"/>
    <n v="1277312"/>
    <n v="1021849.6"/>
    <n v="206422.32"/>
    <s v="Romina"/>
    <n v="3.6"/>
  </r>
  <r>
    <n v="2328"/>
    <d v="2018-04-11T00:00:00"/>
    <x v="895"/>
    <x v="3"/>
    <s v="Oficinas"/>
    <n v="125"/>
    <s v="Venta"/>
    <n v="50103"/>
    <n v="1313085"/>
    <n v="1050468"/>
    <n v="212514"/>
    <s v="Ángeles"/>
    <n v="4.2"/>
  </r>
  <r>
    <n v="2329"/>
    <d v="2018-04-12T00:00:00"/>
    <x v="845"/>
    <x v="3"/>
    <s v="Local Comercial"/>
    <n v="181"/>
    <s v="Venta"/>
    <n v="69673.600000000006"/>
    <n v="1809325"/>
    <n v="1447460"/>
    <n v="292191.40000000002"/>
    <s v="Arturo"/>
    <n v="4.9000000000000004"/>
  </r>
  <r>
    <n v="2330"/>
    <d v="2018-04-12T00:00:00"/>
    <x v="893"/>
    <x v="1"/>
    <s v="Departamento"/>
    <n v="119"/>
    <s v="Venta"/>
    <n v="39923.839999999997"/>
    <n v="1063081"/>
    <n v="850464.8"/>
    <n v="172692.35999999996"/>
    <s v="Romina"/>
    <n v="4.8"/>
  </r>
  <r>
    <n v="2331"/>
    <d v="2018-04-12T00:00:00"/>
    <x v="896"/>
    <x v="0"/>
    <s v="Terreno"/>
    <n v="217"/>
    <s v="Venta"/>
    <n v="75428.44"/>
    <n v="1938021"/>
    <n v="1550416.8"/>
    <n v="312175.75999999995"/>
    <s v="Carlos"/>
    <n v="4.4000000000000004"/>
  </r>
  <r>
    <n v="2332"/>
    <d v="2018-04-12T00:00:00"/>
    <x v="716"/>
    <x v="1"/>
    <s v="Depósito"/>
    <n v="175"/>
    <s v="Venta"/>
    <n v="38490.199999999997"/>
    <n v="1021265"/>
    <n v="817012"/>
    <n v="165762.79999999999"/>
    <s v="Carlos"/>
    <n v="4"/>
  </r>
  <r>
    <n v="2333"/>
    <d v="2018-04-13T00:00:00"/>
    <x v="897"/>
    <x v="2"/>
    <s v="Casa"/>
    <n v="131"/>
    <s v="Venta"/>
    <n v="37954.6"/>
    <n v="1010375"/>
    <n v="808300"/>
    <n v="164120.4"/>
    <s v="Carlos"/>
    <n v="4.5999999999999996"/>
  </r>
  <r>
    <n v="2334"/>
    <d v="2018-04-13T00:00:00"/>
    <x v="826"/>
    <x v="2"/>
    <s v="Depósito"/>
    <n v="282"/>
    <s v="Venta"/>
    <n v="70617.72"/>
    <n v="1818053"/>
    <n v="1454442.4"/>
    <n v="292992.88000000012"/>
    <s v="Ángeles"/>
    <n v="4.5"/>
  </r>
  <r>
    <n v="2335"/>
    <d v="2018-04-14T00:00:00"/>
    <x v="695"/>
    <x v="0"/>
    <s v="Terreno"/>
    <n v="258"/>
    <s v="Venta"/>
    <n v="76746.8"/>
    <n v="1981055"/>
    <n v="1584844"/>
    <n v="319464.2"/>
    <s v="Sabrina"/>
    <n v="4.2"/>
  </r>
  <r>
    <n v="2336"/>
    <d v="2018-04-14T00:00:00"/>
    <x v="898"/>
    <x v="1"/>
    <s v="Depósito"/>
    <n v="183"/>
    <s v="Venta"/>
    <n v="46713.04"/>
    <n v="1228886"/>
    <n v="983108.8"/>
    <n v="199064.15999999995"/>
    <s v="Romina"/>
    <n v="3.7"/>
  </r>
  <r>
    <n v="2337"/>
    <d v="2018-04-14T00:00:00"/>
    <x v="719"/>
    <x v="0"/>
    <s v="Departamento"/>
    <n v="187"/>
    <s v="Venta"/>
    <n v="72048.52"/>
    <n v="1863423"/>
    <n v="1490738.4"/>
    <n v="300636.08000000007"/>
    <s v="Arturo"/>
    <n v="4.5999999999999996"/>
  </r>
  <r>
    <n v="2338"/>
    <d v="2018-04-15T00:00:00"/>
    <x v="896"/>
    <x v="3"/>
    <s v="Depósito"/>
    <n v="150"/>
    <s v="Venta"/>
    <n v="37614.400000000001"/>
    <n v="997445"/>
    <n v="797956"/>
    <n v="161874.6"/>
    <s v="Iván"/>
    <n v="4.9000000000000004"/>
  </r>
  <r>
    <n v="2339"/>
    <d v="2018-04-16T00:00:00"/>
    <x v="838"/>
    <x v="2"/>
    <s v="Casa"/>
    <n v="204"/>
    <s v="Venta"/>
    <n v="37636.04"/>
    <n v="994636"/>
    <n v="795708.8"/>
    <n v="161291.15999999995"/>
    <s v="Romina"/>
    <n v="3.8"/>
  </r>
  <r>
    <n v="2340"/>
    <d v="2018-04-16T00:00:00"/>
    <x v="801"/>
    <x v="3"/>
    <s v="Local Comercial"/>
    <n v="193"/>
    <s v="Venta"/>
    <n v="65802.64"/>
    <n v="1706601"/>
    <n v="1365280.8"/>
    <n v="275517.55999999994"/>
    <s v="Arturo"/>
    <n v="4.8"/>
  </r>
  <r>
    <n v="2341"/>
    <d v="2018-04-17T00:00:00"/>
    <x v="884"/>
    <x v="3"/>
    <s v="Casa"/>
    <n v="214"/>
    <s v="Venta"/>
    <n v="50584.800000000003"/>
    <n v="1319305"/>
    <n v="1055444"/>
    <n v="213276.2"/>
    <s v="Romina"/>
    <n v="4"/>
  </r>
  <r>
    <n v="2342"/>
    <d v="2018-04-17T00:00:00"/>
    <x v="899"/>
    <x v="2"/>
    <s v="Departamento"/>
    <n v="237"/>
    <s v="Venta"/>
    <n v="54445.56"/>
    <n v="1422649"/>
    <n v="1138119.2"/>
    <n v="230084.24000000005"/>
    <s v="Ángeles"/>
    <n v="4.2"/>
  </r>
  <r>
    <n v="2343"/>
    <d v="2018-04-18T00:00:00"/>
    <x v="851"/>
    <x v="2"/>
    <s v="Estacionamiento"/>
    <n v="159"/>
    <s v="Venta"/>
    <n v="37959"/>
    <n v="1007585"/>
    <n v="806068"/>
    <n v="163558"/>
    <s v="Sabrina"/>
    <n v="4.8"/>
  </r>
  <r>
    <n v="2344"/>
    <d v="2018-04-20T00:00:00"/>
    <x v="680"/>
    <x v="0"/>
    <s v="Estacionamiento"/>
    <n v="117"/>
    <s v="Venta"/>
    <n v="42785.4"/>
    <n v="1121645"/>
    <n v="897316"/>
    <n v="181543.6"/>
    <s v="Sabrina"/>
    <n v="4.9000000000000004"/>
  </r>
  <r>
    <n v="2345"/>
    <d v="2018-04-20T00:00:00"/>
    <x v="850"/>
    <x v="2"/>
    <s v="Terreno"/>
    <n v="86"/>
    <s v="Alquiler"/>
    <n v="26308.080000000002"/>
    <n v="710037"/>
    <n v="568029.6"/>
    <n v="115699.32000000002"/>
    <s v="Sabrina"/>
    <n v="4.3"/>
  </r>
  <r>
    <n v="2346"/>
    <d v="2018-04-21T00:00:00"/>
    <x v="776"/>
    <x v="2"/>
    <s v="Terreno"/>
    <n v="137"/>
    <s v="Venta"/>
    <n v="49208.88"/>
    <n v="1295457"/>
    <n v="1036365.6"/>
    <n v="209882.52000000002"/>
    <s v="Sabrina"/>
    <n v="4.2"/>
  </r>
  <r>
    <n v="2347"/>
    <d v="2018-04-21T00:00:00"/>
    <x v="784"/>
    <x v="3"/>
    <s v="Terreno"/>
    <n v="198"/>
    <s v="Venta"/>
    <n v="34627.599999999999"/>
    <n v="922700"/>
    <n v="738160"/>
    <n v="149912.4"/>
    <s v="Romina"/>
    <n v="3.7"/>
  </r>
  <r>
    <n v="2348"/>
    <d v="2018-04-21T00:00:00"/>
    <x v="900"/>
    <x v="3"/>
    <s v="Departamento"/>
    <n v="115"/>
    <s v="Alquiler"/>
    <n v="25119.599999999999"/>
    <n v="688675"/>
    <n v="550940"/>
    <n v="112615.4"/>
    <s v="Sabrina"/>
    <n v="4.3"/>
  </r>
  <r>
    <n v="2349"/>
    <d v="2018-04-22T00:00:00"/>
    <x v="901"/>
    <x v="1"/>
    <s v="Local Comercial"/>
    <n v="102"/>
    <s v="Alquiler"/>
    <n v="25943.88"/>
    <n v="704807"/>
    <n v="563845.6"/>
    <n v="115017.52000000002"/>
    <s v="Ángeles"/>
    <n v="3.6"/>
  </r>
  <r>
    <n v="2350"/>
    <d v="2018-04-22T00:00:00"/>
    <x v="788"/>
    <x v="0"/>
    <s v="Depósito"/>
    <n v="59"/>
    <s v="Alquiler"/>
    <n v="16664.32"/>
    <n v="469493"/>
    <n v="375594.4"/>
    <n v="77234.27999999997"/>
    <s v="Romina"/>
    <n v="3.8"/>
  </r>
  <r>
    <n v="2351"/>
    <d v="2018-04-22T00:00:00"/>
    <x v="757"/>
    <x v="2"/>
    <s v="Depósito"/>
    <n v="87"/>
    <s v="Alquiler"/>
    <n v="21558.240000000002"/>
    <n v="595691"/>
    <n v="476552.8"/>
    <n v="97579.96"/>
    <s v="Carlos"/>
    <n v="4.2"/>
  </r>
  <r>
    <n v="2352"/>
    <d v="2018-04-22T00:00:00"/>
    <x v="810"/>
    <x v="3"/>
    <s v="Casa"/>
    <n v="245"/>
    <s v="Venta"/>
    <n v="66750.559999999998"/>
    <n v="1726649"/>
    <n v="1381319.2"/>
    <n v="278579.24000000005"/>
    <s v="Ángeles"/>
    <n v="3.7"/>
  </r>
  <r>
    <n v="2353"/>
    <d v="2018-04-22T00:00:00"/>
    <x v="902"/>
    <x v="2"/>
    <s v="Depósito"/>
    <n v="157"/>
    <s v="Alquiler"/>
    <n v="29077"/>
    <n v="782085"/>
    <n v="625668"/>
    <n v="127340"/>
    <s v="Carlos"/>
    <n v="4.3"/>
  </r>
  <r>
    <n v="2354"/>
    <d v="2018-04-22T00:00:00"/>
    <x v="866"/>
    <x v="1"/>
    <s v="Departamento"/>
    <n v="42"/>
    <s v="Alquiler"/>
    <n v="7776.16"/>
    <n v="260789"/>
    <n v="208631.2"/>
    <n v="44381.639999999985"/>
    <s v="Sabrina"/>
    <n v="3.7"/>
  </r>
  <r>
    <n v="2355"/>
    <d v="2018-04-22T00:00:00"/>
    <x v="903"/>
    <x v="3"/>
    <s v="Departamento"/>
    <n v="282"/>
    <s v="Venta"/>
    <n v="59604.92"/>
    <n v="1541308"/>
    <n v="1233046.3999999999"/>
    <n v="248656.68000000011"/>
    <s v="Sabrina"/>
    <n v="4.8"/>
  </r>
  <r>
    <n v="2356"/>
    <d v="2018-04-23T00:00:00"/>
    <x v="786"/>
    <x v="2"/>
    <s v="Oficinas"/>
    <n v="194"/>
    <s v="Venta"/>
    <n v="70334.64"/>
    <n v="1814351"/>
    <n v="1451480.8"/>
    <n v="292535.55999999994"/>
    <s v="Iván"/>
    <n v="4.9000000000000004"/>
  </r>
  <r>
    <n v="2357"/>
    <d v="2018-04-23T00:00:00"/>
    <x v="772"/>
    <x v="0"/>
    <s v="Local Comercial"/>
    <n v="72"/>
    <s v="Alquiler"/>
    <n v="23836"/>
    <n v="658685"/>
    <n v="526948"/>
    <n v="107901"/>
    <s v="Ángeles"/>
    <n v="5"/>
  </r>
  <r>
    <n v="2358"/>
    <d v="2018-04-23T00:00:00"/>
    <x v="749"/>
    <x v="0"/>
    <s v="Casa"/>
    <n v="283"/>
    <s v="Venta"/>
    <n v="61757.8"/>
    <n v="1603505"/>
    <n v="1282804"/>
    <n v="258943.2"/>
    <s v="Romina"/>
    <n v="3.9"/>
  </r>
  <r>
    <n v="2359"/>
    <d v="2018-04-25T00:00:00"/>
    <x v="904"/>
    <x v="3"/>
    <s v="Local Comercial"/>
    <n v="188"/>
    <s v="Venta"/>
    <n v="53847.08"/>
    <n v="1399837"/>
    <n v="1119869.6000000001"/>
    <n v="226120.31999999989"/>
    <s v="Romina"/>
    <n v="4.0999999999999996"/>
  </r>
  <r>
    <n v="2360"/>
    <d v="2018-04-25T00:00:00"/>
    <x v="905"/>
    <x v="2"/>
    <s v="Departamento"/>
    <n v="207"/>
    <s v="Venta"/>
    <n v="47498.96"/>
    <n v="1240009"/>
    <n v="992007.2"/>
    <n v="200502.84000000005"/>
    <s v="Sabrina"/>
    <n v="5"/>
  </r>
  <r>
    <n v="2361"/>
    <d v="2018-04-26T00:00:00"/>
    <x v="871"/>
    <x v="0"/>
    <s v="Casa"/>
    <n v="212"/>
    <s v="Venta"/>
    <n v="84250.28"/>
    <n v="2172667"/>
    <n v="1738133.6"/>
    <n v="350283.11999999988"/>
    <s v="Sabrina"/>
    <n v="4.4000000000000004"/>
  </r>
  <r>
    <n v="2362"/>
    <d v="2018-04-26T00:00:00"/>
    <x v="906"/>
    <x v="3"/>
    <s v="Depósito"/>
    <n v="180"/>
    <s v="Venta"/>
    <n v="53356.08"/>
    <n v="1396162"/>
    <n v="1116929.6000000001"/>
    <n v="225876.31999999989"/>
    <s v="Arturo"/>
    <n v="4.9000000000000004"/>
  </r>
  <r>
    <n v="2363"/>
    <d v="2018-04-27T00:00:00"/>
    <x v="687"/>
    <x v="2"/>
    <s v="Casa"/>
    <n v="281"/>
    <s v="Venta"/>
    <n v="94864.28"/>
    <n v="2435167"/>
    <n v="1948133.6"/>
    <n v="392169.11999999988"/>
    <s v="Carlos"/>
    <n v="3.8"/>
  </r>
  <r>
    <n v="2364"/>
    <d v="2018-04-28T00:00:00"/>
    <x v="897"/>
    <x v="1"/>
    <s v="Casa"/>
    <n v="64"/>
    <s v="Alquiler"/>
    <n v="20367.2"/>
    <n v="570165"/>
    <n v="456132"/>
    <n v="93665.8"/>
    <s v="Ángeles"/>
    <n v="4.3"/>
  </r>
  <r>
    <n v="2365"/>
    <d v="2018-04-28T00:00:00"/>
    <x v="907"/>
    <x v="0"/>
    <s v="Estacionamiento"/>
    <n v="274"/>
    <s v="Venta"/>
    <n v="71085.279999999999"/>
    <n v="1831292"/>
    <n v="1465033.6"/>
    <n v="295173.11999999988"/>
    <s v="Sabrina"/>
    <n v="4.2"/>
  </r>
  <r>
    <n v="2366"/>
    <d v="2018-04-28T00:00:00"/>
    <x v="811"/>
    <x v="0"/>
    <s v="Oficinas"/>
    <n v="264"/>
    <s v="Venta"/>
    <n v="67735.600000000006"/>
    <n v="1752875"/>
    <n v="1402300"/>
    <n v="282839.40000000002"/>
    <s v="Iván"/>
    <n v="5"/>
  </r>
  <r>
    <n v="2367"/>
    <d v="2018-04-29T00:00:00"/>
    <x v="825"/>
    <x v="0"/>
    <s v="Casa"/>
    <n v="238"/>
    <s v="Venta"/>
    <n v="80989.440000000002"/>
    <n v="2084246"/>
    <n v="1667396.8"/>
    <n v="335859.75999999995"/>
    <s v="Ángeles"/>
    <n v="4.7"/>
  </r>
  <r>
    <n v="2368"/>
    <d v="2018-04-29T00:00:00"/>
    <x v="764"/>
    <x v="2"/>
    <s v="Departamento"/>
    <n v="129"/>
    <s v="Venta"/>
    <n v="40391.919999999998"/>
    <n v="1061183"/>
    <n v="848946.4"/>
    <n v="171844.68"/>
    <s v="Iván"/>
    <n v="4.3"/>
  </r>
  <r>
    <n v="2369"/>
    <d v="2018-04-29T00:00:00"/>
    <x v="694"/>
    <x v="0"/>
    <s v="Departamento"/>
    <n v="64"/>
    <s v="Alquiler"/>
    <n v="17518.080000000002"/>
    <n v="501062"/>
    <n v="400849.6"/>
    <n v="82694.320000000022"/>
    <s v="Carlos"/>
    <n v="4"/>
  </r>
  <r>
    <n v="2370"/>
    <d v="2018-04-29T00:00:00"/>
    <x v="879"/>
    <x v="1"/>
    <s v="Terreno"/>
    <n v="127"/>
    <s v="Alquiler"/>
    <n v="22134"/>
    <n v="617285"/>
    <n v="493828"/>
    <n v="101323"/>
    <s v="Carlos"/>
    <n v="4.5"/>
  </r>
  <r>
    <n v="2371"/>
    <d v="2018-04-29T00:00:00"/>
    <x v="904"/>
    <x v="0"/>
    <s v="Estacionamiento"/>
    <n v="266"/>
    <s v="Venta"/>
    <n v="93953.600000000006"/>
    <n v="2400875"/>
    <n v="1920700"/>
    <n v="386221.4"/>
    <s v="Sabrina"/>
    <n v="4.7"/>
  </r>
  <r>
    <n v="2372"/>
    <d v="2018-04-30T00:00:00"/>
    <x v="766"/>
    <x v="1"/>
    <s v="Departamento"/>
    <n v="216"/>
    <s v="Venta"/>
    <n v="60782"/>
    <n v="1585285"/>
    <n v="1268228"/>
    <n v="256275"/>
    <s v="Ángeles"/>
    <n v="4.4000000000000004"/>
  </r>
  <r>
    <n v="2373"/>
    <d v="2018-04-30T00:00:00"/>
    <x v="651"/>
    <x v="2"/>
    <s v="Oficinas"/>
    <n v="195"/>
    <s v="Venta"/>
    <n v="79023"/>
    <n v="2032485"/>
    <n v="1625988"/>
    <n v="327474"/>
    <s v="Carlos"/>
    <n v="4.9000000000000004"/>
  </r>
  <r>
    <n v="2374"/>
    <d v="2018-05-01T00:00:00"/>
    <x v="908"/>
    <x v="0"/>
    <s v="Estacionamiento"/>
    <n v="235"/>
    <s v="Venta"/>
    <n v="49417.4"/>
    <n v="1300795"/>
    <n v="1040636"/>
    <n v="210741.6"/>
    <s v="Romina"/>
    <n v="3.9"/>
  </r>
  <r>
    <n v="2375"/>
    <d v="2018-05-01T00:00:00"/>
    <x v="909"/>
    <x v="1"/>
    <s v="Departamento"/>
    <n v="131"/>
    <s v="Alquiler"/>
    <n v="26714.04"/>
    <n v="723311"/>
    <n v="578648.80000000005"/>
    <n v="117948.15999999995"/>
    <s v="Ángeles"/>
    <n v="4.0999999999999996"/>
  </r>
  <r>
    <n v="2376"/>
    <d v="2018-05-01T00:00:00"/>
    <x v="790"/>
    <x v="0"/>
    <s v="Departamento"/>
    <n v="292"/>
    <s v="Venta"/>
    <n v="111903.03999999999"/>
    <n v="2850261"/>
    <n v="2280208.7999999998"/>
    <n v="458149.16000000021"/>
    <s v="Sabrina"/>
    <n v="5"/>
  </r>
  <r>
    <n v="2377"/>
    <d v="2018-05-01T00:00:00"/>
    <x v="896"/>
    <x v="1"/>
    <s v="Local Comercial"/>
    <n v="117"/>
    <s v="Venta"/>
    <n v="38400.76"/>
    <n v="1020854"/>
    <n v="816683.2"/>
    <n v="165770.04000000004"/>
    <s v="Arturo"/>
    <n v="4.8"/>
  </r>
  <r>
    <n v="2378"/>
    <d v="2018-05-02T00:00:00"/>
    <x v="910"/>
    <x v="3"/>
    <s v="Terreno"/>
    <n v="287"/>
    <s v="Venta"/>
    <n v="60413.24"/>
    <n v="1574741"/>
    <n v="1259792.8"/>
    <n v="254534.95999999996"/>
    <s v="Iván"/>
    <n v="3.8"/>
  </r>
  <r>
    <n v="2379"/>
    <d v="2018-05-02T00:00:00"/>
    <x v="911"/>
    <x v="3"/>
    <s v="Oficinas"/>
    <n v="230"/>
    <s v="Venta"/>
    <n v="47782.16"/>
    <n v="1256939"/>
    <n v="1005551.2"/>
    <n v="203605.64000000004"/>
    <s v="Romina"/>
    <n v="4.7"/>
  </r>
  <r>
    <n v="2380"/>
    <d v="2018-05-02T00:00:00"/>
    <x v="808"/>
    <x v="3"/>
    <s v="Depósito"/>
    <n v="233"/>
    <s v="Venta"/>
    <n v="77298.679999999993"/>
    <n v="1990227"/>
    <n v="1592181.6"/>
    <n v="320746.71999999991"/>
    <s v="Carlos"/>
    <n v="4.9000000000000004"/>
  </r>
  <r>
    <n v="2381"/>
    <d v="2018-05-02T00:00:00"/>
    <x v="794"/>
    <x v="0"/>
    <s v="Casa"/>
    <n v="200"/>
    <s v="Venta"/>
    <n v="76030.399999999994"/>
    <n v="1957745"/>
    <n v="1566196"/>
    <n v="315518.59999999998"/>
    <s v="Ángeles"/>
    <n v="4.0999999999999996"/>
  </r>
  <r>
    <n v="2382"/>
    <d v="2018-05-03T00:00:00"/>
    <x v="886"/>
    <x v="3"/>
    <s v="Casa"/>
    <n v="145"/>
    <s v="Alquiler"/>
    <n v="29236.880000000001"/>
    <n v="785957"/>
    <n v="628765.6"/>
    <n v="127954.52000000002"/>
    <s v="Ángeles"/>
    <n v="3.9"/>
  </r>
  <r>
    <n v="2383"/>
    <d v="2018-05-03T00:00:00"/>
    <x v="912"/>
    <x v="3"/>
    <s v="Terreno"/>
    <n v="247"/>
    <s v="Venta"/>
    <n v="39460"/>
    <n v="1038985"/>
    <n v="831188"/>
    <n v="168337"/>
    <s v="Romina"/>
    <n v="3.7"/>
  </r>
  <r>
    <n v="2384"/>
    <d v="2018-05-03T00:00:00"/>
    <x v="847"/>
    <x v="3"/>
    <s v="Oficinas"/>
    <n v="86"/>
    <s v="Alquiler"/>
    <n v="26331.72"/>
    <n v="716528"/>
    <n v="573222.40000000002"/>
    <n v="116973.87999999998"/>
    <s v="Arturo"/>
    <n v="4.8"/>
  </r>
  <r>
    <n v="2385"/>
    <d v="2018-05-03T00:00:00"/>
    <x v="913"/>
    <x v="1"/>
    <s v="Departamento"/>
    <n v="181"/>
    <s v="Venta"/>
    <n v="69712.759999999995"/>
    <n v="1806129"/>
    <n v="1444903.2"/>
    <n v="291513.04000000004"/>
    <s v="Romina"/>
    <n v="4.2"/>
  </r>
  <r>
    <n v="2386"/>
    <d v="2018-05-03T00:00:00"/>
    <x v="914"/>
    <x v="3"/>
    <s v="Depósito"/>
    <n v="140"/>
    <s v="Venta"/>
    <n v="47235.360000000001"/>
    <n v="1247669"/>
    <n v="998135.2"/>
    <n v="202298.44000000006"/>
    <s v="Ángeles"/>
    <n v="4.2"/>
  </r>
  <r>
    <n v="2387"/>
    <d v="2018-05-04T00:00:00"/>
    <x v="876"/>
    <x v="2"/>
    <s v="Terreno"/>
    <n v="289"/>
    <s v="Venta"/>
    <n v="70702.2"/>
    <n v="1821065"/>
    <n v="1456852"/>
    <n v="293510.8"/>
    <s v="Sabrina"/>
    <n v="4.5999999999999996"/>
  </r>
  <r>
    <n v="2388"/>
    <d v="2018-05-05T00:00:00"/>
    <x v="776"/>
    <x v="0"/>
    <s v="Local Comercial"/>
    <n v="99"/>
    <s v="Alquiler"/>
    <n v="22819.200000000001"/>
    <n v="630615"/>
    <n v="504492"/>
    <n v="103303.8"/>
    <s v="Romina"/>
    <n v="4.5999999999999996"/>
  </r>
  <r>
    <n v="2389"/>
    <d v="2018-05-05T00:00:00"/>
    <x v="915"/>
    <x v="1"/>
    <s v="Depósito"/>
    <n v="247"/>
    <s v="Venta"/>
    <n v="90032"/>
    <n v="2317735"/>
    <n v="1854188"/>
    <n v="373515"/>
    <s v="Sabrina"/>
    <n v="4.3"/>
  </r>
  <r>
    <n v="2390"/>
    <d v="2018-05-05T00:00:00"/>
    <x v="910"/>
    <x v="0"/>
    <s v="Terreno"/>
    <n v="285"/>
    <s v="Venta"/>
    <n v="73383.600000000006"/>
    <n v="1889875"/>
    <n v="1511900"/>
    <n v="304591.40000000002"/>
    <s v="Sabrina"/>
    <n v="4.5999999999999996"/>
  </r>
  <r>
    <n v="2391"/>
    <d v="2018-05-08T00:00:00"/>
    <x v="865"/>
    <x v="1"/>
    <s v="Terreno"/>
    <n v="254"/>
    <s v="Venta"/>
    <n v="62509.760000000002"/>
    <n v="1627829"/>
    <n v="1302263.2"/>
    <n v="263056.04000000004"/>
    <s v="Sabrina"/>
    <n v="4.9000000000000004"/>
  </r>
  <r>
    <n v="2392"/>
    <d v="2018-05-08T00:00:00"/>
    <x v="916"/>
    <x v="3"/>
    <s v="Estacionamiento"/>
    <n v="86"/>
    <s v="Venta"/>
    <n v="30455.200000000001"/>
    <n v="819865"/>
    <n v="655892"/>
    <n v="133517.79999999999"/>
    <s v="Ángeles"/>
    <n v="3.6"/>
  </r>
  <r>
    <n v="2393"/>
    <d v="2018-05-09T00:00:00"/>
    <x v="708"/>
    <x v="3"/>
    <s v="Terreno"/>
    <n v="277"/>
    <s v="Venta"/>
    <n v="81850.679999999993"/>
    <n v="2109177"/>
    <n v="1687341.6"/>
    <n v="339984.71999999991"/>
    <s v="Romina"/>
    <n v="4.5"/>
  </r>
  <r>
    <n v="2394"/>
    <d v="2018-05-09T00:00:00"/>
    <x v="917"/>
    <x v="1"/>
    <s v="Casa"/>
    <n v="165"/>
    <s v="Alquiler"/>
    <n v="27560.799999999999"/>
    <n v="745280"/>
    <n v="596224"/>
    <n v="121495.2"/>
    <s v="Romina"/>
    <n v="3.8"/>
  </r>
  <r>
    <n v="2395"/>
    <d v="2018-05-10T00:00:00"/>
    <x v="730"/>
    <x v="2"/>
    <s v="Oficinas"/>
    <n v="295"/>
    <s v="Venta"/>
    <n v="102730"/>
    <n v="2621585"/>
    <n v="2097268"/>
    <n v="421587"/>
    <s v="Sabrina"/>
    <n v="4.5"/>
  </r>
  <r>
    <n v="2396"/>
    <d v="2018-05-11T00:00:00"/>
    <x v="745"/>
    <x v="1"/>
    <s v="Departamento"/>
    <n v="167"/>
    <s v="Venta"/>
    <n v="63235.199999999997"/>
    <n v="1639415"/>
    <n v="1311532"/>
    <n v="264647.8"/>
    <s v="Carlos"/>
    <n v="3.9"/>
  </r>
  <r>
    <n v="2397"/>
    <d v="2018-05-12T00:00:00"/>
    <x v="918"/>
    <x v="0"/>
    <s v="Oficinas"/>
    <n v="231"/>
    <s v="Venta"/>
    <n v="79121.2"/>
    <n v="2037765"/>
    <n v="1630212"/>
    <n v="328431.8"/>
    <s v="Iván"/>
    <n v="4.0999999999999996"/>
  </r>
  <r>
    <n v="2398"/>
    <d v="2018-05-12T00:00:00"/>
    <x v="919"/>
    <x v="2"/>
    <s v="Casa"/>
    <n v="89"/>
    <s v="Alquiler"/>
    <n v="19305.36"/>
    <n v="542669"/>
    <n v="434135.2"/>
    <n v="89228.439999999988"/>
    <s v="Ángeles"/>
    <n v="4.5999999999999996"/>
  </r>
  <r>
    <n v="2399"/>
    <d v="2018-05-12T00:00:00"/>
    <x v="920"/>
    <x v="2"/>
    <s v="Departamento"/>
    <n v="100"/>
    <s v="Alquiler"/>
    <n v="28201.200000000001"/>
    <n v="765765"/>
    <n v="612612"/>
    <n v="124951.8"/>
    <s v="Iván"/>
    <n v="5"/>
  </r>
  <r>
    <n v="2400"/>
    <d v="2018-05-12T00:00:00"/>
    <x v="863"/>
    <x v="2"/>
    <s v="Departamento"/>
    <n v="100"/>
    <s v="Venta"/>
    <n v="32220.84"/>
    <n v="868381"/>
    <n v="694704.8"/>
    <n v="141455.35999999996"/>
    <s v="Arturo"/>
    <n v="4.5999999999999996"/>
  </r>
  <r>
    <n v="2401"/>
    <d v="2018-05-13T00:00:00"/>
    <x v="859"/>
    <x v="3"/>
    <s v="Departamento"/>
    <n v="213"/>
    <s v="Venta"/>
    <n v="85150.92"/>
    <n v="2180933"/>
    <n v="1744746.4"/>
    <n v="351035.68000000011"/>
    <s v="Ángeles"/>
    <n v="4.8"/>
  </r>
  <r>
    <n v="2402"/>
    <d v="2018-05-13T00:00:00"/>
    <x v="921"/>
    <x v="2"/>
    <s v="Casa"/>
    <n v="81"/>
    <s v="Alquiler"/>
    <n v="13374.68"/>
    <n v="397427"/>
    <n v="317941.59999999998"/>
    <n v="66110.72000000003"/>
    <s v="Iván"/>
    <n v="3.7"/>
  </r>
  <r>
    <n v="2403"/>
    <d v="2018-05-13T00:00:00"/>
    <x v="778"/>
    <x v="1"/>
    <s v="Depósito"/>
    <n v="271"/>
    <s v="Venta"/>
    <n v="71811"/>
    <n v="1856435"/>
    <n v="1485148"/>
    <n v="299476"/>
    <s v="Sabrina"/>
    <n v="4.3"/>
  </r>
  <r>
    <n v="2404"/>
    <d v="2018-05-13T00:00:00"/>
    <x v="735"/>
    <x v="0"/>
    <s v="Casa"/>
    <n v="215"/>
    <s v="Venta"/>
    <n v="53395.92"/>
    <n v="1392983"/>
    <n v="1114386.3999999999"/>
    <n v="225200.68000000011"/>
    <s v="Sabrina"/>
    <n v="4.5"/>
  </r>
  <r>
    <n v="2405"/>
    <d v="2018-05-14T00:00:00"/>
    <x v="922"/>
    <x v="2"/>
    <s v="Departamento"/>
    <n v="203"/>
    <s v="Venta"/>
    <n v="53763.8"/>
    <n v="1408205"/>
    <n v="1126564"/>
    <n v="227877.2"/>
    <s v="Arturo"/>
    <n v="4.2"/>
  </r>
  <r>
    <n v="2406"/>
    <d v="2018-05-14T00:00:00"/>
    <x v="735"/>
    <x v="1"/>
    <s v="Depósito"/>
    <n v="194"/>
    <s v="Venta"/>
    <n v="72480.84"/>
    <n v="1877056"/>
    <n v="1501644.8"/>
    <n v="302930.36"/>
    <s v="Sabrina"/>
    <n v="4.5"/>
  </r>
  <r>
    <n v="2407"/>
    <d v="2018-05-14T00:00:00"/>
    <x v="724"/>
    <x v="2"/>
    <s v="Estacionamiento"/>
    <n v="132"/>
    <s v="Alquiler"/>
    <n v="21325.8"/>
    <n v="596655"/>
    <n v="477324"/>
    <n v="98005.2"/>
    <s v="Iván"/>
    <n v="3.7"/>
  </r>
  <r>
    <n v="2408"/>
    <d v="2018-05-14T00:00:00"/>
    <x v="825"/>
    <x v="3"/>
    <s v="Casa"/>
    <n v="193"/>
    <s v="Venta"/>
    <n v="31815.759999999998"/>
    <n v="853579"/>
    <n v="682863.2"/>
    <n v="138900.04000000004"/>
    <s v="Ángeles"/>
    <n v="3.6"/>
  </r>
  <r>
    <n v="2409"/>
    <d v="2018-05-14T00:00:00"/>
    <x v="813"/>
    <x v="0"/>
    <s v="Depósito"/>
    <n v="188"/>
    <s v="Venta"/>
    <n v="70612.600000000006"/>
    <n v="1826975"/>
    <n v="1461580"/>
    <n v="294782.40000000002"/>
    <s v="Romina"/>
    <n v="4.4000000000000004"/>
  </r>
  <r>
    <n v="2410"/>
    <d v="2018-05-15T00:00:00"/>
    <x v="923"/>
    <x v="0"/>
    <s v="Depósito"/>
    <n v="62"/>
    <s v="Alquiler"/>
    <n v="23448.52"/>
    <n v="652148"/>
    <n v="521718.4"/>
    <n v="106981.07999999997"/>
    <s v="Iván"/>
    <n v="3.6"/>
  </r>
  <r>
    <n v="2411"/>
    <d v="2018-05-15T00:00:00"/>
    <x v="820"/>
    <x v="0"/>
    <s v="Depósito"/>
    <n v="198"/>
    <s v="Venta"/>
    <n v="45611.519999999997"/>
    <n v="1199873"/>
    <n v="959898.4"/>
    <n v="194363.08"/>
    <s v="Carlos"/>
    <n v="3.9"/>
  </r>
  <r>
    <n v="2412"/>
    <d v="2018-05-16T00:00:00"/>
    <x v="860"/>
    <x v="1"/>
    <s v="Oficinas"/>
    <n v="274"/>
    <s v="Venta"/>
    <n v="71315.72"/>
    <n v="1839478"/>
    <n v="1471582.4"/>
    <n v="296579.88000000012"/>
    <s v="Carlos"/>
    <n v="4"/>
  </r>
  <r>
    <n v="2413"/>
    <d v="2018-05-16T00:00:00"/>
    <x v="749"/>
    <x v="3"/>
    <s v="Departamento"/>
    <n v="117"/>
    <s v="Alquiler"/>
    <n v="19182.2"/>
    <n v="535865"/>
    <n v="428692"/>
    <n v="87990.8"/>
    <s v="Carlos"/>
    <n v="4"/>
  </r>
  <r>
    <n v="2414"/>
    <d v="2018-05-16T00:00:00"/>
    <x v="878"/>
    <x v="1"/>
    <s v="Oficinas"/>
    <n v="253"/>
    <s v="Venta"/>
    <n v="87359.16"/>
    <n v="2239489"/>
    <n v="1791591.2"/>
    <n v="360538.64"/>
    <s v="Arturo"/>
    <n v="5"/>
  </r>
  <r>
    <n v="2415"/>
    <d v="2018-05-16T00:00:00"/>
    <x v="923"/>
    <x v="0"/>
    <s v="Oficinas"/>
    <n v="289"/>
    <s v="Venta"/>
    <n v="87374.2"/>
    <n v="2236890"/>
    <n v="1789512"/>
    <n v="360003.8"/>
    <s v="Ángeles"/>
    <n v="3.6"/>
  </r>
  <r>
    <n v="2416"/>
    <d v="2018-05-16T00:00:00"/>
    <x v="720"/>
    <x v="2"/>
    <s v="Departamento"/>
    <n v="176"/>
    <s v="Venta"/>
    <n v="32087.16"/>
    <n v="869014"/>
    <n v="695211.2"/>
    <n v="141715.64000000004"/>
    <s v="Iván"/>
    <n v="4"/>
  </r>
  <r>
    <n v="2417"/>
    <d v="2018-05-17T00:00:00"/>
    <x v="924"/>
    <x v="0"/>
    <s v="Local Comercial"/>
    <n v="179"/>
    <s v="Venta"/>
    <n v="43424.639999999999"/>
    <n v="1149501"/>
    <n v="919600.8"/>
    <n v="186475.55999999994"/>
    <s v="Ángeles"/>
    <n v="3.6"/>
  </r>
  <r>
    <n v="2418"/>
    <d v="2018-05-18T00:00:00"/>
    <x v="862"/>
    <x v="0"/>
    <s v="Casa"/>
    <n v="163"/>
    <s v="Venta"/>
    <n v="33335.800000000003"/>
    <n v="889855"/>
    <n v="711884"/>
    <n v="144635.20000000001"/>
    <s v="Ángeles"/>
    <n v="4.2"/>
  </r>
  <r>
    <n v="2419"/>
    <d v="2018-05-18T00:00:00"/>
    <x v="836"/>
    <x v="3"/>
    <s v="Depósito"/>
    <n v="171"/>
    <s v="Venta"/>
    <n v="47510.04"/>
    <n v="1251061"/>
    <n v="1000848.8"/>
    <n v="202702.15999999995"/>
    <s v="Sabrina"/>
    <n v="3.8"/>
  </r>
  <r>
    <n v="2420"/>
    <d v="2018-05-18T00:00:00"/>
    <x v="744"/>
    <x v="1"/>
    <s v="Depósito"/>
    <n v="144"/>
    <s v="Venta"/>
    <n v="43159.96"/>
    <n v="1135509"/>
    <n v="908407.2"/>
    <n v="183941.84000000005"/>
    <s v="Sabrina"/>
    <n v="4.5"/>
  </r>
  <r>
    <n v="2421"/>
    <d v="2018-05-19T00:00:00"/>
    <x v="905"/>
    <x v="1"/>
    <s v="Depósito"/>
    <n v="46"/>
    <s v="Alquiler"/>
    <n v="9260.32"/>
    <n v="284768"/>
    <n v="227814.39999999999"/>
    <n v="47693.280000000006"/>
    <s v="Ángeles"/>
    <n v="4.2"/>
  </r>
  <r>
    <n v="2422"/>
    <d v="2018-05-19T00:00:00"/>
    <x v="925"/>
    <x v="1"/>
    <s v="Depósito"/>
    <n v="275"/>
    <s v="Venta"/>
    <n v="93724"/>
    <n v="2406685"/>
    <n v="1925348"/>
    <n v="387613"/>
    <s v="Sabrina"/>
    <n v="4"/>
  </r>
  <r>
    <n v="2423"/>
    <d v="2018-05-20T00:00:00"/>
    <x v="770"/>
    <x v="0"/>
    <s v="Depósito"/>
    <n v="149"/>
    <s v="Venta"/>
    <n v="50950.04"/>
    <n v="1330661"/>
    <n v="1064528.8"/>
    <n v="215182.15999999995"/>
    <s v="Romina"/>
    <n v="4.5999999999999996"/>
  </r>
  <r>
    <n v="2424"/>
    <d v="2018-05-20T00:00:00"/>
    <x v="862"/>
    <x v="0"/>
    <s v="Estacionamiento"/>
    <n v="219"/>
    <s v="Venta"/>
    <n v="69142"/>
    <n v="1789460"/>
    <n v="1431568"/>
    <n v="288750"/>
    <s v="Iván"/>
    <n v="4"/>
  </r>
  <r>
    <n v="2425"/>
    <d v="2018-05-20T00:00:00"/>
    <x v="878"/>
    <x v="0"/>
    <s v="Terreno"/>
    <n v="278"/>
    <s v="Venta"/>
    <n v="102890.6"/>
    <n v="2639675"/>
    <n v="2111740"/>
    <n v="425044.4"/>
    <s v="Carlos"/>
    <n v="3.6"/>
  </r>
  <r>
    <n v="2426"/>
    <d v="2018-05-20T00:00:00"/>
    <x v="910"/>
    <x v="0"/>
    <s v="Casa"/>
    <n v="243"/>
    <s v="Venta"/>
    <n v="92070.6"/>
    <n v="2357050"/>
    <n v="1885640"/>
    <n v="379339.4"/>
    <s v="Iván"/>
    <n v="3.9"/>
  </r>
  <r>
    <n v="2427"/>
    <d v="2018-05-21T00:00:00"/>
    <x v="926"/>
    <x v="3"/>
    <s v="Departamento"/>
    <n v="209"/>
    <s v="Venta"/>
    <n v="36078.639999999999"/>
    <n v="964526"/>
    <n v="771620.8"/>
    <n v="156826.55999999994"/>
    <s v="Sabrina"/>
    <n v="3.7"/>
  </r>
  <r>
    <n v="2428"/>
    <d v="2018-05-21T00:00:00"/>
    <x v="927"/>
    <x v="3"/>
    <s v="Depósito"/>
    <n v="270"/>
    <s v="Venta"/>
    <n v="89615.039999999994"/>
    <n v="2304561"/>
    <n v="1843648.8"/>
    <n v="371297.16"/>
    <s v="Ángeles"/>
    <n v="3.9"/>
  </r>
  <r>
    <n v="2429"/>
    <d v="2018-05-21T00:00:00"/>
    <x v="928"/>
    <x v="2"/>
    <s v="Depósito"/>
    <n v="238"/>
    <s v="Venta"/>
    <n v="80492.800000000003"/>
    <n v="2073905"/>
    <n v="1659124"/>
    <n v="334288.2"/>
    <s v="Arturo"/>
    <n v="4.3"/>
  </r>
  <r>
    <n v="2430"/>
    <d v="2018-05-22T00:00:00"/>
    <x v="929"/>
    <x v="2"/>
    <s v="Casa"/>
    <n v="265"/>
    <s v="Venta"/>
    <n v="91496"/>
    <n v="2339985"/>
    <n v="1871988"/>
    <n v="376501"/>
    <s v="Sabrina"/>
    <n v="4.5999999999999996"/>
  </r>
  <r>
    <n v="2431"/>
    <d v="2018-05-22T00:00:00"/>
    <x v="724"/>
    <x v="2"/>
    <s v="Local Comercial"/>
    <n v="226"/>
    <s v="Venta"/>
    <n v="66829.72"/>
    <n v="1735653"/>
    <n v="1388522.4"/>
    <n v="280300.88000000012"/>
    <s v="Romina"/>
    <n v="4.8"/>
  </r>
  <r>
    <n v="2432"/>
    <d v="2018-05-22T00:00:00"/>
    <x v="914"/>
    <x v="3"/>
    <s v="Oficinas"/>
    <n v="200"/>
    <s v="Venta"/>
    <n v="51726.84"/>
    <n v="1352331"/>
    <n v="1081864.8"/>
    <n v="218739.35999999996"/>
    <s v="Romina"/>
    <n v="4.0999999999999996"/>
  </r>
  <r>
    <n v="2433"/>
    <d v="2018-05-23T00:00:00"/>
    <x v="853"/>
    <x v="1"/>
    <s v="Depósito"/>
    <n v="199"/>
    <s v="Venta"/>
    <n v="43842.400000000001"/>
    <n v="1148495"/>
    <n v="918796"/>
    <n v="185856.6"/>
    <s v="Arturo"/>
    <n v="4.3"/>
  </r>
  <r>
    <n v="2434"/>
    <d v="2018-05-24T00:00:00"/>
    <x v="872"/>
    <x v="3"/>
    <s v="Terreno"/>
    <n v="118"/>
    <s v="Venta"/>
    <n v="32042"/>
    <n v="859110"/>
    <n v="687288"/>
    <n v="139780"/>
    <s v="Carlos"/>
    <n v="3.6"/>
  </r>
  <r>
    <n v="2435"/>
    <d v="2018-05-25T00:00:00"/>
    <x v="818"/>
    <x v="0"/>
    <s v="Depósito"/>
    <n v="192"/>
    <s v="Venta"/>
    <n v="75963.8"/>
    <n v="1964255"/>
    <n v="1571404"/>
    <n v="316887.2"/>
    <s v="Iván"/>
    <n v="4.7"/>
  </r>
  <r>
    <n v="2436"/>
    <d v="2018-05-26T00:00:00"/>
    <x v="829"/>
    <x v="2"/>
    <s v="Oficinas"/>
    <n v="122"/>
    <s v="Venta"/>
    <n v="31730.2"/>
    <n v="854990"/>
    <n v="683992"/>
    <n v="139267.79999999999"/>
    <s v="Romina"/>
    <n v="5"/>
  </r>
  <r>
    <n v="2437"/>
    <d v="2018-05-26T00:00:00"/>
    <x v="795"/>
    <x v="1"/>
    <s v="Terreno"/>
    <n v="38"/>
    <s v="Alquiler"/>
    <n v="14391.2"/>
    <n v="416390"/>
    <n v="333112"/>
    <n v="68886.8"/>
    <s v="Iván"/>
    <n v="4.2"/>
  </r>
  <r>
    <n v="2438"/>
    <d v="2018-05-26T00:00:00"/>
    <x v="795"/>
    <x v="0"/>
    <s v="Oficinas"/>
    <n v="273"/>
    <s v="Venta"/>
    <n v="92399.6"/>
    <n v="2373075"/>
    <n v="1898460"/>
    <n v="382215.4"/>
    <s v="Sabrina"/>
    <n v="4"/>
  </r>
  <r>
    <n v="2439"/>
    <d v="2018-05-27T00:00:00"/>
    <x v="909"/>
    <x v="2"/>
    <s v="Casa"/>
    <n v="204"/>
    <s v="Venta"/>
    <n v="54196.160000000003"/>
    <n v="1417589"/>
    <n v="1134071.2"/>
    <n v="229321.64000000004"/>
    <s v="Ángeles"/>
    <n v="4.7"/>
  </r>
  <r>
    <n v="2440"/>
    <d v="2018-05-27T00:00:00"/>
    <x v="804"/>
    <x v="1"/>
    <s v="Terreno"/>
    <n v="74"/>
    <s v="Venta"/>
    <n v="30702.799999999999"/>
    <n v="822805"/>
    <n v="658244"/>
    <n v="133858.20000000001"/>
    <s v="Iván"/>
    <n v="4.5999999999999996"/>
  </r>
  <r>
    <n v="2441"/>
    <d v="2018-05-28T00:00:00"/>
    <x v="800"/>
    <x v="1"/>
    <s v="Oficinas"/>
    <n v="100"/>
    <s v="Venta"/>
    <n v="31011.72"/>
    <n v="831803"/>
    <n v="665442.4"/>
    <n v="135348.87999999998"/>
    <s v="Carlos"/>
    <n v="4.9000000000000004"/>
  </r>
  <r>
    <n v="2442"/>
    <d v="2018-05-28T00:00:00"/>
    <x v="853"/>
    <x v="1"/>
    <s v="Oficinas"/>
    <n v="189"/>
    <s v="Venta"/>
    <n v="57949.32"/>
    <n v="1502543"/>
    <n v="1202034.3999999999"/>
    <n v="242559.28000000009"/>
    <s v="Romina"/>
    <n v="4.9000000000000004"/>
  </r>
  <r>
    <n v="2443"/>
    <d v="2018-05-28T00:00:00"/>
    <x v="929"/>
    <x v="0"/>
    <s v="Depósito"/>
    <n v="250"/>
    <s v="Venta"/>
    <n v="45698.52"/>
    <n v="1199273"/>
    <n v="959418.4"/>
    <n v="194156.08"/>
    <s v="Sabrina"/>
    <n v="4.5"/>
  </r>
  <r>
    <n v="2444"/>
    <d v="2018-05-28T00:00:00"/>
    <x v="930"/>
    <x v="1"/>
    <s v="Oficinas"/>
    <n v="100"/>
    <s v="Venta"/>
    <n v="35931"/>
    <n v="958685"/>
    <n v="766948"/>
    <n v="155806"/>
    <s v="Arturo"/>
    <n v="3.9"/>
  </r>
  <r>
    <n v="2445"/>
    <d v="2018-05-29T00:00:00"/>
    <x v="898"/>
    <x v="0"/>
    <s v="Casa"/>
    <n v="33"/>
    <s v="Alquiler"/>
    <n v="12108.8"/>
    <n v="365205"/>
    <n v="292164"/>
    <n v="60932.2"/>
    <s v="Sabrina"/>
    <n v="4.2"/>
  </r>
  <r>
    <n v="2446"/>
    <d v="2018-05-29T00:00:00"/>
    <x v="931"/>
    <x v="3"/>
    <s v="Departamento"/>
    <n v="221"/>
    <s v="Venta"/>
    <n v="86981.8"/>
    <n v="2240105"/>
    <n v="1792084"/>
    <n v="361039.2"/>
    <s v="Carlos"/>
    <n v="3.6"/>
  </r>
  <r>
    <n v="2447"/>
    <d v="2018-05-29T00:00:00"/>
    <x v="793"/>
    <x v="0"/>
    <s v="Casa"/>
    <n v="197"/>
    <s v="Venta"/>
    <n v="60363.92"/>
    <n v="1561383"/>
    <n v="1249106.3999999999"/>
    <n v="251912.68000000011"/>
    <s v="Romina"/>
    <n v="5"/>
  </r>
  <r>
    <n v="2448"/>
    <d v="2018-05-30T00:00:00"/>
    <x v="772"/>
    <x v="2"/>
    <s v="Terreno"/>
    <n v="59"/>
    <s v="Alquiler"/>
    <n v="17366.599999999999"/>
    <n v="495125"/>
    <n v="396100"/>
    <n v="81658.399999999994"/>
    <s v="Carlos"/>
    <n v="3.7"/>
  </r>
  <r>
    <n v="2449"/>
    <d v="2018-05-30T00:00:00"/>
    <x v="932"/>
    <x v="0"/>
    <s v="Departamento"/>
    <n v="79"/>
    <s v="Venta"/>
    <n v="31936.720000000001"/>
    <n v="862003"/>
    <n v="689602.4"/>
    <n v="140463.87999999998"/>
    <s v="Carlos"/>
    <n v="4.5999999999999996"/>
  </r>
  <r>
    <n v="2450"/>
    <d v="2018-05-30T00:00:00"/>
    <x v="831"/>
    <x v="2"/>
    <s v="Departamento"/>
    <n v="177"/>
    <s v="Venta"/>
    <n v="56869.04"/>
    <n v="1474711"/>
    <n v="1179768.8"/>
    <n v="238073.15999999995"/>
    <s v="Arturo"/>
    <n v="3.7"/>
  </r>
  <r>
    <n v="2451"/>
    <d v="2018-05-31T00:00:00"/>
    <x v="772"/>
    <x v="0"/>
    <s v="Depósito"/>
    <n v="81"/>
    <s v="Alquiler"/>
    <n v="15970"/>
    <n v="455735"/>
    <n v="364588"/>
    <n v="75177"/>
    <s v="Ángeles"/>
    <n v="4.9000000000000004"/>
  </r>
  <r>
    <n v="2452"/>
    <d v="2018-05-31T00:00:00"/>
    <x v="747"/>
    <x v="2"/>
    <s v="Estacionamiento"/>
    <n v="184"/>
    <s v="Venta"/>
    <n v="55362.8"/>
    <n v="1446855"/>
    <n v="1157484"/>
    <n v="234008.2"/>
    <s v="Ángeles"/>
    <n v="3.7"/>
  </r>
  <r>
    <n v="2453"/>
    <d v="2018-05-31T00:00:00"/>
    <x v="800"/>
    <x v="0"/>
    <s v="Departamento"/>
    <n v="151"/>
    <s v="Venta"/>
    <n v="35522"/>
    <n v="952985"/>
    <n v="762388"/>
    <n v="155075"/>
    <s v="Carlos"/>
    <n v="4.9000000000000004"/>
  </r>
  <r>
    <n v="2454"/>
    <d v="2018-06-01T00:00:00"/>
    <x v="817"/>
    <x v="3"/>
    <s v="Oficinas"/>
    <n v="227"/>
    <s v="Venta"/>
    <n v="51016.800000000003"/>
    <n v="1342205"/>
    <n v="1073764"/>
    <n v="217424.2"/>
    <s v="Sabrina"/>
    <n v="4.2"/>
  </r>
  <r>
    <n v="2455"/>
    <d v="2018-06-01T00:00:00"/>
    <x v="933"/>
    <x v="2"/>
    <s v="Local Comercial"/>
    <n v="160"/>
    <s v="Alquiler"/>
    <n v="26346.720000000001"/>
    <n v="721853"/>
    <n v="577482.4"/>
    <n v="118023.87999999998"/>
    <s v="Romina"/>
    <n v="4.0999999999999996"/>
  </r>
  <r>
    <n v="2456"/>
    <d v="2018-06-01T00:00:00"/>
    <x v="904"/>
    <x v="2"/>
    <s v="Departamento"/>
    <n v="264"/>
    <s v="Venta"/>
    <n v="43200.4"/>
    <n v="1133495"/>
    <n v="906796"/>
    <n v="183498.6"/>
    <s v="Ángeles"/>
    <n v="3.7"/>
  </r>
  <r>
    <n v="2457"/>
    <d v="2018-06-02T00:00:00"/>
    <x v="859"/>
    <x v="3"/>
    <s v="Casa"/>
    <n v="203"/>
    <s v="Venta"/>
    <n v="79868.72"/>
    <n v="2053753"/>
    <n v="1643002.4"/>
    <n v="330881.88000000012"/>
    <s v="Sabrina"/>
    <n v="3.6"/>
  </r>
  <r>
    <n v="2458"/>
    <d v="2018-06-02T00:00:00"/>
    <x v="813"/>
    <x v="0"/>
    <s v="Casa"/>
    <n v="183"/>
    <s v="Venta"/>
    <n v="52803.12"/>
    <n v="1378763"/>
    <n v="1103010.3999999999"/>
    <n v="222949.4800000001"/>
    <s v="Romina"/>
    <n v="3.7"/>
  </r>
  <r>
    <n v="2459"/>
    <d v="2018-06-02T00:00:00"/>
    <x v="920"/>
    <x v="1"/>
    <s v="Casa"/>
    <n v="239"/>
    <s v="Venta"/>
    <n v="41061.480000000003"/>
    <n v="1081247"/>
    <n v="864997.6"/>
    <n v="175187.92"/>
    <s v="Ángeles"/>
    <n v="4.2"/>
  </r>
  <r>
    <n v="2460"/>
    <d v="2018-06-03T00:00:00"/>
    <x v="934"/>
    <x v="3"/>
    <s v="Depósito"/>
    <n v="107"/>
    <s v="Venta"/>
    <n v="40357"/>
    <n v="1062785"/>
    <n v="850228"/>
    <n v="172200"/>
    <s v="Sabrina"/>
    <n v="5"/>
  </r>
  <r>
    <n v="2461"/>
    <d v="2018-06-03T00:00:00"/>
    <x v="919"/>
    <x v="2"/>
    <s v="Terreno"/>
    <n v="259"/>
    <s v="Venta"/>
    <n v="72774.759999999995"/>
    <n v="1880179"/>
    <n v="1504143.2"/>
    <n v="303261.04000000004"/>
    <s v="Romina"/>
    <n v="4.5999999999999996"/>
  </r>
  <r>
    <n v="2462"/>
    <d v="2018-06-03T00:00:00"/>
    <x v="868"/>
    <x v="1"/>
    <s v="Casa"/>
    <n v="115"/>
    <s v="Venta"/>
    <n v="43657.120000000003"/>
    <n v="1143513"/>
    <n v="914810.4"/>
    <n v="185045.47999999998"/>
    <s v="Arturo"/>
    <n v="3.8"/>
  </r>
  <r>
    <n v="2463"/>
    <d v="2018-06-03T00:00:00"/>
    <x v="890"/>
    <x v="1"/>
    <s v="Oficinas"/>
    <n v="218"/>
    <s v="Venta"/>
    <n v="67355.399999999994"/>
    <n v="1742245"/>
    <n v="1393796"/>
    <n v="281093.59999999998"/>
    <s v="Iván"/>
    <n v="4.9000000000000004"/>
  </r>
  <r>
    <n v="2464"/>
    <d v="2018-06-04T00:00:00"/>
    <x v="834"/>
    <x v="1"/>
    <s v="Departamento"/>
    <n v="54"/>
    <s v="Alquiler"/>
    <n v="13566.84"/>
    <n v="397181"/>
    <n v="317744.8"/>
    <n v="65869.360000000015"/>
    <s v="Arturo"/>
    <n v="4"/>
  </r>
  <r>
    <n v="2465"/>
    <d v="2018-06-04T00:00:00"/>
    <x v="935"/>
    <x v="1"/>
    <s v="Departamento"/>
    <n v="253"/>
    <s v="Venta"/>
    <n v="63733.2"/>
    <n v="1653165"/>
    <n v="1322532"/>
    <n v="266899.8"/>
    <s v="Romina"/>
    <n v="4.8"/>
  </r>
  <r>
    <n v="2466"/>
    <d v="2018-06-04T00:00:00"/>
    <x v="768"/>
    <x v="0"/>
    <s v="Terreno"/>
    <n v="126"/>
    <s v="Alquiler"/>
    <n v="23783.119999999999"/>
    <n v="653363"/>
    <n v="522690.4"/>
    <n v="106889.47999999998"/>
    <s v="Ángeles"/>
    <n v="3.6"/>
  </r>
  <r>
    <n v="2467"/>
    <d v="2018-06-05T00:00:00"/>
    <x v="845"/>
    <x v="1"/>
    <s v="Estacionamiento"/>
    <n v="205"/>
    <s v="Venta"/>
    <n v="44314.04"/>
    <n v="1163436"/>
    <n v="930748.8"/>
    <n v="188373.15999999995"/>
    <s v="Carlos"/>
    <n v="3.9"/>
  </r>
  <r>
    <n v="2468"/>
    <d v="2018-06-05T00:00:00"/>
    <x v="881"/>
    <x v="3"/>
    <s v="Estacionamiento"/>
    <n v="159"/>
    <s v="Venta"/>
    <n v="41860.04"/>
    <n v="1104861"/>
    <n v="883888.8"/>
    <n v="179112.15999999995"/>
    <s v="Romina"/>
    <n v="4.3"/>
  </r>
  <r>
    <n v="2469"/>
    <d v="2018-06-05T00:00:00"/>
    <x v="918"/>
    <x v="3"/>
    <s v="Terreno"/>
    <n v="167"/>
    <s v="Venta"/>
    <n v="49336.12"/>
    <n v="1288313"/>
    <n v="1030650.4"/>
    <n v="208326.47999999998"/>
    <s v="Carlos"/>
    <n v="3.6"/>
  </r>
  <r>
    <n v="2470"/>
    <d v="2018-06-06T00:00:00"/>
    <x v="845"/>
    <x v="3"/>
    <s v="Terreno"/>
    <n v="120"/>
    <s v="Venta"/>
    <n v="47237.760000000002"/>
    <n v="1235879"/>
    <n v="988703.2"/>
    <n v="199938.04000000004"/>
    <s v="Romina"/>
    <n v="4.8"/>
  </r>
  <r>
    <n v="2471"/>
    <d v="2018-06-06T00:00:00"/>
    <x v="920"/>
    <x v="3"/>
    <s v="Oficinas"/>
    <n v="257"/>
    <s v="Venta"/>
    <n v="52655.96"/>
    <n v="1380509"/>
    <n v="1104407.2"/>
    <n v="223445.84000000005"/>
    <s v="Ángeles"/>
    <n v="3.8"/>
  </r>
  <r>
    <n v="2472"/>
    <d v="2018-06-06T00:00:00"/>
    <x v="909"/>
    <x v="0"/>
    <s v="Terreno"/>
    <n v="164"/>
    <s v="Venta"/>
    <n v="55248.4"/>
    <n v="1433545"/>
    <n v="1146836"/>
    <n v="231460.6"/>
    <s v="Arturo"/>
    <n v="3.8"/>
  </r>
  <r>
    <n v="2473"/>
    <d v="2018-06-06T00:00:00"/>
    <x v="775"/>
    <x v="0"/>
    <s v="Local Comercial"/>
    <n v="211"/>
    <s v="Venta"/>
    <n v="53395.44"/>
    <n v="1399896"/>
    <n v="1119916.8"/>
    <n v="226583.75999999995"/>
    <s v="Romina"/>
    <n v="4.4000000000000004"/>
  </r>
  <r>
    <n v="2474"/>
    <d v="2018-06-06T00:00:00"/>
    <x v="886"/>
    <x v="3"/>
    <s v="Terreno"/>
    <n v="291"/>
    <s v="Venta"/>
    <n v="93459.04"/>
    <n v="2389661"/>
    <n v="1911728.8"/>
    <n v="384473.16"/>
    <s v="Arturo"/>
    <n v="4.2"/>
  </r>
  <r>
    <n v="2475"/>
    <d v="2018-06-06T00:00:00"/>
    <x v="934"/>
    <x v="0"/>
    <s v="Casa"/>
    <n v="69"/>
    <s v="Alquiler"/>
    <n v="14609.16"/>
    <n v="432364"/>
    <n v="345891.2"/>
    <n v="71863.639999999985"/>
    <s v="Iván"/>
    <n v="4.2"/>
  </r>
  <r>
    <n v="2476"/>
    <d v="2018-06-06T00:00:00"/>
    <x v="936"/>
    <x v="0"/>
    <s v="Oficinas"/>
    <n v="203"/>
    <s v="Venta"/>
    <n v="64895.6"/>
    <n v="1674000"/>
    <n v="1339200"/>
    <n v="269904.40000000002"/>
    <s v="Iván"/>
    <n v="5"/>
  </r>
  <r>
    <n v="2477"/>
    <d v="2018-06-06T00:00:00"/>
    <x v="789"/>
    <x v="2"/>
    <s v="Departamento"/>
    <n v="212"/>
    <s v="Venta"/>
    <n v="38494.6"/>
    <n v="1021400"/>
    <n v="817120"/>
    <n v="165785.4"/>
    <s v="Ángeles"/>
    <n v="4.5999999999999996"/>
  </r>
  <r>
    <n v="2478"/>
    <d v="2018-06-07T00:00:00"/>
    <x v="776"/>
    <x v="1"/>
    <s v="Local Comercial"/>
    <n v="196"/>
    <s v="Venta"/>
    <n v="52729.120000000003"/>
    <n v="1378763"/>
    <n v="1103010.3999999999"/>
    <n v="223023.4800000001"/>
    <s v="Sabrina"/>
    <n v="4.0999999999999996"/>
  </r>
  <r>
    <n v="2479"/>
    <d v="2018-06-07T00:00:00"/>
    <x v="911"/>
    <x v="3"/>
    <s v="Depósito"/>
    <n v="267"/>
    <s v="Venta"/>
    <n v="104580"/>
    <n v="2668985"/>
    <n v="2135188"/>
    <n v="429217"/>
    <s v="Romina"/>
    <n v="5"/>
  </r>
  <r>
    <n v="2480"/>
    <d v="2018-06-08T00:00:00"/>
    <x v="756"/>
    <x v="1"/>
    <s v="Casa"/>
    <n v="108"/>
    <s v="Venta"/>
    <n v="45162.400000000001"/>
    <n v="1184070"/>
    <n v="947256"/>
    <n v="191651.6"/>
    <s v="Carlos"/>
    <n v="4.3"/>
  </r>
  <r>
    <n v="2481"/>
    <d v="2018-06-08T00:00:00"/>
    <x v="852"/>
    <x v="2"/>
    <s v="Depósito"/>
    <n v="68"/>
    <s v="Alquiler"/>
    <n v="14090.36"/>
    <n v="414844"/>
    <n v="331875.20000000001"/>
    <n v="68878.439999999988"/>
    <s v="Arturo"/>
    <n v="4.5"/>
  </r>
  <r>
    <n v="2482"/>
    <d v="2018-06-08T00:00:00"/>
    <x v="937"/>
    <x v="0"/>
    <s v="Casa"/>
    <n v="249"/>
    <s v="Venta"/>
    <n v="94324.800000000003"/>
    <n v="2416655"/>
    <n v="1933324"/>
    <n v="389006.2"/>
    <s v="Arturo"/>
    <n v="4.7"/>
  </r>
  <r>
    <n v="2483"/>
    <d v="2018-06-09T00:00:00"/>
    <x v="938"/>
    <x v="1"/>
    <s v="Local Comercial"/>
    <n v="263"/>
    <s v="Venta"/>
    <n v="87707.76"/>
    <n v="2247779"/>
    <n v="1798223.2"/>
    <n v="361848.04000000004"/>
    <s v="Carlos"/>
    <n v="3.6"/>
  </r>
  <r>
    <n v="2484"/>
    <d v="2018-06-10T00:00:00"/>
    <x v="889"/>
    <x v="1"/>
    <s v="Depósito"/>
    <n v="154"/>
    <s v="Venta"/>
    <n v="53660.2"/>
    <n v="1404965"/>
    <n v="1123972"/>
    <n v="227332.8"/>
    <s v="Carlos"/>
    <n v="4.5"/>
  </r>
  <r>
    <n v="2485"/>
    <d v="2018-06-10T00:00:00"/>
    <x v="939"/>
    <x v="3"/>
    <s v="Depósito"/>
    <n v="84"/>
    <s v="Venta"/>
    <n v="33684.199999999997"/>
    <n v="908765"/>
    <n v="727012"/>
    <n v="148068.79999999999"/>
    <s v="Carlos"/>
    <n v="4.7"/>
  </r>
  <r>
    <n v="2486"/>
    <d v="2018-06-10T00:00:00"/>
    <x v="843"/>
    <x v="0"/>
    <s v="Oficinas"/>
    <n v="115"/>
    <s v="Venta"/>
    <n v="44960.88"/>
    <n v="1186382"/>
    <n v="949105.6"/>
    <n v="192315.52000000002"/>
    <s v="Sabrina"/>
    <n v="4.0999999999999996"/>
  </r>
  <r>
    <n v="2487"/>
    <d v="2018-06-11T00:00:00"/>
    <x v="854"/>
    <x v="0"/>
    <s v="Depósito"/>
    <n v="73"/>
    <s v="Alquiler"/>
    <n v="29012.880000000001"/>
    <n v="782307"/>
    <n v="625845.6"/>
    <n v="127448.52000000002"/>
    <s v="Iván"/>
    <n v="4.0999999999999996"/>
  </r>
  <r>
    <n v="2488"/>
    <d v="2018-06-11T00:00:00"/>
    <x v="885"/>
    <x v="0"/>
    <s v="Oficinas"/>
    <n v="144"/>
    <s v="Alquiler"/>
    <n v="26826.68"/>
    <n v="737977"/>
    <n v="590381.6"/>
    <n v="120768.72000000003"/>
    <s v="Romina"/>
    <n v="3.7"/>
  </r>
  <r>
    <n v="2489"/>
    <d v="2018-06-11T00:00:00"/>
    <x v="940"/>
    <x v="2"/>
    <s v="Local Comercial"/>
    <n v="126"/>
    <s v="Venta"/>
    <n v="36423.480000000003"/>
    <n v="972672"/>
    <n v="778137.59999999998"/>
    <n v="158110.92000000001"/>
    <s v="Arturo"/>
    <n v="4.4000000000000004"/>
  </r>
  <r>
    <n v="2490"/>
    <d v="2018-06-11T00:00:00"/>
    <x v="780"/>
    <x v="1"/>
    <s v="Local Comercial"/>
    <n v="120"/>
    <s v="Venta"/>
    <n v="43270"/>
    <n v="1138985"/>
    <n v="911188"/>
    <n v="184527"/>
    <s v="Arturo"/>
    <n v="4.0999999999999996"/>
  </r>
  <r>
    <n v="2491"/>
    <d v="2018-06-11T00:00:00"/>
    <x v="846"/>
    <x v="0"/>
    <s v="Terreno"/>
    <n v="160"/>
    <s v="Venta"/>
    <n v="47412.2"/>
    <n v="1240490"/>
    <n v="992392"/>
    <n v="200685.8"/>
    <s v="Ángeles"/>
    <n v="4.3"/>
  </r>
  <r>
    <n v="2492"/>
    <d v="2018-06-11T00:00:00"/>
    <x v="832"/>
    <x v="1"/>
    <s v="Terreno"/>
    <n v="226"/>
    <s v="Venta"/>
    <n v="81788.160000000003"/>
    <n v="2106014"/>
    <n v="1684811.2"/>
    <n v="339414.64"/>
    <s v="Iván"/>
    <n v="4.4000000000000004"/>
  </r>
  <r>
    <n v="2493"/>
    <d v="2018-06-13T00:00:00"/>
    <x v="805"/>
    <x v="0"/>
    <s v="Local Comercial"/>
    <n v="277"/>
    <s v="Venta"/>
    <n v="107963.36"/>
    <n v="2754119"/>
    <n v="2203295.2000000002"/>
    <n v="442860.43999999983"/>
    <s v="Arturo"/>
    <n v="4.4000000000000004"/>
  </r>
  <r>
    <n v="2494"/>
    <d v="2018-06-14T00:00:00"/>
    <x v="941"/>
    <x v="3"/>
    <s v="Casa"/>
    <n v="232"/>
    <s v="Venta"/>
    <n v="88804.68"/>
    <n v="2271852"/>
    <n v="1817481.6"/>
    <n v="365565.71999999991"/>
    <s v="Ángeles"/>
    <n v="5"/>
  </r>
  <r>
    <n v="2495"/>
    <d v="2018-06-15T00:00:00"/>
    <x v="809"/>
    <x v="2"/>
    <s v="Casa"/>
    <n v="157"/>
    <s v="Venta"/>
    <n v="40087.199999999997"/>
    <n v="1063665"/>
    <n v="850932"/>
    <n v="172645.8"/>
    <s v="Ángeles"/>
    <n v="4.9000000000000004"/>
  </r>
  <r>
    <n v="2496"/>
    <d v="2018-06-16T00:00:00"/>
    <x v="916"/>
    <x v="0"/>
    <s v="Casa"/>
    <n v="159"/>
    <s v="Venta"/>
    <n v="45460.4"/>
    <n v="1203345"/>
    <n v="962676"/>
    <n v="195208.6"/>
    <s v="Carlos"/>
    <n v="4.9000000000000004"/>
  </r>
  <r>
    <n v="2497"/>
    <d v="2018-06-16T00:00:00"/>
    <x v="942"/>
    <x v="0"/>
    <s v="Local Comercial"/>
    <n v="139"/>
    <s v="Venta"/>
    <n v="37532.44"/>
    <n v="991471"/>
    <n v="793176.8"/>
    <n v="160761.75999999995"/>
    <s v="Ángeles"/>
    <n v="4.3"/>
  </r>
  <r>
    <n v="2498"/>
    <d v="2018-06-16T00:00:00"/>
    <x v="943"/>
    <x v="3"/>
    <s v="Estacionamiento"/>
    <n v="79"/>
    <s v="Venta"/>
    <n v="30844.6"/>
    <n v="833700"/>
    <n v="666960"/>
    <n v="135895.4"/>
    <s v="Arturo"/>
    <n v="4"/>
  </r>
  <r>
    <n v="2499"/>
    <d v="2018-06-16T00:00:00"/>
    <x v="858"/>
    <x v="1"/>
    <s v="Terreno"/>
    <n v="274"/>
    <s v="Venta"/>
    <n v="94229.2"/>
    <n v="2420965"/>
    <n v="1936772"/>
    <n v="389963.8"/>
    <s v="Arturo"/>
    <n v="4.3"/>
  </r>
  <r>
    <n v="2500"/>
    <d v="2018-06-17T00:00:00"/>
    <x v="825"/>
    <x v="2"/>
    <s v="Departamento"/>
    <n v="175"/>
    <s v="Venta"/>
    <n v="34490.6"/>
    <n v="924425"/>
    <n v="739540"/>
    <n v="150394.4"/>
    <s v="Iván"/>
    <n v="4.7"/>
  </r>
  <r>
    <n v="2501"/>
    <d v="2018-06-17T00:00:00"/>
    <x v="804"/>
    <x v="0"/>
    <s v="Terreno"/>
    <n v="128"/>
    <s v="Venta"/>
    <n v="42133.24"/>
    <n v="1119741"/>
    <n v="895792.8"/>
    <n v="181814.95999999996"/>
    <s v="Iván"/>
    <n v="3.7"/>
  </r>
  <r>
    <n v="2502"/>
    <d v="2018-06-17T00:00:00"/>
    <x v="779"/>
    <x v="2"/>
    <s v="Oficinas"/>
    <n v="240"/>
    <s v="Venta"/>
    <n v="80641.2"/>
    <n v="2067290"/>
    <n v="1653832"/>
    <n v="332816.8"/>
    <s v="Ángeles"/>
    <n v="5"/>
  </r>
  <r>
    <n v="2503"/>
    <d v="2018-06-18T00:00:00"/>
    <x v="834"/>
    <x v="0"/>
    <s v="Casa"/>
    <n v="40"/>
    <s v="Alquiler"/>
    <n v="6537.8"/>
    <n v="217655"/>
    <n v="174124"/>
    <n v="36993.199999999997"/>
    <s v="Iván"/>
    <n v="4.3"/>
  </r>
  <r>
    <n v="2504"/>
    <d v="2018-06-18T00:00:00"/>
    <x v="793"/>
    <x v="1"/>
    <s v="Terreno"/>
    <n v="294"/>
    <s v="Venta"/>
    <n v="85448.4"/>
    <n v="2198645"/>
    <n v="1758916"/>
    <n v="354280.6"/>
    <s v="Iván"/>
    <n v="3.7"/>
  </r>
  <r>
    <n v="2505"/>
    <d v="2018-06-20T00:00:00"/>
    <x v="932"/>
    <x v="0"/>
    <s v="Departamento"/>
    <n v="59"/>
    <s v="Alquiler"/>
    <n v="15689.4"/>
    <n v="450395"/>
    <n v="360316"/>
    <n v="74389.600000000006"/>
    <s v="Ángeles"/>
    <n v="4.2"/>
  </r>
  <r>
    <n v="2506"/>
    <d v="2018-06-21T00:00:00"/>
    <x v="944"/>
    <x v="3"/>
    <s v="Casa"/>
    <n v="272"/>
    <s v="Venta"/>
    <n v="89364.92"/>
    <n v="2286833"/>
    <n v="1829466.4"/>
    <n v="368001.68000000011"/>
    <s v="Iván"/>
    <n v="3.6"/>
  </r>
  <r>
    <n v="2507"/>
    <d v="2018-06-21T00:00:00"/>
    <x v="832"/>
    <x v="0"/>
    <s v="Terreno"/>
    <n v="208"/>
    <s v="Venta"/>
    <n v="68781.72"/>
    <n v="1772553"/>
    <n v="1418042.4"/>
    <n v="285728.88000000012"/>
    <s v="Carlos"/>
    <n v="4"/>
  </r>
  <r>
    <n v="2508"/>
    <d v="2018-06-21T00:00:00"/>
    <x v="842"/>
    <x v="2"/>
    <s v="Departamento"/>
    <n v="90"/>
    <s v="Alquiler"/>
    <n v="23784.720000000001"/>
    <n v="656703"/>
    <n v="525362.4"/>
    <n v="107555.87999999998"/>
    <s v="Iván"/>
    <n v="3.7"/>
  </r>
  <r>
    <n v="2509"/>
    <d v="2018-06-21T00:00:00"/>
    <x v="945"/>
    <x v="0"/>
    <s v="Terreno"/>
    <n v="234"/>
    <s v="Venta"/>
    <n v="52033.760000000002"/>
    <n v="1364154"/>
    <n v="1091323.2"/>
    <n v="220797.04000000004"/>
    <s v="Iván"/>
    <n v="5"/>
  </r>
  <r>
    <n v="2510"/>
    <d v="2018-06-22T00:00:00"/>
    <x v="703"/>
    <x v="2"/>
    <s v="Terreno"/>
    <n v="85"/>
    <s v="Venta"/>
    <n v="34296.559999999998"/>
    <n v="921824"/>
    <n v="737459.19999999995"/>
    <n v="150068.24000000005"/>
    <s v="Arturo"/>
    <n v="3.7"/>
  </r>
  <r>
    <n v="2511"/>
    <d v="2018-06-22T00:00:00"/>
    <x v="767"/>
    <x v="2"/>
    <s v="Oficinas"/>
    <n v="240"/>
    <s v="Venta"/>
    <n v="86805.08"/>
    <n v="2234987"/>
    <n v="1787989.6"/>
    <n v="360192.31999999989"/>
    <s v="Romina"/>
    <n v="4.2"/>
  </r>
  <r>
    <n v="2512"/>
    <d v="2018-06-23T00:00:00"/>
    <x v="883"/>
    <x v="2"/>
    <s v="Estacionamiento"/>
    <n v="171"/>
    <s v="Venta"/>
    <n v="39752.480000000003"/>
    <n v="1047347"/>
    <n v="837877.6"/>
    <n v="169716.92"/>
    <s v="Romina"/>
    <n v="5"/>
  </r>
  <r>
    <n v="2513"/>
    <d v="2018-06-23T00:00:00"/>
    <x v="926"/>
    <x v="2"/>
    <s v="Oficinas"/>
    <n v="292"/>
    <s v="Venta"/>
    <n v="97320.92"/>
    <n v="2495283"/>
    <n v="1996226.4"/>
    <n v="401735.68000000011"/>
    <s v="Iván"/>
    <n v="4.3"/>
  </r>
  <r>
    <n v="2514"/>
    <d v="2018-06-24T00:00:00"/>
    <x v="898"/>
    <x v="3"/>
    <s v="Oficinas"/>
    <n v="172"/>
    <s v="Alquiler"/>
    <n v="27955.64"/>
    <n v="754751"/>
    <n v="603800.80000000005"/>
    <n v="122994.55999999995"/>
    <s v="Carlos"/>
    <n v="3.7"/>
  </r>
  <r>
    <n v="2515"/>
    <d v="2018-06-24T00:00:00"/>
    <x v="946"/>
    <x v="0"/>
    <s v="Terreno"/>
    <n v="278"/>
    <s v="Venta"/>
    <n v="60239.6"/>
    <n v="1558100"/>
    <n v="1246480"/>
    <n v="251380.4"/>
    <s v="Romina"/>
    <n v="4.9000000000000004"/>
  </r>
  <r>
    <n v="2516"/>
    <d v="2018-06-24T00:00:00"/>
    <x v="776"/>
    <x v="3"/>
    <s v="Estacionamiento"/>
    <n v="110"/>
    <s v="Venta"/>
    <n v="30865.599999999999"/>
    <n v="833700"/>
    <n v="666960"/>
    <n v="135874.4"/>
    <s v="Ángeles"/>
    <n v="3.9"/>
  </r>
  <r>
    <n v="2517"/>
    <d v="2018-06-25T00:00:00"/>
    <x v="947"/>
    <x v="2"/>
    <s v="Estacionamiento"/>
    <n v="210"/>
    <s v="Venta"/>
    <n v="49409.2"/>
    <n v="1289990"/>
    <n v="1031992"/>
    <n v="208588.79999999999"/>
    <s v="Ángeles"/>
    <n v="3.8"/>
  </r>
  <r>
    <n v="2518"/>
    <d v="2018-06-25T00:00:00"/>
    <x v="948"/>
    <x v="3"/>
    <s v="Estacionamiento"/>
    <n v="148"/>
    <s v="Venta"/>
    <n v="35815.199999999997"/>
    <n v="948815"/>
    <n v="759052"/>
    <n v="153947.79999999999"/>
    <s v="Arturo"/>
    <n v="3.6"/>
  </r>
  <r>
    <n v="2519"/>
    <d v="2018-06-25T00:00:00"/>
    <x v="751"/>
    <x v="2"/>
    <s v="Departamento"/>
    <n v="239"/>
    <s v="Venta"/>
    <n v="42735.48"/>
    <n v="1124297"/>
    <n v="899437.6"/>
    <n v="182123.92"/>
    <s v="Iván"/>
    <n v="4.2"/>
  </r>
  <r>
    <n v="2520"/>
    <d v="2018-06-26T00:00:00"/>
    <x v="943"/>
    <x v="0"/>
    <s v="Casa"/>
    <n v="95"/>
    <s v="Venta"/>
    <n v="31701.84"/>
    <n v="856106"/>
    <n v="684884.8"/>
    <n v="139519.35999999996"/>
    <s v="Arturo"/>
    <n v="4.8"/>
  </r>
  <r>
    <n v="2521"/>
    <d v="2018-06-28T00:00:00"/>
    <x v="867"/>
    <x v="2"/>
    <s v="Estacionamiento"/>
    <n v="67"/>
    <s v="Alquiler"/>
    <n v="11960.24"/>
    <n v="356766"/>
    <n v="285412.8"/>
    <n v="59392.960000000014"/>
    <s v="Iván"/>
    <n v="4.8"/>
  </r>
  <r>
    <n v="2522"/>
    <d v="2018-06-28T00:00:00"/>
    <x v="821"/>
    <x v="3"/>
    <s v="Departamento"/>
    <n v="209"/>
    <s v="Venta"/>
    <n v="58955.8"/>
    <n v="1540905"/>
    <n v="1232724"/>
    <n v="249225.2"/>
    <s v="Carlos"/>
    <n v="4"/>
  </r>
  <r>
    <n v="2523"/>
    <d v="2018-06-30T00:00:00"/>
    <x v="940"/>
    <x v="3"/>
    <s v="Casa"/>
    <n v="62"/>
    <s v="Alquiler"/>
    <n v="15239.2"/>
    <n v="433265"/>
    <n v="346612"/>
    <n v="71413.8"/>
    <s v="Romina"/>
    <n v="4.9000000000000004"/>
  </r>
  <r>
    <n v="2524"/>
    <d v="2018-06-30T00:00:00"/>
    <x v="949"/>
    <x v="0"/>
    <s v="Terreno"/>
    <n v="202"/>
    <s v="Venta"/>
    <n v="72777"/>
    <n v="1880910"/>
    <n v="1504728"/>
    <n v="303405"/>
    <s v="Arturo"/>
    <n v="3.6"/>
  </r>
  <r>
    <n v="2525"/>
    <d v="2018-06-30T00:00:00"/>
    <x v="950"/>
    <x v="2"/>
    <s v="Departamento"/>
    <n v="287"/>
    <s v="Venta"/>
    <n v="113368.52"/>
    <n v="2886248"/>
    <n v="2308998.4"/>
    <n v="463881.08000000007"/>
    <s v="Carlos"/>
    <n v="3.7"/>
  </r>
  <r>
    <n v="2526"/>
    <d v="2018-07-01T00:00:00"/>
    <x v="951"/>
    <x v="2"/>
    <s v="Terreno"/>
    <n v="157"/>
    <s v="Venta"/>
    <n v="30386"/>
    <n v="810885"/>
    <n v="648708"/>
    <n v="131791"/>
    <s v="Carlos"/>
    <n v="4"/>
  </r>
  <r>
    <n v="2527"/>
    <d v="2018-07-01T00:00:00"/>
    <x v="753"/>
    <x v="0"/>
    <s v="Terreno"/>
    <n v="207"/>
    <s v="Venta"/>
    <n v="66738.960000000006"/>
    <n v="1727609"/>
    <n v="1382087.2"/>
    <n v="278782.84000000003"/>
    <s v="Ángeles"/>
    <n v="4.5"/>
  </r>
  <r>
    <n v="2528"/>
    <d v="2018-07-01T00:00:00"/>
    <x v="952"/>
    <x v="0"/>
    <s v="Estacionamiento"/>
    <n v="86"/>
    <s v="Alquiler"/>
    <n v="22902.92"/>
    <n v="631183"/>
    <n v="504946.4"/>
    <n v="103333.67999999998"/>
    <s v="Iván"/>
    <n v="4.5"/>
  </r>
  <r>
    <n v="2529"/>
    <d v="2018-07-01T00:00:00"/>
    <x v="864"/>
    <x v="2"/>
    <s v="Estacionamiento"/>
    <n v="230"/>
    <s v="Venta"/>
    <n v="46690.44"/>
    <n v="1219121"/>
    <n v="975296.8"/>
    <n v="197133.75999999995"/>
    <s v="Romina"/>
    <n v="4.3"/>
  </r>
  <r>
    <n v="2530"/>
    <d v="2018-07-02T00:00:00"/>
    <x v="953"/>
    <x v="2"/>
    <s v="Casa"/>
    <n v="190"/>
    <s v="Venta"/>
    <n v="61902.2"/>
    <n v="1612865"/>
    <n v="1290292"/>
    <n v="260670.8"/>
    <s v="Sabrina"/>
    <n v="4.0999999999999996"/>
  </r>
  <r>
    <n v="2531"/>
    <d v="2018-07-02T00:00:00"/>
    <x v="906"/>
    <x v="0"/>
    <s v="Terreno"/>
    <n v="144"/>
    <s v="Venta"/>
    <n v="53332.36"/>
    <n v="1399469"/>
    <n v="1119575.2"/>
    <n v="226561.44000000006"/>
    <s v="Romina"/>
    <n v="4.4000000000000004"/>
  </r>
  <r>
    <n v="2532"/>
    <d v="2018-07-02T00:00:00"/>
    <x v="786"/>
    <x v="0"/>
    <s v="Oficinas"/>
    <n v="158"/>
    <s v="Venta"/>
    <n v="50805.88"/>
    <n v="1335432"/>
    <n v="1068345.6000000001"/>
    <n v="216280.5199999999"/>
    <s v="Ángeles"/>
    <n v="4.8"/>
  </r>
  <r>
    <n v="2533"/>
    <d v="2018-07-02T00:00:00"/>
    <x v="781"/>
    <x v="0"/>
    <s v="Oficinas"/>
    <n v="180"/>
    <s v="Venta"/>
    <n v="41276.639999999999"/>
    <n v="1096401"/>
    <n v="877120.8"/>
    <n v="178003.55999999994"/>
    <s v="Romina"/>
    <n v="3.8"/>
  </r>
  <r>
    <n v="2534"/>
    <d v="2018-07-04T00:00:00"/>
    <x v="916"/>
    <x v="3"/>
    <s v="Departamento"/>
    <n v="68"/>
    <s v="Alquiler"/>
    <n v="11429.52"/>
    <n v="340773"/>
    <n v="272618.40000000002"/>
    <n v="56725.079999999973"/>
    <s v="Sabrina"/>
    <n v="4.5"/>
  </r>
  <r>
    <n v="2535"/>
    <d v="2018-07-04T00:00:00"/>
    <x v="794"/>
    <x v="0"/>
    <s v="Terreno"/>
    <n v="271"/>
    <s v="Venta"/>
    <n v="95894"/>
    <n v="2451810"/>
    <n v="1961448"/>
    <n v="394468"/>
    <s v="Romina"/>
    <n v="4.3"/>
  </r>
  <r>
    <n v="2536"/>
    <d v="2018-07-04T00:00:00"/>
    <x v="832"/>
    <x v="3"/>
    <s v="Estacionamiento"/>
    <n v="262"/>
    <s v="Venta"/>
    <n v="82703.759999999995"/>
    <n v="2127629"/>
    <n v="1702103.2"/>
    <n v="342822.04000000004"/>
    <s v="Sabrina"/>
    <n v="4.5"/>
  </r>
  <r>
    <n v="2537"/>
    <d v="2018-07-04T00:00:00"/>
    <x v="954"/>
    <x v="2"/>
    <s v="Depósito"/>
    <n v="245"/>
    <s v="Venta"/>
    <n v="50953"/>
    <n v="1334985"/>
    <n v="1067988"/>
    <n v="216044"/>
    <s v="Carlos"/>
    <n v="4.2"/>
  </r>
  <r>
    <n v="2538"/>
    <d v="2018-07-05T00:00:00"/>
    <x v="775"/>
    <x v="3"/>
    <s v="Terreno"/>
    <n v="280"/>
    <s v="Venta"/>
    <n v="58040.4"/>
    <n v="1506670"/>
    <n v="1205336"/>
    <n v="243293.6"/>
    <s v="Iván"/>
    <n v="3.6"/>
  </r>
  <r>
    <n v="2539"/>
    <d v="2018-07-06T00:00:00"/>
    <x v="923"/>
    <x v="2"/>
    <s v="Depósito"/>
    <n v="205"/>
    <s v="Venta"/>
    <n v="69352.56"/>
    <n v="1795449"/>
    <n v="1436359.2"/>
    <n v="289737.24000000005"/>
    <s v="Sabrina"/>
    <n v="4.4000000000000004"/>
  </r>
  <r>
    <n v="2540"/>
    <d v="2018-07-06T00:00:00"/>
    <x v="949"/>
    <x v="2"/>
    <s v="Depósito"/>
    <n v="69"/>
    <s v="Alquiler"/>
    <n v="21171.599999999999"/>
    <n v="582925"/>
    <n v="466340"/>
    <n v="95413.4"/>
    <s v="Sabrina"/>
    <n v="4.2"/>
  </r>
  <r>
    <n v="2541"/>
    <d v="2018-07-07T00:00:00"/>
    <x v="955"/>
    <x v="3"/>
    <s v="Oficinas"/>
    <n v="55"/>
    <s v="Alquiler"/>
    <n v="13048.4"/>
    <n v="387095"/>
    <n v="309676"/>
    <n v="64370.6"/>
    <s v="Ángeles"/>
    <n v="3.8"/>
  </r>
  <r>
    <n v="2542"/>
    <d v="2018-07-08T00:00:00"/>
    <x v="916"/>
    <x v="2"/>
    <s v="Casa"/>
    <n v="242"/>
    <s v="Venta"/>
    <n v="50265.8"/>
    <n v="1320530"/>
    <n v="1056424"/>
    <n v="213840.2"/>
    <s v="Carlos"/>
    <n v="3.7"/>
  </r>
  <r>
    <n v="2543"/>
    <d v="2018-07-08T00:00:00"/>
    <x v="953"/>
    <x v="3"/>
    <s v="Casa"/>
    <n v="100"/>
    <s v="Venta"/>
    <n v="29637.8"/>
    <n v="802805"/>
    <n v="642244"/>
    <n v="130923.2"/>
    <s v="Iván"/>
    <n v="4.4000000000000004"/>
  </r>
  <r>
    <n v="2544"/>
    <d v="2018-07-08T00:00:00"/>
    <x v="901"/>
    <x v="2"/>
    <s v="Estacionamiento"/>
    <n v="151"/>
    <s v="Venta"/>
    <n v="32691.8"/>
    <n v="881855"/>
    <n v="705484"/>
    <n v="143679.20000000001"/>
    <s v="Carlos"/>
    <n v="4.9000000000000004"/>
  </r>
  <r>
    <n v="2545"/>
    <d v="2018-07-09T00:00:00"/>
    <x v="756"/>
    <x v="0"/>
    <s v="Oficinas"/>
    <n v="77"/>
    <s v="Alquiler"/>
    <n v="25047.4"/>
    <n v="691370"/>
    <n v="553096"/>
    <n v="113226.6"/>
    <s v="Arturo"/>
    <n v="4.2"/>
  </r>
  <r>
    <n v="2546"/>
    <d v="2018-07-09T00:00:00"/>
    <x v="750"/>
    <x v="2"/>
    <s v="Terreno"/>
    <n v="151"/>
    <s v="Venta"/>
    <n v="35541.56"/>
    <n v="951324"/>
    <n v="761059.2"/>
    <n v="154723.24000000005"/>
    <s v="Iván"/>
    <n v="3.7"/>
  </r>
  <r>
    <n v="2547"/>
    <d v="2018-07-10T00:00:00"/>
    <x v="928"/>
    <x v="3"/>
    <s v="Depósito"/>
    <n v="80"/>
    <s v="Alquiler"/>
    <n v="19207.12"/>
    <n v="539963"/>
    <n v="431970.4"/>
    <n v="88785.479999999981"/>
    <s v="Carlos"/>
    <n v="4.5"/>
  </r>
  <r>
    <n v="2548"/>
    <d v="2018-07-10T00:00:00"/>
    <x v="924"/>
    <x v="2"/>
    <s v="Casa"/>
    <n v="45"/>
    <s v="Alquiler"/>
    <n v="14378"/>
    <n v="426885"/>
    <n v="341508"/>
    <n v="70999"/>
    <s v="Romina"/>
    <n v="3.9"/>
  </r>
  <r>
    <n v="2549"/>
    <d v="2018-07-10T00:00:00"/>
    <x v="950"/>
    <x v="0"/>
    <s v="Oficinas"/>
    <n v="88"/>
    <s v="Alquiler"/>
    <n v="19316.2"/>
    <n v="548915"/>
    <n v="439132"/>
    <n v="90466.8"/>
    <s v="Romina"/>
    <n v="3.8"/>
  </r>
  <r>
    <n v="2550"/>
    <d v="2018-07-10T00:00:00"/>
    <x v="956"/>
    <x v="3"/>
    <s v="Oficinas"/>
    <n v="184"/>
    <s v="Venta"/>
    <n v="44128.92"/>
    <n v="1163958"/>
    <n v="931166.4"/>
    <n v="188662.68"/>
    <s v="Sabrina"/>
    <n v="4.8"/>
  </r>
  <r>
    <n v="2551"/>
    <d v="2018-07-11T00:00:00"/>
    <x v="865"/>
    <x v="2"/>
    <s v="Estacionamiento"/>
    <n v="133"/>
    <s v="Alquiler"/>
    <n v="25574.92"/>
    <n v="705233"/>
    <n v="564186.4"/>
    <n v="115471.67999999998"/>
    <s v="Romina"/>
    <n v="4.2"/>
  </r>
  <r>
    <n v="2552"/>
    <d v="2018-07-13T00:00:00"/>
    <x v="946"/>
    <x v="3"/>
    <s v="Local Comercial"/>
    <n v="163"/>
    <s v="Venta"/>
    <n v="34661.64"/>
    <n v="925426"/>
    <n v="740340.8"/>
    <n v="150423.55999999994"/>
    <s v="Sabrina"/>
    <n v="3.7"/>
  </r>
  <r>
    <n v="2553"/>
    <d v="2018-07-13T00:00:00"/>
    <x v="930"/>
    <x v="1"/>
    <s v="Casa"/>
    <n v="286"/>
    <s v="Venta"/>
    <n v="107300.8"/>
    <n v="2738705"/>
    <n v="2190964"/>
    <n v="440440.2"/>
    <s v="Romina"/>
    <n v="4"/>
  </r>
  <r>
    <n v="2554"/>
    <d v="2018-07-14T00:00:00"/>
    <x v="957"/>
    <x v="0"/>
    <s v="Casa"/>
    <n v="132"/>
    <s v="Venta"/>
    <n v="34175.800000000003"/>
    <n v="916355"/>
    <n v="733084"/>
    <n v="149095.20000000001"/>
    <s v="Arturo"/>
    <n v="3.9"/>
  </r>
  <r>
    <n v="2555"/>
    <d v="2018-07-16T00:00:00"/>
    <x v="921"/>
    <x v="2"/>
    <s v="Departamento"/>
    <n v="267"/>
    <s v="Venta"/>
    <n v="86947.36"/>
    <n v="2226019"/>
    <n v="1780815.2"/>
    <n v="358256.44000000006"/>
    <s v="Sabrina"/>
    <n v="3.6"/>
  </r>
  <r>
    <n v="2556"/>
    <d v="2018-07-16T00:00:00"/>
    <x v="871"/>
    <x v="0"/>
    <s v="Casa"/>
    <n v="80"/>
    <s v="Alquiler"/>
    <n v="13868.72"/>
    <n v="411728"/>
    <n v="329382.40000000002"/>
    <n v="68476.879999999976"/>
    <s v="Arturo"/>
    <n v="4.9000000000000004"/>
  </r>
  <r>
    <n v="2557"/>
    <d v="2018-07-16T00:00:00"/>
    <x v="958"/>
    <x v="1"/>
    <s v="Departamento"/>
    <n v="125"/>
    <s v="Venta"/>
    <n v="41844.400000000001"/>
    <n v="1098195"/>
    <n v="878556"/>
    <n v="177794.6"/>
    <s v="Arturo"/>
    <n v="3.7"/>
  </r>
  <r>
    <n v="2558"/>
    <d v="2018-07-16T00:00:00"/>
    <x v="933"/>
    <x v="1"/>
    <s v="Departamento"/>
    <n v="95"/>
    <s v="Venta"/>
    <n v="34636.32"/>
    <n v="926093"/>
    <n v="740874.4"/>
    <n v="150582.27999999997"/>
    <s v="Ángeles"/>
    <n v="4.5"/>
  </r>
  <r>
    <n v="2559"/>
    <d v="2018-07-17T00:00:00"/>
    <x v="878"/>
    <x v="0"/>
    <s v="Terreno"/>
    <n v="149"/>
    <s v="Venta"/>
    <n v="37231.599999999999"/>
    <n v="987100"/>
    <n v="789680"/>
    <n v="160188.4"/>
    <s v="Ángeles"/>
    <n v="4"/>
  </r>
  <r>
    <n v="2560"/>
    <d v="2018-07-17T00:00:00"/>
    <x v="959"/>
    <x v="1"/>
    <s v="Local Comercial"/>
    <n v="229"/>
    <s v="Venta"/>
    <n v="39671.56"/>
    <n v="1053449"/>
    <n v="842759.2"/>
    <n v="171018.24000000005"/>
    <s v="Sabrina"/>
    <n v="4.7"/>
  </r>
  <r>
    <n v="2561"/>
    <d v="2018-07-17T00:00:00"/>
    <x v="860"/>
    <x v="2"/>
    <s v="Estacionamiento"/>
    <n v="237"/>
    <s v="Venta"/>
    <n v="51628.92"/>
    <n v="1352133"/>
    <n v="1081706.3999999999"/>
    <n v="218797.68000000011"/>
    <s v="Ángeles"/>
    <n v="4.4000000000000004"/>
  </r>
  <r>
    <n v="2562"/>
    <d v="2018-07-18T00:00:00"/>
    <x v="754"/>
    <x v="2"/>
    <s v="Terreno"/>
    <n v="248"/>
    <s v="Venta"/>
    <n v="74996.92"/>
    <n v="1926233"/>
    <n v="1540986.4"/>
    <n v="310249.68000000011"/>
    <s v="Sabrina"/>
    <n v="5"/>
  </r>
  <r>
    <n v="2563"/>
    <d v="2018-07-18T00:00:00"/>
    <x v="808"/>
    <x v="2"/>
    <s v="Oficinas"/>
    <n v="225"/>
    <s v="Venta"/>
    <n v="64355.92"/>
    <n v="1670858"/>
    <n v="1336686.3999999999"/>
    <n v="269815.68000000011"/>
    <s v="Iván"/>
    <n v="4.3"/>
  </r>
  <r>
    <n v="2564"/>
    <d v="2018-07-19T00:00:00"/>
    <x v="925"/>
    <x v="0"/>
    <s v="Local Comercial"/>
    <n v="270"/>
    <s v="Venta"/>
    <n v="106206"/>
    <n v="2718710"/>
    <n v="2174968"/>
    <n v="437536"/>
    <s v="Arturo"/>
    <n v="3.9"/>
  </r>
  <r>
    <n v="2565"/>
    <d v="2018-07-19T00:00:00"/>
    <x v="960"/>
    <x v="1"/>
    <s v="Terreno"/>
    <n v="207"/>
    <s v="Venta"/>
    <n v="53581.16"/>
    <n v="1396064"/>
    <n v="1116851.2"/>
    <n v="225631.64000000004"/>
    <s v="Romina"/>
    <n v="5"/>
  </r>
  <r>
    <n v="2566"/>
    <d v="2018-07-19T00:00:00"/>
    <x v="745"/>
    <x v="2"/>
    <s v="Departamento"/>
    <n v="147"/>
    <s v="Venta"/>
    <n v="41819"/>
    <n v="1112735"/>
    <n v="890188"/>
    <n v="180728"/>
    <s v="Romina"/>
    <n v="4.3"/>
  </r>
  <r>
    <n v="2567"/>
    <d v="2018-07-20T00:00:00"/>
    <x v="915"/>
    <x v="3"/>
    <s v="Depósito"/>
    <n v="259"/>
    <s v="Venta"/>
    <n v="64349.2"/>
    <n v="1669415"/>
    <n v="1335532"/>
    <n v="269533.8"/>
    <s v="Ángeles"/>
    <n v="4"/>
  </r>
  <r>
    <n v="2568"/>
    <d v="2018-07-20T00:00:00"/>
    <x v="884"/>
    <x v="0"/>
    <s v="Departamento"/>
    <n v="164"/>
    <s v="Venta"/>
    <n v="40989.199999999997"/>
    <n v="1075865"/>
    <n v="860692"/>
    <n v="174183.8"/>
    <s v="Carlos"/>
    <n v="4.9000000000000004"/>
  </r>
  <r>
    <n v="2569"/>
    <d v="2018-07-21T00:00:00"/>
    <x v="961"/>
    <x v="2"/>
    <s v="Casa"/>
    <n v="255"/>
    <s v="Venta"/>
    <n v="67104.759999999995"/>
    <n v="1737479"/>
    <n v="1389983.2"/>
    <n v="280391.04000000004"/>
    <s v="Iván"/>
    <n v="3.6"/>
  </r>
  <r>
    <n v="2570"/>
    <d v="2018-07-21T00:00:00"/>
    <x v="962"/>
    <x v="2"/>
    <s v="Terreno"/>
    <n v="62"/>
    <s v="Alquiler"/>
    <n v="18588"/>
    <n v="526085"/>
    <n v="420868"/>
    <n v="86629"/>
    <s v="Iván"/>
    <n v="4"/>
  </r>
  <r>
    <n v="2571"/>
    <d v="2018-07-21T00:00:00"/>
    <x v="861"/>
    <x v="0"/>
    <s v="Depósito"/>
    <n v="87"/>
    <s v="Alquiler"/>
    <n v="25534.880000000001"/>
    <n v="695507"/>
    <n v="556405.6"/>
    <n v="113566.52000000002"/>
    <s v="Arturo"/>
    <n v="4.8"/>
  </r>
  <r>
    <n v="2572"/>
    <d v="2018-07-22T00:00:00"/>
    <x v="910"/>
    <x v="2"/>
    <s v="Terreno"/>
    <n v="254"/>
    <s v="Venta"/>
    <n v="64142.16"/>
    <n v="1663264"/>
    <n v="1330611.2"/>
    <n v="268510.64"/>
    <s v="Carlos"/>
    <n v="3.8"/>
  </r>
  <r>
    <n v="2573"/>
    <d v="2018-07-22T00:00:00"/>
    <x v="960"/>
    <x v="2"/>
    <s v="Oficinas"/>
    <n v="58"/>
    <s v="Alquiler"/>
    <n v="18209.96"/>
    <n v="522309"/>
    <n v="417847.2"/>
    <n v="86251.839999999997"/>
    <s v="Ángeles"/>
    <n v="3.7"/>
  </r>
  <r>
    <n v="2574"/>
    <d v="2018-07-22T00:00:00"/>
    <x v="839"/>
    <x v="0"/>
    <s v="Terreno"/>
    <n v="195"/>
    <s v="Venta"/>
    <n v="40199"/>
    <n v="1057485"/>
    <n v="845988"/>
    <n v="171298"/>
    <s v="Carlos"/>
    <n v="3.6"/>
  </r>
  <r>
    <n v="2575"/>
    <d v="2018-07-23T00:00:00"/>
    <x v="944"/>
    <x v="2"/>
    <s v="Estacionamiento"/>
    <n v="150"/>
    <s v="Venta"/>
    <n v="42989.4"/>
    <n v="1132345"/>
    <n v="905876"/>
    <n v="183479.6"/>
    <s v="Sabrina"/>
    <n v="4.7"/>
  </r>
  <r>
    <n v="2576"/>
    <d v="2018-07-23T00:00:00"/>
    <x v="832"/>
    <x v="1"/>
    <s v="Departamento"/>
    <n v="94"/>
    <s v="Alquiler"/>
    <n v="19019.84"/>
    <n v="534031"/>
    <n v="427224.8"/>
    <n v="87786.360000000015"/>
    <s v="Sabrina"/>
    <n v="3.6"/>
  </r>
  <r>
    <n v="2577"/>
    <d v="2018-07-24T00:00:00"/>
    <x v="963"/>
    <x v="1"/>
    <s v="Departamento"/>
    <n v="107"/>
    <s v="Alquiler"/>
    <n v="26001.32"/>
    <n v="706693"/>
    <n v="565354.4"/>
    <n v="115337.27999999997"/>
    <s v="Ángeles"/>
    <n v="4.5"/>
  </r>
  <r>
    <n v="2578"/>
    <d v="2018-07-24T00:00:00"/>
    <x v="847"/>
    <x v="1"/>
    <s v="Terreno"/>
    <n v="157"/>
    <s v="Venta"/>
    <n v="60932.24"/>
    <n v="1586941"/>
    <n v="1269552.8"/>
    <n v="256455.95999999996"/>
    <s v="Romina"/>
    <n v="3.8"/>
  </r>
  <r>
    <n v="2579"/>
    <d v="2018-07-25T00:00:00"/>
    <x v="907"/>
    <x v="3"/>
    <s v="Oficinas"/>
    <n v="192"/>
    <s v="Venta"/>
    <n v="74988.600000000006"/>
    <n v="1936175"/>
    <n v="1548940"/>
    <n v="312246.40000000002"/>
    <s v="Iván"/>
    <n v="3.9"/>
  </r>
  <r>
    <n v="2580"/>
    <d v="2018-07-25T00:00:00"/>
    <x v="898"/>
    <x v="3"/>
    <s v="Terreno"/>
    <n v="154"/>
    <s v="Venta"/>
    <n v="36375.160000000003"/>
    <n v="967589"/>
    <n v="774071.2"/>
    <n v="157142.64000000004"/>
    <s v="Ángeles"/>
    <n v="4.0999999999999996"/>
  </r>
  <r>
    <n v="2581"/>
    <d v="2018-07-27T00:00:00"/>
    <x v="879"/>
    <x v="1"/>
    <s v="Departamento"/>
    <n v="138"/>
    <s v="Venta"/>
    <n v="54049.440000000002"/>
    <n v="1402421"/>
    <n v="1121936.8"/>
    <n v="226434.75999999995"/>
    <s v="Ángeles"/>
    <n v="4.3"/>
  </r>
  <r>
    <n v="2582"/>
    <d v="2018-07-27T00:00:00"/>
    <x v="816"/>
    <x v="0"/>
    <s v="Departamento"/>
    <n v="62"/>
    <s v="Alquiler"/>
    <n v="23341.8"/>
    <n v="634680"/>
    <n v="507744"/>
    <n v="103594.2"/>
    <s v="Carlos"/>
    <n v="5"/>
  </r>
  <r>
    <n v="2583"/>
    <d v="2018-07-28T00:00:00"/>
    <x v="918"/>
    <x v="3"/>
    <s v="Local Comercial"/>
    <n v="232"/>
    <s v="Venta"/>
    <n v="87275.8"/>
    <n v="2236480"/>
    <n v="1789184"/>
    <n v="360020.2"/>
    <s v="Iván"/>
    <n v="4.5999999999999996"/>
  </r>
  <r>
    <n v="2584"/>
    <d v="2018-07-28T00:00:00"/>
    <x v="773"/>
    <x v="0"/>
    <s v="Estacionamiento"/>
    <n v="276"/>
    <s v="Venta"/>
    <n v="46021"/>
    <n v="1206785"/>
    <n v="965428"/>
    <n v="195336"/>
    <s v="Iván"/>
    <n v="4.3"/>
  </r>
  <r>
    <n v="2585"/>
    <d v="2018-07-29T00:00:00"/>
    <x v="964"/>
    <x v="1"/>
    <s v="Depósito"/>
    <n v="110"/>
    <s v="Alquiler"/>
    <n v="23361.599999999999"/>
    <n v="647225"/>
    <n v="517780"/>
    <n v="106083.4"/>
    <s v="Ángeles"/>
    <n v="3.9"/>
  </r>
  <r>
    <n v="2586"/>
    <d v="2018-07-29T00:00:00"/>
    <x v="965"/>
    <x v="3"/>
    <s v="Terreno"/>
    <n v="80"/>
    <s v="Venta"/>
    <n v="29815.4"/>
    <n v="806345"/>
    <n v="645076"/>
    <n v="131453.6"/>
    <s v="Carlos"/>
    <n v="4"/>
  </r>
  <r>
    <n v="2587"/>
    <d v="2018-07-30T00:00:00"/>
    <x v="966"/>
    <x v="2"/>
    <s v="Depósito"/>
    <n v="89"/>
    <s v="Venta"/>
    <n v="33969.32"/>
    <n v="904268"/>
    <n v="723414.4"/>
    <n v="146884.27999999997"/>
    <s v="Ángeles"/>
    <n v="4.7"/>
  </r>
  <r>
    <n v="2588"/>
    <d v="2018-07-31T00:00:00"/>
    <x v="850"/>
    <x v="3"/>
    <s v="Local Comercial"/>
    <n v="95"/>
    <s v="Alquiler"/>
    <n v="26935.68"/>
    <n v="724577"/>
    <n v="579661.6"/>
    <n v="117979.72000000003"/>
    <s v="Carlos"/>
    <n v="4.8"/>
  </r>
  <r>
    <n v="2589"/>
    <d v="2018-07-31T00:00:00"/>
    <x v="967"/>
    <x v="3"/>
    <s v="Casa"/>
    <n v="189"/>
    <s v="Venta"/>
    <n v="58131.360000000001"/>
    <n v="1513019"/>
    <n v="1210415.2"/>
    <n v="244472.44000000006"/>
    <s v="Sabrina"/>
    <n v="4.3"/>
  </r>
  <r>
    <n v="2590"/>
    <d v="2018-07-31T00:00:00"/>
    <x v="953"/>
    <x v="3"/>
    <s v="Local Comercial"/>
    <n v="285"/>
    <s v="Venta"/>
    <n v="114258.28"/>
    <n v="2910692"/>
    <n v="2328553.6"/>
    <n v="467880.11999999988"/>
    <s v="Iván"/>
    <n v="4.8"/>
  </r>
  <r>
    <n v="2591"/>
    <d v="2018-07-31T00:00:00"/>
    <x v="968"/>
    <x v="1"/>
    <s v="Oficinas"/>
    <n v="47"/>
    <s v="Alquiler"/>
    <n v="14642.84"/>
    <n v="431581"/>
    <n v="345264.8"/>
    <n v="71673.360000000015"/>
    <s v="Ángeles"/>
    <n v="4.0999999999999996"/>
  </r>
  <r>
    <n v="2592"/>
    <d v="2018-08-02T00:00:00"/>
    <x v="969"/>
    <x v="3"/>
    <s v="Estacionamiento"/>
    <n v="256"/>
    <s v="Venta"/>
    <n v="46935.48"/>
    <n v="1239022"/>
    <n v="991217.6"/>
    <n v="200868.92"/>
    <s v="Ángeles"/>
    <n v="4.5999999999999996"/>
  </r>
  <r>
    <n v="2593"/>
    <d v="2018-08-02T00:00:00"/>
    <x v="846"/>
    <x v="2"/>
    <s v="Departamento"/>
    <n v="233"/>
    <s v="Venta"/>
    <n v="68520.320000000007"/>
    <n v="1768718"/>
    <n v="1414974.4"/>
    <n v="285223.28000000009"/>
    <s v="Arturo"/>
    <n v="4.4000000000000004"/>
  </r>
  <r>
    <n v="2594"/>
    <d v="2018-08-02T00:00:00"/>
    <x v="847"/>
    <x v="3"/>
    <s v="Depósito"/>
    <n v="292"/>
    <s v="Venta"/>
    <n v="67571.199999999997"/>
    <n v="1742765"/>
    <n v="1394212"/>
    <n v="280981.8"/>
    <s v="Carlos"/>
    <n v="5"/>
  </r>
  <r>
    <n v="2595"/>
    <d v="2018-08-03T00:00:00"/>
    <x v="911"/>
    <x v="1"/>
    <s v="Depósito"/>
    <n v="47"/>
    <s v="Alquiler"/>
    <n v="15068.04"/>
    <n v="432236"/>
    <n v="345788.8"/>
    <n v="71379.16"/>
    <s v="Carlos"/>
    <n v="4.4000000000000004"/>
  </r>
  <r>
    <n v="2596"/>
    <d v="2018-08-04T00:00:00"/>
    <x v="922"/>
    <x v="3"/>
    <s v="Oficinas"/>
    <n v="179"/>
    <s v="Venta"/>
    <n v="59980.72"/>
    <n v="1564103"/>
    <n v="1251282.3999999999"/>
    <n v="252839.88000000009"/>
    <s v="Carlos"/>
    <n v="4.3"/>
  </r>
  <r>
    <n v="2597"/>
    <d v="2018-08-04T00:00:00"/>
    <x v="850"/>
    <x v="1"/>
    <s v="Estacionamiento"/>
    <n v="109"/>
    <s v="Venta"/>
    <n v="34424.6"/>
    <n v="916925"/>
    <n v="733540"/>
    <n v="148960.4"/>
    <s v="Ángeles"/>
    <n v="5"/>
  </r>
  <r>
    <n v="2598"/>
    <d v="2018-08-06T00:00:00"/>
    <x v="918"/>
    <x v="2"/>
    <s v="Departamento"/>
    <n v="231"/>
    <s v="Venta"/>
    <n v="78990.28"/>
    <n v="2030867"/>
    <n v="1624693.6"/>
    <n v="327183.11999999988"/>
    <s v="Ángeles"/>
    <n v="5"/>
  </r>
  <r>
    <n v="2599"/>
    <d v="2018-08-06T00:00:00"/>
    <x v="894"/>
    <x v="2"/>
    <s v="Depósito"/>
    <n v="247"/>
    <s v="Venta"/>
    <n v="87352.16"/>
    <n v="2248464"/>
    <n v="1798771.2"/>
    <n v="362340.64"/>
    <s v="Ángeles"/>
    <n v="4.7"/>
  </r>
  <r>
    <n v="2600"/>
    <d v="2018-08-07T00:00:00"/>
    <x v="889"/>
    <x v="0"/>
    <s v="Casa"/>
    <n v="164"/>
    <s v="Venta"/>
    <n v="66267.28"/>
    <n v="1710092"/>
    <n v="1368073.6"/>
    <n v="275751.11999999988"/>
    <s v="Sabrina"/>
    <n v="4.9000000000000004"/>
  </r>
  <r>
    <n v="2601"/>
    <d v="2018-08-07T00:00:00"/>
    <x v="904"/>
    <x v="3"/>
    <s v="Terreno"/>
    <n v="244"/>
    <s v="Venta"/>
    <n v="55796.480000000003"/>
    <n v="1459022"/>
    <n v="1167217.6000000001"/>
    <n v="236007.9199999999"/>
    <s v="Sabrina"/>
    <n v="4.5999999999999996"/>
  </r>
  <r>
    <n v="2602"/>
    <d v="2018-08-08T00:00:00"/>
    <x v="754"/>
    <x v="1"/>
    <s v="Depósito"/>
    <n v="207"/>
    <s v="Venta"/>
    <n v="57466.879999999997"/>
    <n v="1492807"/>
    <n v="1194245.6000000001"/>
    <n v="241094.5199999999"/>
    <s v="Romina"/>
    <n v="3.7"/>
  </r>
  <r>
    <n v="2603"/>
    <d v="2018-08-08T00:00:00"/>
    <x v="833"/>
    <x v="3"/>
    <s v="Local Comercial"/>
    <n v="74"/>
    <s v="Alquiler"/>
    <n v="23042.12"/>
    <n v="633263"/>
    <n v="506610.4"/>
    <n v="103610.47999999998"/>
    <s v="Arturo"/>
    <n v="4.0999999999999996"/>
  </r>
  <r>
    <n v="2604"/>
    <d v="2018-08-08T00:00:00"/>
    <x v="828"/>
    <x v="2"/>
    <s v="Departamento"/>
    <n v="128"/>
    <s v="Venta"/>
    <n v="41412.080000000002"/>
    <n v="1089712"/>
    <n v="871769.59999999998"/>
    <n v="176530.32"/>
    <s v="Iván"/>
    <n v="4.8"/>
  </r>
  <r>
    <n v="2605"/>
    <d v="2018-08-09T00:00:00"/>
    <x v="834"/>
    <x v="1"/>
    <s v="Casa"/>
    <n v="269"/>
    <s v="Venta"/>
    <n v="48217"/>
    <n v="1269485"/>
    <n v="1015588"/>
    <n v="205680"/>
    <s v="Carlos"/>
    <n v="3.9"/>
  </r>
  <r>
    <n v="2606"/>
    <d v="2018-08-10T00:00:00"/>
    <x v="970"/>
    <x v="2"/>
    <s v="Estacionamiento"/>
    <n v="228"/>
    <s v="Venta"/>
    <n v="53003.24"/>
    <n v="1378141"/>
    <n v="1102512.8"/>
    <n v="222624.95999999996"/>
    <s v="Carlos"/>
    <n v="3.9"/>
  </r>
  <r>
    <n v="2607"/>
    <d v="2018-08-11T00:00:00"/>
    <x v="971"/>
    <x v="2"/>
    <s v="Depósito"/>
    <n v="261"/>
    <s v="Venta"/>
    <n v="78661.320000000007"/>
    <n v="2021293"/>
    <n v="1617034.4"/>
    <n v="325597.28000000009"/>
    <s v="Romina"/>
    <n v="4.9000000000000004"/>
  </r>
  <r>
    <n v="2608"/>
    <d v="2018-08-11T00:00:00"/>
    <x v="922"/>
    <x v="3"/>
    <s v="Local Comercial"/>
    <n v="263"/>
    <s v="Venta"/>
    <n v="67010.8"/>
    <n v="1741805"/>
    <n v="1393444"/>
    <n v="281350.2"/>
    <s v="Sabrina"/>
    <n v="3.7"/>
  </r>
  <r>
    <n v="2609"/>
    <d v="2018-08-11T00:00:00"/>
    <x v="807"/>
    <x v="3"/>
    <s v="Oficinas"/>
    <n v="215"/>
    <s v="Venta"/>
    <n v="70268.600000000006"/>
    <n v="1809025"/>
    <n v="1447220"/>
    <n v="291536.40000000002"/>
    <s v="Arturo"/>
    <n v="4.4000000000000004"/>
  </r>
  <r>
    <n v="2610"/>
    <d v="2018-08-11T00:00:00"/>
    <x v="820"/>
    <x v="3"/>
    <s v="Terreno"/>
    <n v="109"/>
    <s v="Venta"/>
    <n v="42570.239999999998"/>
    <n v="1129941"/>
    <n v="903952.8"/>
    <n v="183417.95999999996"/>
    <s v="Arturo"/>
    <n v="3.6"/>
  </r>
  <r>
    <n v="2611"/>
    <d v="2018-08-11T00:00:00"/>
    <x v="880"/>
    <x v="1"/>
    <s v="Terreno"/>
    <n v="268"/>
    <s v="Venta"/>
    <n v="51813"/>
    <n v="1360610"/>
    <n v="1088488"/>
    <n v="220309"/>
    <s v="Romina"/>
    <n v="4.0999999999999996"/>
  </r>
  <r>
    <n v="2612"/>
    <d v="2018-08-13T00:00:00"/>
    <x v="832"/>
    <x v="3"/>
    <s v="Oficinas"/>
    <n v="104"/>
    <s v="Alquiler"/>
    <n v="24912.400000000001"/>
    <n v="679545"/>
    <n v="543636"/>
    <n v="110996.6"/>
    <s v="Romina"/>
    <n v="4.8"/>
  </r>
  <r>
    <n v="2613"/>
    <d v="2018-08-13T00:00:00"/>
    <x v="773"/>
    <x v="1"/>
    <s v="Casa"/>
    <n v="79"/>
    <s v="Alquiler"/>
    <n v="28665.439999999999"/>
    <n v="769721"/>
    <n v="615776.80000000005"/>
    <n v="125278.75999999995"/>
    <s v="Iván"/>
    <n v="3.8"/>
  </r>
  <r>
    <n v="2614"/>
    <d v="2018-08-14T00:00:00"/>
    <x v="810"/>
    <x v="0"/>
    <s v="Oficinas"/>
    <n v="186"/>
    <s v="Venta"/>
    <n v="63845"/>
    <n v="1658885"/>
    <n v="1327108"/>
    <n v="267932"/>
    <s v="Romina"/>
    <n v="4.4000000000000004"/>
  </r>
  <r>
    <n v="2615"/>
    <d v="2018-08-14T00:00:00"/>
    <x v="972"/>
    <x v="3"/>
    <s v="Local Comercial"/>
    <n v="202"/>
    <s v="Venta"/>
    <n v="58087.76"/>
    <n v="1509704"/>
    <n v="1207763.2"/>
    <n v="243853.04000000004"/>
    <s v="Iván"/>
    <n v="3.7"/>
  </r>
  <r>
    <n v="2616"/>
    <d v="2018-08-16T00:00:00"/>
    <x v="794"/>
    <x v="3"/>
    <s v="Local Comercial"/>
    <n v="74"/>
    <s v="Alquiler"/>
    <n v="21078.16"/>
    <n v="594089"/>
    <n v="475271.2"/>
    <n v="97739.639999999985"/>
    <s v="Romina"/>
    <n v="3.7"/>
  </r>
  <r>
    <n v="2617"/>
    <d v="2018-08-17T00:00:00"/>
    <x v="854"/>
    <x v="2"/>
    <s v="Departamento"/>
    <n v="173"/>
    <s v="Venta"/>
    <n v="37101.96"/>
    <n v="990734"/>
    <n v="792587.2"/>
    <n v="161044.84000000005"/>
    <s v="Romina"/>
    <n v="4.2"/>
  </r>
  <r>
    <n v="2618"/>
    <d v="2018-08-21T00:00:00"/>
    <x v="894"/>
    <x v="0"/>
    <s v="Depósito"/>
    <n v="64"/>
    <s v="Alquiler"/>
    <n v="12372.72"/>
    <n v="372528"/>
    <n v="298022.40000000002"/>
    <n v="62132.879999999976"/>
    <s v="Sabrina"/>
    <n v="3.9"/>
  </r>
  <r>
    <n v="2619"/>
    <d v="2018-08-21T00:00:00"/>
    <x v="852"/>
    <x v="0"/>
    <s v="Casa"/>
    <n v="252"/>
    <s v="Venta"/>
    <n v="100830.44"/>
    <n v="2575721"/>
    <n v="2060576.8"/>
    <n v="414313.75999999995"/>
    <s v="Carlos"/>
    <n v="3.9"/>
  </r>
  <r>
    <n v="2620"/>
    <d v="2018-08-22T00:00:00"/>
    <x v="852"/>
    <x v="0"/>
    <s v="Depósito"/>
    <n v="158"/>
    <s v="Venta"/>
    <n v="34679"/>
    <n v="925835"/>
    <n v="740668"/>
    <n v="150488"/>
    <s v="Romina"/>
    <n v="4.5999999999999996"/>
  </r>
  <r>
    <n v="2621"/>
    <d v="2018-08-22T00:00:00"/>
    <x v="973"/>
    <x v="1"/>
    <s v="Local Comercial"/>
    <n v="121"/>
    <s v="Venta"/>
    <n v="39192.839999999997"/>
    <n v="1032581"/>
    <n v="826064.8"/>
    <n v="167323.35999999996"/>
    <s v="Sabrina"/>
    <n v="4.8"/>
  </r>
  <r>
    <n v="2622"/>
    <d v="2018-08-22T00:00:00"/>
    <x v="931"/>
    <x v="3"/>
    <s v="Estacionamiento"/>
    <n v="37"/>
    <s v="Alquiler"/>
    <n v="14370.2"/>
    <n v="416765"/>
    <n v="333412"/>
    <n v="68982.8"/>
    <s v="Iván"/>
    <n v="3.6"/>
  </r>
  <r>
    <n v="2623"/>
    <d v="2018-08-23T00:00:00"/>
    <x v="879"/>
    <x v="2"/>
    <s v="Local Comercial"/>
    <n v="169"/>
    <s v="Alquiler"/>
    <n v="29634.16"/>
    <n v="797339"/>
    <n v="637871.19999999995"/>
    <n v="129833.64000000004"/>
    <s v="Iván"/>
    <n v="5"/>
  </r>
  <r>
    <n v="2624"/>
    <d v="2018-08-23T00:00:00"/>
    <x v="854"/>
    <x v="1"/>
    <s v="Depósito"/>
    <n v="34"/>
    <s v="Alquiler"/>
    <n v="7661.8"/>
    <n v="255630"/>
    <n v="204504"/>
    <n v="43464.2"/>
    <s v="Romina"/>
    <n v="4"/>
  </r>
  <r>
    <n v="2625"/>
    <d v="2018-08-24T00:00:00"/>
    <x v="813"/>
    <x v="1"/>
    <s v="Estacionamiento"/>
    <n v="235"/>
    <s v="Venta"/>
    <n v="70827.8"/>
    <n v="1830180"/>
    <n v="1464144"/>
    <n v="295208.2"/>
    <s v="Romina"/>
    <n v="4.5"/>
  </r>
  <r>
    <n v="2626"/>
    <d v="2018-08-25T00:00:00"/>
    <x v="896"/>
    <x v="2"/>
    <s v="Casa"/>
    <n v="51"/>
    <s v="Alquiler"/>
    <n v="12283.92"/>
    <n v="363083"/>
    <n v="290466.40000000002"/>
    <n v="60332.679999999978"/>
    <s v="Ángeles"/>
    <n v="4.7"/>
  </r>
  <r>
    <n v="2627"/>
    <d v="2018-08-25T00:00:00"/>
    <x v="887"/>
    <x v="1"/>
    <s v="Casa"/>
    <n v="221"/>
    <s v="Venta"/>
    <n v="43186.080000000002"/>
    <n v="1132937"/>
    <n v="906349.6"/>
    <n v="183401.32"/>
    <s v="Sabrina"/>
    <n v="3.6"/>
  </r>
  <r>
    <n v="2628"/>
    <d v="2018-08-26T00:00:00"/>
    <x v="870"/>
    <x v="1"/>
    <s v="Depósito"/>
    <n v="58"/>
    <s v="Alquiler"/>
    <n v="20460.72"/>
    <n v="567978"/>
    <n v="454382.4"/>
    <n v="93134.879999999976"/>
    <s v="Iván"/>
    <n v="4.5"/>
  </r>
  <r>
    <n v="2629"/>
    <d v="2018-08-26T00:00:00"/>
    <x v="950"/>
    <x v="1"/>
    <s v="Casa"/>
    <n v="56"/>
    <s v="Alquiler"/>
    <n v="11556.76"/>
    <n v="344229"/>
    <n v="275383.2"/>
    <n v="57289.039999999986"/>
    <s v="Ángeles"/>
    <n v="4.4000000000000004"/>
  </r>
  <r>
    <n v="2630"/>
    <d v="2018-08-27T00:00:00"/>
    <x v="876"/>
    <x v="1"/>
    <s v="Oficinas"/>
    <n v="72"/>
    <s v="Alquiler"/>
    <n v="19006.400000000001"/>
    <n v="535045"/>
    <n v="428036"/>
    <n v="88002.6"/>
    <s v="Arturo"/>
    <n v="3.8"/>
  </r>
  <r>
    <n v="2631"/>
    <d v="2018-08-28T00:00:00"/>
    <x v="974"/>
    <x v="0"/>
    <s v="Departamento"/>
    <n v="257"/>
    <s v="Venta"/>
    <n v="85888.76"/>
    <n v="2209654"/>
    <n v="1767723.2"/>
    <n v="356042.04000000004"/>
    <s v="Ángeles"/>
    <n v="3.7"/>
  </r>
  <r>
    <n v="2632"/>
    <d v="2018-08-29T00:00:00"/>
    <x v="793"/>
    <x v="1"/>
    <s v="Local Comercial"/>
    <n v="266"/>
    <s v="Venta"/>
    <n v="95107.48"/>
    <n v="2435797"/>
    <n v="1948637.6"/>
    <n v="392051.91999999993"/>
    <s v="Sabrina"/>
    <n v="4.4000000000000004"/>
  </r>
  <r>
    <n v="2633"/>
    <d v="2018-08-29T00:00:00"/>
    <x v="821"/>
    <x v="2"/>
    <s v="Departamento"/>
    <n v="38"/>
    <s v="Alquiler"/>
    <n v="14516.88"/>
    <n v="416557"/>
    <n v="333245.59999999998"/>
    <n v="68794.520000000019"/>
    <s v="Carlos"/>
    <n v="4.5999999999999996"/>
  </r>
  <r>
    <n v="2634"/>
    <d v="2018-08-29T00:00:00"/>
    <x v="975"/>
    <x v="0"/>
    <s v="Oficinas"/>
    <n v="212"/>
    <s v="Venta"/>
    <n v="78248.600000000006"/>
    <n v="2017925"/>
    <n v="1614340"/>
    <n v="325336.40000000002"/>
    <s v="Iván"/>
    <n v="5"/>
  </r>
  <r>
    <n v="2635"/>
    <d v="2018-08-30T00:00:00"/>
    <x v="896"/>
    <x v="2"/>
    <s v="Departamento"/>
    <n v="180"/>
    <s v="Venta"/>
    <n v="66654.92"/>
    <n v="1732433"/>
    <n v="1385946.4"/>
    <n v="279831.68000000011"/>
    <s v="Arturo"/>
    <n v="4.0999999999999996"/>
  </r>
  <r>
    <n v="2636"/>
    <d v="2018-08-30T00:00:00"/>
    <x v="865"/>
    <x v="2"/>
    <s v="Local Comercial"/>
    <n v="252"/>
    <s v="Venta"/>
    <n v="82533.600000000006"/>
    <n v="2116775"/>
    <n v="1693420"/>
    <n v="340821.4"/>
    <s v="Sabrina"/>
    <n v="5"/>
  </r>
  <r>
    <n v="2637"/>
    <d v="2018-09-01T00:00:00"/>
    <x v="976"/>
    <x v="1"/>
    <s v="Terreno"/>
    <n v="37"/>
    <s v="Alquiler"/>
    <n v="15200.8"/>
    <n v="440255"/>
    <n v="352204"/>
    <n v="72850.2"/>
    <s v="Iván"/>
    <n v="4.7"/>
  </r>
  <r>
    <n v="2638"/>
    <d v="2018-09-01T00:00:00"/>
    <x v="977"/>
    <x v="1"/>
    <s v="Estacionamiento"/>
    <n v="65"/>
    <s v="Alquiler"/>
    <n v="24453.200000000001"/>
    <n v="670615"/>
    <n v="536492"/>
    <n v="109669.8"/>
    <s v="Carlos"/>
    <n v="4.0999999999999996"/>
  </r>
  <r>
    <n v="2639"/>
    <d v="2018-09-03T00:00:00"/>
    <x v="832"/>
    <x v="3"/>
    <s v="Casa"/>
    <n v="200"/>
    <s v="Venta"/>
    <n v="46960.4"/>
    <n v="1228095"/>
    <n v="982476"/>
    <n v="198658.6"/>
    <s v="Ángeles"/>
    <n v="3.9"/>
  </r>
  <r>
    <n v="2640"/>
    <d v="2018-09-03T00:00:00"/>
    <x v="978"/>
    <x v="2"/>
    <s v="Terreno"/>
    <n v="151"/>
    <s v="Venta"/>
    <n v="61112.88"/>
    <n v="1590257"/>
    <n v="1272205.6000000001"/>
    <n v="256938.5199999999"/>
    <s v="Sabrina"/>
    <n v="5"/>
  </r>
  <r>
    <n v="2641"/>
    <d v="2018-09-04T00:00:00"/>
    <x v="876"/>
    <x v="0"/>
    <s v="Terreno"/>
    <n v="286"/>
    <s v="Venta"/>
    <n v="100166.64"/>
    <n v="2570726"/>
    <n v="2056580.8"/>
    <n v="413978.55999999994"/>
    <s v="Ángeles"/>
    <n v="4.2"/>
  </r>
  <r>
    <n v="2642"/>
    <d v="2018-09-04T00:00:00"/>
    <x v="915"/>
    <x v="3"/>
    <s v="Terreno"/>
    <n v="64"/>
    <s v="Alquiler"/>
    <n v="23391.040000000001"/>
    <n v="649736"/>
    <n v="519788.79999999999"/>
    <n v="106556.16"/>
    <s v="Carlos"/>
    <n v="4.7"/>
  </r>
  <r>
    <n v="2643"/>
    <d v="2018-09-05T00:00:00"/>
    <x v="859"/>
    <x v="0"/>
    <s v="Local Comercial"/>
    <n v="48"/>
    <s v="Alquiler"/>
    <n v="13344.68"/>
    <n v="387977"/>
    <n v="310381.59999999998"/>
    <n v="64250.720000000023"/>
    <s v="Ángeles"/>
    <n v="4.8"/>
  </r>
  <r>
    <n v="2644"/>
    <d v="2018-09-06T00:00:00"/>
    <x v="979"/>
    <x v="3"/>
    <s v="Local Comercial"/>
    <n v="267"/>
    <s v="Venta"/>
    <n v="97143.96"/>
    <n v="2482209"/>
    <n v="1985767.2"/>
    <n v="399297.84"/>
    <s v="Sabrina"/>
    <n v="4.2"/>
  </r>
  <r>
    <n v="2645"/>
    <d v="2018-09-07T00:00:00"/>
    <x v="980"/>
    <x v="0"/>
    <s v="Casa"/>
    <n v="236"/>
    <s v="Venta"/>
    <n v="78971.320000000007"/>
    <n v="2031418"/>
    <n v="1625134.4"/>
    <n v="327312.28000000009"/>
    <s v="Romina"/>
    <n v="4.8"/>
  </r>
  <r>
    <n v="2646"/>
    <d v="2018-09-07T00:00:00"/>
    <x v="876"/>
    <x v="1"/>
    <s v="Casa"/>
    <n v="50"/>
    <s v="Alquiler"/>
    <n v="18535.240000000002"/>
    <n v="514916"/>
    <n v="411932.8"/>
    <n v="84447.96"/>
    <s v="Romina"/>
    <n v="4.2"/>
  </r>
  <r>
    <n v="2647"/>
    <d v="2018-09-08T00:00:00"/>
    <x v="953"/>
    <x v="0"/>
    <s v="Estacionamiento"/>
    <n v="90"/>
    <s v="Alquiler"/>
    <n v="15058.56"/>
    <n v="443599"/>
    <n v="354879.2"/>
    <n v="73661.239999999991"/>
    <s v="Arturo"/>
    <n v="3.9"/>
  </r>
  <r>
    <n v="2648"/>
    <d v="2018-09-10T00:00:00"/>
    <x v="977"/>
    <x v="1"/>
    <s v="Local Comercial"/>
    <n v="139"/>
    <s v="Alquiler"/>
    <n v="26181.24"/>
    <n v="717091"/>
    <n v="573672.80000000005"/>
    <n v="117236.95999999995"/>
    <s v="Arturo"/>
    <n v="3.8"/>
  </r>
  <r>
    <n v="2649"/>
    <d v="2018-09-11T00:00:00"/>
    <x v="852"/>
    <x v="0"/>
    <s v="Departamento"/>
    <n v="93"/>
    <s v="Alquiler"/>
    <n v="20697"/>
    <n v="581585"/>
    <n v="465268"/>
    <n v="95620"/>
    <s v="Arturo"/>
    <n v="4.0999999999999996"/>
  </r>
  <r>
    <n v="2650"/>
    <d v="2018-09-11T00:00:00"/>
    <x v="918"/>
    <x v="3"/>
    <s v="Oficinas"/>
    <n v="224"/>
    <s v="Venta"/>
    <n v="62333.599999999999"/>
    <n v="1617275"/>
    <n v="1293820"/>
    <n v="261121.4"/>
    <s v="Romina"/>
    <n v="5"/>
  </r>
  <r>
    <n v="2651"/>
    <d v="2018-09-12T00:00:00"/>
    <x v="889"/>
    <x v="3"/>
    <s v="Terreno"/>
    <n v="105"/>
    <s v="Alquiler"/>
    <n v="22804"/>
    <n v="627810"/>
    <n v="502248"/>
    <n v="102758"/>
    <s v="Carlos"/>
    <n v="4"/>
  </r>
  <r>
    <n v="2652"/>
    <d v="2018-09-13T00:00:00"/>
    <x v="849"/>
    <x v="3"/>
    <s v="Oficinas"/>
    <n v="288"/>
    <s v="Venta"/>
    <n v="114304.64"/>
    <n v="2921801"/>
    <n v="2337440.7999999998"/>
    <n v="470055.56000000017"/>
    <s v="Ángeles"/>
    <n v="5"/>
  </r>
  <r>
    <n v="2653"/>
    <d v="2018-09-14T00:00:00"/>
    <x v="981"/>
    <x v="1"/>
    <s v="Estacionamiento"/>
    <n v="114"/>
    <s v="Alquiler"/>
    <n v="18425.96"/>
    <n v="518759"/>
    <n v="415007.2"/>
    <n v="85325.84"/>
    <s v="Ángeles"/>
    <n v="4.7"/>
  </r>
  <r>
    <n v="2654"/>
    <d v="2018-09-15T00:00:00"/>
    <x v="793"/>
    <x v="3"/>
    <s v="Local Comercial"/>
    <n v="193"/>
    <s v="Venta"/>
    <n v="78061.679999999993"/>
    <n v="2003727"/>
    <n v="1602981.6"/>
    <n v="322683.71999999991"/>
    <s v="Arturo"/>
    <n v="4.3"/>
  </r>
  <r>
    <n v="2655"/>
    <d v="2018-09-16T00:00:00"/>
    <x v="876"/>
    <x v="2"/>
    <s v="Depósito"/>
    <n v="218"/>
    <s v="Venta"/>
    <n v="77485.56"/>
    <n v="1993349"/>
    <n v="1594679.2"/>
    <n v="321184.24000000005"/>
    <s v="Romina"/>
    <n v="3.8"/>
  </r>
  <r>
    <n v="2656"/>
    <d v="2018-09-16T00:00:00"/>
    <x v="902"/>
    <x v="1"/>
    <s v="Estacionamiento"/>
    <n v="103"/>
    <s v="Alquiler"/>
    <n v="20270.32"/>
    <n v="571893"/>
    <n v="457514.4"/>
    <n v="94108.27999999997"/>
    <s v="Carlos"/>
    <n v="4.9000000000000004"/>
  </r>
  <r>
    <n v="2657"/>
    <d v="2018-09-19T00:00:00"/>
    <x v="908"/>
    <x v="2"/>
    <s v="Depósito"/>
    <n v="140"/>
    <s v="Alquiler"/>
    <n v="26246.68"/>
    <n v="708677"/>
    <n v="566941.6"/>
    <n v="115488.72000000003"/>
    <s v="Ángeles"/>
    <n v="3.7"/>
  </r>
  <r>
    <n v="2658"/>
    <d v="2018-09-19T00:00:00"/>
    <x v="965"/>
    <x v="2"/>
    <s v="Departamento"/>
    <n v="157"/>
    <s v="Venta"/>
    <n v="40742.080000000002"/>
    <n v="1076737"/>
    <n v="861389.6"/>
    <n v="174605.32"/>
    <s v="Romina"/>
    <n v="4.0999999999999996"/>
  </r>
  <r>
    <n v="2659"/>
    <d v="2018-09-20T00:00:00"/>
    <x v="880"/>
    <x v="1"/>
    <s v="Departamento"/>
    <n v="129"/>
    <s v="Alquiler"/>
    <n v="22544.92"/>
    <n v="615833"/>
    <n v="492666.4"/>
    <n v="100621.67999999998"/>
    <s v="Romina"/>
    <n v="3.9"/>
  </r>
  <r>
    <n v="2660"/>
    <d v="2018-09-21T00:00:00"/>
    <x v="913"/>
    <x v="0"/>
    <s v="Departamento"/>
    <n v="254"/>
    <s v="Venta"/>
    <n v="83729.119999999995"/>
    <n v="2157763"/>
    <n v="1726210.4"/>
    <n v="347823.4800000001"/>
    <s v="Carlos"/>
    <n v="5"/>
  </r>
  <r>
    <n v="2661"/>
    <d v="2018-09-21T00:00:00"/>
    <x v="953"/>
    <x v="1"/>
    <s v="Casa"/>
    <n v="273"/>
    <s v="Venta"/>
    <n v="49485.84"/>
    <n v="1298681"/>
    <n v="1038944.8"/>
    <n v="210250.35999999996"/>
    <s v="Iván"/>
    <n v="3.6"/>
  </r>
  <r>
    <n v="2662"/>
    <d v="2018-09-22T00:00:00"/>
    <x v="889"/>
    <x v="3"/>
    <s v="Departamento"/>
    <n v="133"/>
    <s v="Venta"/>
    <n v="51872.4"/>
    <n v="1353695"/>
    <n v="1082956"/>
    <n v="218866.6"/>
    <s v="Ángeles"/>
    <n v="3.6"/>
  </r>
  <r>
    <n v="2663"/>
    <d v="2018-09-23T00:00:00"/>
    <x v="940"/>
    <x v="3"/>
    <s v="Terreno"/>
    <n v="251"/>
    <s v="Venta"/>
    <n v="78912.639999999999"/>
    <n v="2037751"/>
    <n v="1630200.8"/>
    <n v="328637.55999999994"/>
    <s v="Sabrina"/>
    <n v="5"/>
  </r>
  <r>
    <n v="2664"/>
    <d v="2018-09-23T00:00:00"/>
    <x v="958"/>
    <x v="2"/>
    <s v="Terreno"/>
    <n v="128"/>
    <s v="Venta"/>
    <n v="42307.64"/>
    <n v="1125101"/>
    <n v="900080.8"/>
    <n v="182712.55999999994"/>
    <s v="Ángeles"/>
    <n v="4.5"/>
  </r>
  <r>
    <n v="2665"/>
    <d v="2018-09-25T00:00:00"/>
    <x v="913"/>
    <x v="3"/>
    <s v="Casa"/>
    <n v="182"/>
    <s v="Venta"/>
    <n v="37698.32"/>
    <n v="995093"/>
    <n v="796074.4"/>
    <n v="161320.27999999997"/>
    <s v="Iván"/>
    <n v="4.8"/>
  </r>
  <r>
    <n v="2666"/>
    <d v="2018-09-25T00:00:00"/>
    <x v="865"/>
    <x v="0"/>
    <s v="Casa"/>
    <n v="38"/>
    <s v="Alquiler"/>
    <n v="6825.04"/>
    <n v="222461"/>
    <n v="177968.8"/>
    <n v="37667.160000000011"/>
    <s v="Sabrina"/>
    <n v="4.8"/>
  </r>
  <r>
    <n v="2667"/>
    <d v="2018-09-25T00:00:00"/>
    <x v="872"/>
    <x v="1"/>
    <s v="Casa"/>
    <n v="105"/>
    <s v="Alquiler"/>
    <n v="24610.2"/>
    <n v="677565"/>
    <n v="542052"/>
    <n v="110902.8"/>
    <s v="Romina"/>
    <n v="4.7"/>
  </r>
  <r>
    <n v="2668"/>
    <d v="2018-09-26T00:00:00"/>
    <x v="818"/>
    <x v="3"/>
    <s v="Casa"/>
    <n v="74"/>
    <s v="Alquiler"/>
    <n v="14364.68"/>
    <n v="411552"/>
    <n v="329241.59999999998"/>
    <n v="67945.72000000003"/>
    <s v="Romina"/>
    <n v="3.9"/>
  </r>
  <r>
    <n v="2669"/>
    <d v="2018-09-27T00:00:00"/>
    <x v="916"/>
    <x v="2"/>
    <s v="Terreno"/>
    <n v="130"/>
    <s v="Venta"/>
    <n v="53027.8"/>
    <n v="1382030"/>
    <n v="1105624"/>
    <n v="223378.2"/>
    <s v="Sabrina"/>
    <n v="5"/>
  </r>
  <r>
    <n v="2670"/>
    <d v="2018-09-28T00:00:00"/>
    <x v="871"/>
    <x v="1"/>
    <s v="Depósito"/>
    <n v="130"/>
    <s v="Venta"/>
    <n v="37888.400000000001"/>
    <n v="1013370"/>
    <n v="810696"/>
    <n v="164785.60000000001"/>
    <s v="Arturo"/>
    <n v="3.9"/>
  </r>
  <r>
    <n v="2671"/>
    <d v="2018-09-29T00:00:00"/>
    <x v="938"/>
    <x v="2"/>
    <s v="Depósito"/>
    <n v="213"/>
    <s v="Venta"/>
    <n v="68307.56"/>
    <n v="1770749"/>
    <n v="1416599.2"/>
    <n v="285842.24000000005"/>
    <s v="Arturo"/>
    <n v="4.8"/>
  </r>
  <r>
    <n v="2672"/>
    <d v="2018-09-30T00:00:00"/>
    <x v="982"/>
    <x v="0"/>
    <s v="Terreno"/>
    <n v="138"/>
    <s v="Venta"/>
    <n v="46612.12"/>
    <n v="1230563"/>
    <n v="984450.4"/>
    <n v="199500.47999999998"/>
    <s v="Carlos"/>
    <n v="4.2"/>
  </r>
  <r>
    <n v="2673"/>
    <d v="2018-09-30T00:00:00"/>
    <x v="942"/>
    <x v="2"/>
    <s v="Oficinas"/>
    <n v="237"/>
    <s v="Venta"/>
    <n v="90513.16"/>
    <n v="2327889"/>
    <n v="1862311.2"/>
    <n v="375064.64"/>
    <s v="Ángeles"/>
    <n v="4.0999999999999996"/>
  </r>
  <r>
    <n v="2674"/>
    <d v="2018-10-02T00:00:00"/>
    <x v="838"/>
    <x v="2"/>
    <s v="Casa"/>
    <n v="72"/>
    <s v="Alquiler"/>
    <n v="18904.240000000002"/>
    <n v="533366"/>
    <n v="426692.8"/>
    <n v="87768.960000000006"/>
    <s v="Sabrina"/>
    <n v="3.8"/>
  </r>
  <r>
    <n v="2675"/>
    <d v="2018-10-02T00:00:00"/>
    <x v="983"/>
    <x v="3"/>
    <s v="Casa"/>
    <n v="65"/>
    <s v="Alquiler"/>
    <n v="13966.88"/>
    <n v="409157"/>
    <n v="327325.59999999998"/>
    <n v="67864.520000000019"/>
    <s v="Ángeles"/>
    <n v="4"/>
  </r>
  <r>
    <n v="2676"/>
    <d v="2018-10-02T00:00:00"/>
    <x v="898"/>
    <x v="1"/>
    <s v="Terreno"/>
    <n v="266"/>
    <s v="Venta"/>
    <n v="70341.960000000006"/>
    <n v="1816684"/>
    <n v="1453347.2"/>
    <n v="292994.84000000003"/>
    <s v="Romina"/>
    <n v="4.0999999999999996"/>
  </r>
  <r>
    <n v="2677"/>
    <d v="2018-10-04T00:00:00"/>
    <x v="958"/>
    <x v="3"/>
    <s v="Local Comercial"/>
    <n v="284"/>
    <s v="Venta"/>
    <n v="94216.8"/>
    <n v="2418255"/>
    <n v="1934604"/>
    <n v="389434.2"/>
    <s v="Ángeles"/>
    <n v="4.7"/>
  </r>
  <r>
    <n v="2678"/>
    <d v="2018-10-04T00:00:00"/>
    <x v="842"/>
    <x v="0"/>
    <s v="Terreno"/>
    <n v="278"/>
    <s v="Venta"/>
    <n v="82248.28"/>
    <n v="2109117"/>
    <n v="1687293.6"/>
    <n v="339575.11999999988"/>
    <s v="Carlos"/>
    <n v="4.4000000000000004"/>
  </r>
  <r>
    <n v="2679"/>
    <d v="2018-10-04T00:00:00"/>
    <x v="974"/>
    <x v="0"/>
    <s v="Terreno"/>
    <n v="142"/>
    <s v="Venta"/>
    <n v="37030"/>
    <n v="985510"/>
    <n v="788408"/>
    <n v="160072"/>
    <s v="Carlos"/>
    <n v="4.8"/>
  </r>
  <r>
    <n v="2680"/>
    <d v="2018-10-05T00:00:00"/>
    <x v="922"/>
    <x v="3"/>
    <s v="Casa"/>
    <n v="151"/>
    <s v="Venta"/>
    <n v="48864.92"/>
    <n v="1278983"/>
    <n v="1023186.4"/>
    <n v="206931.68"/>
    <s v="Sabrina"/>
    <n v="3.9"/>
  </r>
  <r>
    <n v="2681"/>
    <d v="2018-10-06T00:00:00"/>
    <x v="905"/>
    <x v="0"/>
    <s v="Casa"/>
    <n v="216"/>
    <s v="Venta"/>
    <n v="38554.32"/>
    <n v="1022368"/>
    <n v="817894.40000000002"/>
    <n v="165919.27999999997"/>
    <s v="Sabrina"/>
    <n v="3.6"/>
  </r>
  <r>
    <n v="2682"/>
    <d v="2018-10-07T00:00:00"/>
    <x v="890"/>
    <x v="1"/>
    <s v="Estacionamiento"/>
    <n v="212"/>
    <s v="Venta"/>
    <n v="39809.599999999999"/>
    <n v="1051500"/>
    <n v="841200"/>
    <n v="170490.4"/>
    <s v="Romina"/>
    <n v="4.5"/>
  </r>
  <r>
    <n v="2683"/>
    <d v="2018-10-07T00:00:00"/>
    <x v="980"/>
    <x v="1"/>
    <s v="Departamento"/>
    <n v="116"/>
    <s v="Venta"/>
    <n v="47331.08"/>
    <n v="1247912"/>
    <n v="998329.6"/>
    <n v="202251.32"/>
    <s v="Iván"/>
    <n v="4"/>
  </r>
  <r>
    <n v="2684"/>
    <d v="2018-10-08T00:00:00"/>
    <x v="928"/>
    <x v="3"/>
    <s v="Oficinas"/>
    <n v="132"/>
    <s v="Venta"/>
    <n v="30177.599999999999"/>
    <n v="813725"/>
    <n v="650980"/>
    <n v="132567.4"/>
    <s v="Romina"/>
    <n v="4.4000000000000004"/>
  </r>
  <r>
    <n v="2685"/>
    <d v="2018-10-08T00:00:00"/>
    <x v="928"/>
    <x v="0"/>
    <s v="Casa"/>
    <n v="206"/>
    <s v="Venta"/>
    <n v="61620.800000000003"/>
    <n v="1602105"/>
    <n v="1281684"/>
    <n v="258800.2"/>
    <s v="Ángeles"/>
    <n v="4.8"/>
  </r>
  <r>
    <n v="2686"/>
    <d v="2018-10-08T00:00:00"/>
    <x v="929"/>
    <x v="1"/>
    <s v="Depósito"/>
    <n v="93"/>
    <s v="Venta"/>
    <n v="35929.519999999997"/>
    <n v="950948"/>
    <n v="760758.4"/>
    <n v="154260.07999999999"/>
    <s v="Iván"/>
    <n v="4.9000000000000004"/>
  </r>
  <r>
    <n v="2687"/>
    <d v="2018-10-08T00:00:00"/>
    <x v="866"/>
    <x v="1"/>
    <s v="Estacionamiento"/>
    <n v="214"/>
    <s v="Venta"/>
    <n v="69752.12"/>
    <n v="1806988"/>
    <n v="1445590.4"/>
    <n v="291645.4800000001"/>
    <s v="Arturo"/>
    <n v="4.8"/>
  </r>
  <r>
    <n v="2688"/>
    <d v="2018-10-13T00:00:00"/>
    <x v="964"/>
    <x v="2"/>
    <s v="Oficinas"/>
    <n v="59"/>
    <s v="Alquiler"/>
    <n v="22744.2"/>
    <n v="631365"/>
    <n v="505092"/>
    <n v="103528.8"/>
    <s v="Sabrina"/>
    <n v="4.3"/>
  </r>
  <r>
    <n v="2689"/>
    <d v="2018-10-13T00:00:00"/>
    <x v="924"/>
    <x v="0"/>
    <s v="Departamento"/>
    <n v="239"/>
    <s v="Venta"/>
    <n v="96333.08"/>
    <n v="2466237"/>
    <n v="1972989.6"/>
    <n v="396914.31999999989"/>
    <s v="Romina"/>
    <n v="3.9"/>
  </r>
  <r>
    <n v="2690"/>
    <d v="2018-10-13T00:00:00"/>
    <x v="939"/>
    <x v="2"/>
    <s v="Estacionamiento"/>
    <n v="267"/>
    <s v="Venta"/>
    <n v="76231.320000000007"/>
    <n v="1960043"/>
    <n v="1568034.4"/>
    <n v="315777.28000000009"/>
    <s v="Sabrina"/>
    <n v="3.8"/>
  </r>
  <r>
    <n v="2691"/>
    <d v="2018-10-13T00:00:00"/>
    <x v="977"/>
    <x v="3"/>
    <s v="Local Comercial"/>
    <n v="264"/>
    <s v="Venta"/>
    <n v="103783"/>
    <n v="2658410"/>
    <n v="2126728"/>
    <n v="427899"/>
    <s v="Romina"/>
    <n v="4.8"/>
  </r>
  <r>
    <n v="2692"/>
    <d v="2018-10-14T00:00:00"/>
    <x v="909"/>
    <x v="0"/>
    <s v="Departamento"/>
    <n v="129"/>
    <s v="Venta"/>
    <n v="41443.08"/>
    <n v="1103012"/>
    <n v="882409.6"/>
    <n v="179159.32"/>
    <s v="Sabrina"/>
    <n v="3.7"/>
  </r>
  <r>
    <n v="2693"/>
    <d v="2018-10-15T00:00:00"/>
    <x v="915"/>
    <x v="3"/>
    <s v="Local Comercial"/>
    <n v="202"/>
    <s v="Venta"/>
    <n v="65734.679999999993"/>
    <n v="1696227"/>
    <n v="1356981.6"/>
    <n v="273510.71999999991"/>
    <s v="Iván"/>
    <n v="3.7"/>
  </r>
  <r>
    <n v="2694"/>
    <d v="2018-10-15T00:00:00"/>
    <x v="947"/>
    <x v="2"/>
    <s v="Depósito"/>
    <n v="77"/>
    <s v="Alquiler"/>
    <n v="26947.56"/>
    <n v="732274"/>
    <n v="585819.19999999995"/>
    <n v="119507.24000000005"/>
    <s v="Romina"/>
    <n v="3.7"/>
  </r>
  <r>
    <n v="2695"/>
    <d v="2018-10-16T00:00:00"/>
    <x v="977"/>
    <x v="3"/>
    <s v="Oficinas"/>
    <n v="245"/>
    <s v="Venta"/>
    <n v="58601"/>
    <n v="1516985"/>
    <n v="1213588"/>
    <n v="244796"/>
    <s v="Sabrina"/>
    <n v="4"/>
  </r>
  <r>
    <n v="2696"/>
    <d v="2018-10-17T00:00:00"/>
    <x v="892"/>
    <x v="3"/>
    <s v="Casa"/>
    <n v="285"/>
    <s v="Venta"/>
    <n v="75026"/>
    <n v="1941785"/>
    <n v="1553428"/>
    <n v="313331"/>
    <s v="Romina"/>
    <n v="4.3"/>
  </r>
  <r>
    <n v="2697"/>
    <d v="2018-10-18T00:00:00"/>
    <x v="962"/>
    <x v="2"/>
    <s v="Oficinas"/>
    <n v="160"/>
    <s v="Venta"/>
    <n v="61822.559999999998"/>
    <n v="1609999"/>
    <n v="1287999.2"/>
    <n v="260177.24000000005"/>
    <s v="Arturo"/>
    <n v="3.6"/>
  </r>
  <r>
    <n v="2698"/>
    <d v="2018-10-19T00:00:00"/>
    <x v="975"/>
    <x v="3"/>
    <s v="Casa"/>
    <n v="234"/>
    <s v="Venta"/>
    <n v="47625.16"/>
    <n v="1252039"/>
    <n v="1001631.2"/>
    <n v="202782.64000000004"/>
    <s v="Sabrina"/>
    <n v="4.8"/>
  </r>
  <r>
    <n v="2699"/>
    <d v="2018-10-22T00:00:00"/>
    <x v="896"/>
    <x v="0"/>
    <s v="Oficinas"/>
    <n v="272"/>
    <s v="Venta"/>
    <n v="105665"/>
    <n v="2705910"/>
    <n v="2164728"/>
    <n v="435517"/>
    <s v="Iván"/>
    <n v="4.0999999999999996"/>
  </r>
  <r>
    <n v="2700"/>
    <d v="2018-10-23T00:00:00"/>
    <x v="915"/>
    <x v="3"/>
    <s v="Terreno"/>
    <n v="238"/>
    <s v="Venta"/>
    <n v="49145.88"/>
    <n v="1286657"/>
    <n v="1029325.6"/>
    <n v="208185.52000000002"/>
    <s v="Ángeles"/>
    <n v="4"/>
  </r>
  <r>
    <n v="2701"/>
    <d v="2018-10-24T00:00:00"/>
    <x v="887"/>
    <x v="0"/>
    <s v="Oficinas"/>
    <n v="181"/>
    <s v="Venta"/>
    <n v="58048.84"/>
    <n v="1505931"/>
    <n v="1204744.8"/>
    <n v="243137.35999999996"/>
    <s v="Carlos"/>
    <n v="4.3"/>
  </r>
  <r>
    <n v="2702"/>
    <d v="2018-10-24T00:00:00"/>
    <x v="917"/>
    <x v="1"/>
    <s v="Departamento"/>
    <n v="219"/>
    <s v="Venta"/>
    <n v="44387.76"/>
    <n v="1163429"/>
    <n v="930743.2"/>
    <n v="188298.04000000004"/>
    <s v="Carlos"/>
    <n v="3.7"/>
  </r>
  <r>
    <n v="2703"/>
    <d v="2018-10-26T00:00:00"/>
    <x v="975"/>
    <x v="3"/>
    <s v="Estacionamiento"/>
    <n v="287"/>
    <s v="Venta"/>
    <n v="77062.720000000001"/>
    <n v="1992553"/>
    <n v="1594042.4"/>
    <n v="321447.88000000012"/>
    <s v="Iván"/>
    <n v="4.5999999999999996"/>
  </r>
  <r>
    <n v="2704"/>
    <d v="2018-10-26T00:00:00"/>
    <x v="984"/>
    <x v="1"/>
    <s v="Terreno"/>
    <n v="37"/>
    <s v="Alquiler"/>
    <n v="14280.64"/>
    <n v="415776"/>
    <n v="332620.79999999999"/>
    <n v="68874.560000000012"/>
    <s v="Ángeles"/>
    <n v="3.9"/>
  </r>
  <r>
    <n v="2705"/>
    <d v="2018-10-29T00:00:00"/>
    <x v="893"/>
    <x v="3"/>
    <s v="Depósito"/>
    <n v="165"/>
    <s v="Venta"/>
    <n v="45767.8"/>
    <n v="1203505"/>
    <n v="962804"/>
    <n v="194933.2"/>
    <s v="Arturo"/>
    <n v="3.9"/>
  </r>
  <r>
    <n v="2706"/>
    <d v="2018-10-29T00:00:00"/>
    <x v="983"/>
    <x v="2"/>
    <s v="Estacionamiento"/>
    <n v="119"/>
    <s v="Venta"/>
    <n v="40810"/>
    <n v="1078110"/>
    <n v="862488"/>
    <n v="174812"/>
    <s v="Arturo"/>
    <n v="3.7"/>
  </r>
  <r>
    <n v="2707"/>
    <d v="2018-10-29T00:00:00"/>
    <x v="952"/>
    <x v="2"/>
    <s v="Estacionamiento"/>
    <n v="69"/>
    <s v="Alquiler"/>
    <n v="25708.080000000002"/>
    <n v="697062"/>
    <n v="557649.6"/>
    <n v="113704.32000000002"/>
    <s v="Romina"/>
    <n v="4.5"/>
  </r>
  <r>
    <n v="2708"/>
    <d v="2018-10-29T00:00:00"/>
    <x v="828"/>
    <x v="1"/>
    <s v="Local Comercial"/>
    <n v="242"/>
    <s v="Venta"/>
    <n v="72702.44"/>
    <n v="1879846"/>
    <n v="1503876.8"/>
    <n v="303266.75999999995"/>
    <s v="Arturo"/>
    <n v="4.7"/>
  </r>
  <r>
    <n v="2709"/>
    <d v="2018-10-30T00:00:00"/>
    <x v="879"/>
    <x v="2"/>
    <s v="Local Comercial"/>
    <n v="56"/>
    <s v="Alquiler"/>
    <n v="15450.88"/>
    <n v="453482"/>
    <n v="362785.6"/>
    <n v="75245.520000000019"/>
    <s v="Carlos"/>
    <n v="4.5"/>
  </r>
  <r>
    <n v="2710"/>
    <d v="2018-10-31T00:00:00"/>
    <x v="983"/>
    <x v="1"/>
    <s v="Casa"/>
    <n v="280"/>
    <s v="Venta"/>
    <n v="64932"/>
    <n v="1675235"/>
    <n v="1340188"/>
    <n v="270115"/>
    <s v="Romina"/>
    <n v="3.7"/>
  </r>
  <r>
    <n v="2711"/>
    <d v="2018-11-01T00:00:00"/>
    <x v="959"/>
    <x v="2"/>
    <s v="Departamento"/>
    <n v="114"/>
    <s v="Alquiler"/>
    <n v="22006.44"/>
    <n v="604096"/>
    <n v="483276.79999999999"/>
    <n v="98812.760000000009"/>
    <s v="Iván"/>
    <n v="4.9000000000000004"/>
  </r>
  <r>
    <n v="2712"/>
    <d v="2018-11-01T00:00:00"/>
    <x v="867"/>
    <x v="2"/>
    <s v="Departamento"/>
    <n v="254"/>
    <s v="Venta"/>
    <n v="91071.4"/>
    <n v="2328645"/>
    <n v="1862916"/>
    <n v="374657.6"/>
    <s v="Iván"/>
    <n v="4.9000000000000004"/>
  </r>
  <r>
    <n v="2713"/>
    <d v="2018-11-02T00:00:00"/>
    <x v="893"/>
    <x v="1"/>
    <s v="Local Comercial"/>
    <n v="41"/>
    <s v="Alquiler"/>
    <n v="15069.64"/>
    <n v="437301"/>
    <n v="349840.8"/>
    <n v="72390.560000000012"/>
    <s v="Romina"/>
    <n v="3.9"/>
  </r>
  <r>
    <n v="2714"/>
    <d v="2018-11-03T00:00:00"/>
    <x v="893"/>
    <x v="1"/>
    <s v="Departamento"/>
    <n v="276"/>
    <s v="Venta"/>
    <n v="102006.92"/>
    <n v="2606408"/>
    <n v="2085126.4"/>
    <n v="419274.68000000011"/>
    <s v="Arturo"/>
    <n v="4.3"/>
  </r>
  <r>
    <n v="2715"/>
    <d v="2018-11-03T00:00:00"/>
    <x v="938"/>
    <x v="3"/>
    <s v="Depósito"/>
    <n v="136"/>
    <s v="Venta"/>
    <n v="29569.52"/>
    <n v="800423"/>
    <n v="640338.4"/>
    <n v="130515.07999999997"/>
    <s v="Iván"/>
    <n v="3.9"/>
  </r>
  <r>
    <n v="2716"/>
    <d v="2018-11-03T00:00:00"/>
    <x v="985"/>
    <x v="3"/>
    <s v="Estacionamiento"/>
    <n v="37"/>
    <s v="Alquiler"/>
    <n v="11049.88"/>
    <n v="331207"/>
    <n v="264965.59999999998"/>
    <n v="55191.520000000026"/>
    <s v="Iván"/>
    <n v="4"/>
  </r>
  <r>
    <n v="2717"/>
    <d v="2018-11-03T00:00:00"/>
    <x v="950"/>
    <x v="3"/>
    <s v="Oficinas"/>
    <n v="272"/>
    <s v="Venta"/>
    <n v="63741"/>
    <n v="1660085"/>
    <n v="1328068"/>
    <n v="268276"/>
    <s v="Arturo"/>
    <n v="5"/>
  </r>
  <r>
    <n v="2718"/>
    <d v="2018-11-03T00:00:00"/>
    <x v="984"/>
    <x v="0"/>
    <s v="Estacionamiento"/>
    <n v="62"/>
    <s v="Alquiler"/>
    <n v="24842.12"/>
    <n v="673588"/>
    <n v="538870.4"/>
    <n v="109875.47999999998"/>
    <s v="Arturo"/>
    <n v="3.7"/>
  </r>
  <r>
    <n v="2719"/>
    <d v="2018-11-04T00:00:00"/>
    <x v="971"/>
    <x v="0"/>
    <s v="Terreno"/>
    <n v="127"/>
    <s v="Venta"/>
    <n v="46404.2"/>
    <n v="1222865"/>
    <n v="978292"/>
    <n v="198168.8"/>
    <s v="Iván"/>
    <n v="4.4000000000000004"/>
  </r>
  <r>
    <n v="2720"/>
    <d v="2018-11-05T00:00:00"/>
    <x v="935"/>
    <x v="3"/>
    <s v="Departamento"/>
    <n v="206"/>
    <s v="Venta"/>
    <n v="53480.92"/>
    <n v="1394133"/>
    <n v="1115306.3999999999"/>
    <n v="225345.68000000011"/>
    <s v="Sabrina"/>
    <n v="4"/>
  </r>
  <r>
    <n v="2721"/>
    <d v="2018-11-06T00:00:00"/>
    <x v="957"/>
    <x v="2"/>
    <s v="Local Comercial"/>
    <n v="260"/>
    <s v="Venta"/>
    <n v="59475.72"/>
    <n v="1552778"/>
    <n v="1242222.3999999999"/>
    <n v="251079.88000000009"/>
    <s v="Carlos"/>
    <n v="4.4000000000000004"/>
  </r>
  <r>
    <n v="2722"/>
    <d v="2018-11-07T00:00:00"/>
    <x v="899"/>
    <x v="0"/>
    <s v="Terreno"/>
    <n v="131"/>
    <s v="Venta"/>
    <n v="49404.959999999999"/>
    <n v="1299109"/>
    <n v="1039287.2"/>
    <n v="210416.84000000005"/>
    <s v="Romina"/>
    <n v="4"/>
  </r>
  <r>
    <n v="2723"/>
    <d v="2018-11-07T00:00:00"/>
    <x v="959"/>
    <x v="3"/>
    <s v="Estacionamiento"/>
    <n v="125"/>
    <s v="Alquiler"/>
    <n v="28201.52"/>
    <n v="758498"/>
    <n v="606798.4"/>
    <n v="123498.07999999997"/>
    <s v="Romina"/>
    <n v="4.5"/>
  </r>
  <r>
    <n v="2724"/>
    <d v="2018-11-09T00:00:00"/>
    <x v="986"/>
    <x v="2"/>
    <s v="Depósito"/>
    <n v="289"/>
    <s v="Venta"/>
    <n v="69616.800000000003"/>
    <n v="1803830"/>
    <n v="1443064"/>
    <n v="291149.2"/>
    <s v="Iván"/>
    <n v="4.5"/>
  </r>
  <r>
    <n v="2725"/>
    <d v="2018-11-09T00:00:00"/>
    <x v="935"/>
    <x v="1"/>
    <s v="Departamento"/>
    <n v="121"/>
    <s v="Venta"/>
    <n v="31422.68"/>
    <n v="851952"/>
    <n v="681561.59999999998"/>
    <n v="138967.72000000003"/>
    <s v="Arturo"/>
    <n v="4.4000000000000004"/>
  </r>
  <r>
    <n v="2726"/>
    <d v="2018-11-10T00:00:00"/>
    <x v="987"/>
    <x v="1"/>
    <s v="Oficinas"/>
    <n v="196"/>
    <s v="Venta"/>
    <n v="33379.160000000003"/>
    <n v="886514"/>
    <n v="709211.2"/>
    <n v="143923.64000000004"/>
    <s v="Ángeles"/>
    <n v="4.2"/>
  </r>
  <r>
    <n v="2727"/>
    <d v="2018-11-10T00:00:00"/>
    <x v="877"/>
    <x v="0"/>
    <s v="Casa"/>
    <n v="56"/>
    <s v="Alquiler"/>
    <n v="9904.56"/>
    <n v="301774"/>
    <n v="241419.2"/>
    <n v="50450.239999999991"/>
    <s v="Romina"/>
    <n v="3.7"/>
  </r>
  <r>
    <n v="2728"/>
    <d v="2018-11-11T00:00:00"/>
    <x v="898"/>
    <x v="1"/>
    <s v="Terreno"/>
    <n v="218"/>
    <s v="Venta"/>
    <n v="41818.6"/>
    <n v="1108000"/>
    <n v="886400"/>
    <n v="179781.4"/>
    <s v="Sabrina"/>
    <n v="4.4000000000000004"/>
  </r>
  <r>
    <n v="2729"/>
    <d v="2018-11-14T00:00:00"/>
    <x v="984"/>
    <x v="3"/>
    <s v="Estacionamiento"/>
    <n v="230"/>
    <s v="Venta"/>
    <n v="38316.239999999998"/>
    <n v="1015541"/>
    <n v="812432.8"/>
    <n v="164791.95999999996"/>
    <s v="Iván"/>
    <n v="4.9000000000000004"/>
  </r>
  <r>
    <n v="2730"/>
    <d v="2018-11-17T00:00:00"/>
    <x v="953"/>
    <x v="1"/>
    <s v="Estacionamiento"/>
    <n v="98"/>
    <s v="Venta"/>
    <n v="40784.199999999997"/>
    <n v="1082390"/>
    <n v="865912"/>
    <n v="175693.8"/>
    <s v="Carlos"/>
    <n v="3.9"/>
  </r>
  <r>
    <n v="2731"/>
    <d v="2018-11-19T00:00:00"/>
    <x v="879"/>
    <x v="0"/>
    <s v="Casa"/>
    <n v="132"/>
    <s v="Alquiler"/>
    <n v="21916.400000000001"/>
    <n v="600245"/>
    <n v="480196"/>
    <n v="98132.6"/>
    <s v="Arturo"/>
    <n v="4"/>
  </r>
  <r>
    <n v="2732"/>
    <d v="2018-11-20T00:00:00"/>
    <x v="945"/>
    <x v="3"/>
    <s v="Terreno"/>
    <n v="275"/>
    <s v="Venta"/>
    <n v="48856.88"/>
    <n v="1276157"/>
    <n v="1020925.6"/>
    <n v="206374.52000000002"/>
    <s v="Iván"/>
    <n v="4.0999999999999996"/>
  </r>
  <r>
    <n v="2733"/>
    <d v="2018-11-22T00:00:00"/>
    <x v="869"/>
    <x v="0"/>
    <s v="Departamento"/>
    <n v="124"/>
    <s v="Alquiler"/>
    <n v="25848.240000000002"/>
    <n v="705541"/>
    <n v="564432.80000000005"/>
    <n v="115259.95999999995"/>
    <s v="Carlos"/>
    <n v="4.7"/>
  </r>
  <r>
    <n v="2734"/>
    <d v="2018-11-23T00:00:00"/>
    <x v="939"/>
    <x v="1"/>
    <s v="Local Comercial"/>
    <n v="276"/>
    <s v="Venta"/>
    <n v="48234.28"/>
    <n v="1270517"/>
    <n v="1016413.6"/>
    <n v="205869.12000000002"/>
    <s v="Carlos"/>
    <n v="4.4000000000000004"/>
  </r>
  <r>
    <n v="2735"/>
    <d v="2018-11-27T00:00:00"/>
    <x v="952"/>
    <x v="1"/>
    <s v="Estacionamiento"/>
    <n v="54"/>
    <s v="Alquiler"/>
    <n v="10909.4"/>
    <n v="324845"/>
    <n v="259876"/>
    <n v="54059.6"/>
    <s v="Iván"/>
    <n v="4.9000000000000004"/>
  </r>
  <r>
    <n v="2736"/>
    <d v="2018-11-28T00:00:00"/>
    <x v="986"/>
    <x v="2"/>
    <s v="Depósito"/>
    <n v="43"/>
    <s v="Alquiler"/>
    <n v="13935.24"/>
    <n v="403691"/>
    <n v="322952.8"/>
    <n v="66802.960000000006"/>
    <s v="Iván"/>
    <n v="4.4000000000000004"/>
  </r>
  <r>
    <n v="2737"/>
    <d v="2018-12-01T00:00:00"/>
    <x v="916"/>
    <x v="3"/>
    <s v="Departamento"/>
    <n v="96"/>
    <s v="Venta"/>
    <n v="35614"/>
    <n v="942085"/>
    <n v="753668"/>
    <n v="152803"/>
    <s v="Carlos"/>
    <n v="4"/>
  </r>
  <r>
    <n v="2738"/>
    <d v="2018-12-02T00:00:00"/>
    <x v="887"/>
    <x v="3"/>
    <s v="Terreno"/>
    <n v="110"/>
    <s v="Venta"/>
    <n v="42188.72"/>
    <n v="1115153"/>
    <n v="892122.4"/>
    <n v="180841.87999999998"/>
    <s v="Iván"/>
    <n v="4.8"/>
  </r>
  <r>
    <n v="2739"/>
    <d v="2018-12-02T00:00:00"/>
    <x v="915"/>
    <x v="3"/>
    <s v="Departamento"/>
    <n v="91"/>
    <s v="Venta"/>
    <n v="30610.04"/>
    <n v="826461"/>
    <n v="661168.80000000005"/>
    <n v="134682.15999999995"/>
    <s v="Ángeles"/>
    <n v="3.6"/>
  </r>
  <r>
    <n v="2740"/>
    <d v="2018-12-04T00:00:00"/>
    <x v="955"/>
    <x v="2"/>
    <s v="Estacionamiento"/>
    <n v="255"/>
    <s v="Venta"/>
    <n v="87022.12"/>
    <n v="2234888"/>
    <n v="1787910.4"/>
    <n v="359955.4800000001"/>
    <s v="Carlos"/>
    <n v="4.4000000000000004"/>
  </r>
  <r>
    <n v="2741"/>
    <d v="2018-12-06T00:00:00"/>
    <x v="953"/>
    <x v="2"/>
    <s v="Estacionamiento"/>
    <n v="132"/>
    <s v="Venta"/>
    <n v="46521.96"/>
    <n v="1223009"/>
    <n v="978407.2"/>
    <n v="198079.84000000005"/>
    <s v="Carlos"/>
    <n v="4.3"/>
  </r>
  <r>
    <n v="2742"/>
    <d v="2018-12-07T00:00:00"/>
    <x v="879"/>
    <x v="2"/>
    <s v="Terreno"/>
    <n v="231"/>
    <s v="Venta"/>
    <n v="84486.16"/>
    <n v="2169689"/>
    <n v="1735751.2"/>
    <n v="349451.64"/>
    <s v="Arturo"/>
    <n v="4.9000000000000004"/>
  </r>
  <r>
    <n v="2743"/>
    <d v="2018-12-09T00:00:00"/>
    <x v="945"/>
    <x v="0"/>
    <s v="Local Comercial"/>
    <n v="187"/>
    <s v="Venta"/>
    <n v="41478.239999999998"/>
    <n v="1096441"/>
    <n v="877152.8"/>
    <n v="177809.95999999996"/>
    <s v="Ángeles"/>
    <n v="3.7"/>
  </r>
  <r>
    <n v="2744"/>
    <d v="2018-12-10T00:00:00"/>
    <x v="911"/>
    <x v="1"/>
    <s v="Estacionamiento"/>
    <n v="250"/>
    <s v="Venta"/>
    <n v="85922.880000000005"/>
    <n v="2207107"/>
    <n v="1765685.6"/>
    <n v="355498.5199999999"/>
    <s v="Iván"/>
    <n v="3.8"/>
  </r>
  <r>
    <n v="2745"/>
    <d v="2018-12-11T00:00:00"/>
    <x v="936"/>
    <x v="0"/>
    <s v="Terreno"/>
    <n v="194"/>
    <s v="Venta"/>
    <n v="42283.839999999997"/>
    <n v="1113681"/>
    <n v="890944.8"/>
    <n v="180452.35999999996"/>
    <s v="Ángeles"/>
    <n v="5"/>
  </r>
  <r>
    <n v="2746"/>
    <d v="2018-12-13T00:00:00"/>
    <x v="952"/>
    <x v="3"/>
    <s v="Oficinas"/>
    <n v="192"/>
    <s v="Venta"/>
    <n v="42825.599999999999"/>
    <n v="1131425"/>
    <n v="905140"/>
    <n v="183459.4"/>
    <s v="Carlos"/>
    <n v="4.0999999999999996"/>
  </r>
  <r>
    <n v="2747"/>
    <d v="2018-12-14T00:00:00"/>
    <x v="887"/>
    <x v="1"/>
    <s v="Terreno"/>
    <n v="197"/>
    <s v="Venta"/>
    <n v="54590"/>
    <n v="1421685"/>
    <n v="1137348"/>
    <n v="229747"/>
    <s v="Carlos"/>
    <n v="3.6"/>
  </r>
  <r>
    <n v="2748"/>
    <d v="2018-12-15T00:00:00"/>
    <x v="942"/>
    <x v="0"/>
    <s v="Depósito"/>
    <n v="197"/>
    <s v="Venta"/>
    <n v="61790"/>
    <n v="1596285"/>
    <n v="1277028"/>
    <n v="257467"/>
    <s v="Carlos"/>
    <n v="4.5"/>
  </r>
  <r>
    <n v="2749"/>
    <d v="2018-12-17T00:00:00"/>
    <x v="928"/>
    <x v="3"/>
    <s v="Casa"/>
    <n v="177"/>
    <s v="Venta"/>
    <n v="56248.24"/>
    <n v="1457541"/>
    <n v="1166032.8"/>
    <n v="235259.95999999996"/>
    <s v="Ángeles"/>
    <n v="3.7"/>
  </r>
  <r>
    <n v="2750"/>
    <d v="2018-12-19T00:00:00"/>
    <x v="922"/>
    <x v="1"/>
    <s v="Departamento"/>
    <n v="274"/>
    <s v="Venta"/>
    <n v="89156.64"/>
    <n v="2280551"/>
    <n v="1824440.8"/>
    <n v="366953.55999999994"/>
    <s v="Carlos"/>
    <n v="4.0999999999999996"/>
  </r>
  <r>
    <n v="2751"/>
    <d v="2018-12-19T00:00:00"/>
    <x v="898"/>
    <x v="0"/>
    <s v="Depósito"/>
    <n v="209"/>
    <s v="Venta"/>
    <n v="55382.2"/>
    <n v="1445165"/>
    <n v="1156132"/>
    <n v="233650.8"/>
    <s v="Iván"/>
    <n v="3.9"/>
  </r>
  <r>
    <n v="2752"/>
    <d v="2018-12-20T00:00:00"/>
    <x v="988"/>
    <x v="2"/>
    <s v="Local Comercial"/>
    <n v="44"/>
    <s v="Alquiler"/>
    <n v="8827.36"/>
    <n v="284069"/>
    <n v="227255.2"/>
    <n v="47986.439999999988"/>
    <s v="Carlos"/>
    <n v="5"/>
  </r>
  <r>
    <n v="2753"/>
    <d v="2018-12-21T00:00:00"/>
    <x v="989"/>
    <x v="0"/>
    <s v="Estacionamiento"/>
    <n v="91"/>
    <s v="Venta"/>
    <n v="30003.8"/>
    <n v="812730"/>
    <n v="650184"/>
    <n v="132542.20000000001"/>
    <s v="Sabrina"/>
    <n v="3.8"/>
  </r>
  <r>
    <n v="2754"/>
    <d v="2018-12-25T00:00:00"/>
    <x v="981"/>
    <x v="1"/>
    <s v="Estacionamiento"/>
    <n v="77"/>
    <s v="Alquiler"/>
    <n v="27697.4"/>
    <n v="746245"/>
    <n v="596996"/>
    <n v="121551.6"/>
    <s v="Iván"/>
    <n v="4.9000000000000004"/>
  </r>
  <r>
    <n v="2755"/>
    <d v="2018-12-30T00:00:00"/>
    <x v="950"/>
    <x v="3"/>
    <s v="Casa"/>
    <n v="259"/>
    <s v="Venta"/>
    <n v="41502.519999999997"/>
    <n v="1096973"/>
    <n v="877578.4"/>
    <n v="177892.08"/>
    <s v="Carlos"/>
    <n v="3.8"/>
  </r>
  <r>
    <n v="2756"/>
    <d v="2018-12-31T00:00:00"/>
    <x v="985"/>
    <x v="1"/>
    <s v="Terreno"/>
    <n v="64"/>
    <s v="Alquiler"/>
    <n v="18548.12"/>
    <n v="520313"/>
    <n v="416250.4"/>
    <n v="85514.479999999981"/>
    <s v="Arturo"/>
    <n v="4.0999999999999996"/>
  </r>
  <r>
    <n v="2757"/>
    <d v="2019-01-07T00:00:00"/>
    <x v="978"/>
    <x v="3"/>
    <s v="Estacionamiento"/>
    <n v="193"/>
    <s v="Venta"/>
    <n v="35276.76"/>
    <n v="940829"/>
    <n v="752663.2"/>
    <n v="152889.04000000004"/>
    <s v="Arturo"/>
    <n v="4.0999999999999996"/>
  </r>
  <r>
    <n v="2758"/>
    <d v="2019-01-09T00:00:00"/>
    <x v="939"/>
    <x v="2"/>
    <s v="Departamento"/>
    <n v="87"/>
    <s v="Alquiler"/>
    <n v="27192.84"/>
    <n v="746081"/>
    <n v="596864.80000000005"/>
    <n v="122023.35999999996"/>
    <s v="Romina"/>
    <n v="4.5"/>
  </r>
  <r>
    <n v="2759"/>
    <d v="2019-01-10T00:00:00"/>
    <x v="909"/>
    <x v="1"/>
    <s v="Casa"/>
    <n v="227"/>
    <s v="Venta"/>
    <n v="42214.32"/>
    <n v="1114343"/>
    <n v="891474.4"/>
    <n v="180654.27999999997"/>
    <s v="Ángeles"/>
    <n v="4.099999999999999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5EDC496-CC18-4642-8BB4-A71C85658E4C}" name="TablaDinámica2" cacheId="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8" firstHeaderRow="1" firstDataRow="1" firstDataCol="1"/>
  <pivotFields count="16">
    <pivotField showAll="0"/>
    <pivotField numFmtId="14" showAll="0"/>
    <pivotField numFmtId="14" showAll="0">
      <items count="991">
        <item x="11"/>
        <item x="18"/>
        <item x="31"/>
        <item x="21"/>
        <item x="1"/>
        <item x="22"/>
        <item x="3"/>
        <item x="54"/>
        <item x="85"/>
        <item x="81"/>
        <item x="24"/>
        <item x="63"/>
        <item x="117"/>
        <item x="77"/>
        <item x="53"/>
        <item x="114"/>
        <item x="79"/>
        <item x="17"/>
        <item x="6"/>
        <item x="87"/>
        <item x="20"/>
        <item x="27"/>
        <item x="0"/>
        <item x="137"/>
        <item x="25"/>
        <item x="92"/>
        <item x="112"/>
        <item x="71"/>
        <item x="58"/>
        <item x="124"/>
        <item x="32"/>
        <item x="55"/>
        <item x="47"/>
        <item x="28"/>
        <item x="36"/>
        <item x="4"/>
        <item x="67"/>
        <item x="122"/>
        <item x="94"/>
        <item x="152"/>
        <item x="93"/>
        <item x="146"/>
        <item x="39"/>
        <item x="126"/>
        <item x="84"/>
        <item x="171"/>
        <item x="78"/>
        <item x="127"/>
        <item x="105"/>
        <item x="125"/>
        <item x="29"/>
        <item x="182"/>
        <item x="177"/>
        <item x="99"/>
        <item x="46"/>
        <item x="209"/>
        <item x="151"/>
        <item x="70"/>
        <item x="101"/>
        <item x="128"/>
        <item x="19"/>
        <item x="116"/>
        <item x="161"/>
        <item x="106"/>
        <item x="156"/>
        <item x="140"/>
        <item x="163"/>
        <item x="133"/>
        <item x="107"/>
        <item x="134"/>
        <item x="138"/>
        <item x="123"/>
        <item x="68"/>
        <item x="5"/>
        <item x="61"/>
        <item x="234"/>
        <item x="160"/>
        <item x="103"/>
        <item x="195"/>
        <item x="59"/>
        <item x="129"/>
        <item x="76"/>
        <item x="214"/>
        <item x="184"/>
        <item x="159"/>
        <item x="217"/>
        <item x="215"/>
        <item x="154"/>
        <item x="42"/>
        <item x="40"/>
        <item x="30"/>
        <item x="51"/>
        <item x="83"/>
        <item x="202"/>
        <item x="13"/>
        <item x="120"/>
        <item x="255"/>
        <item x="72"/>
        <item x="74"/>
        <item x="9"/>
        <item x="145"/>
        <item x="16"/>
        <item x="66"/>
        <item x="82"/>
        <item x="130"/>
        <item x="248"/>
        <item x="62"/>
        <item x="115"/>
        <item x="65"/>
        <item x="222"/>
        <item x="52"/>
        <item x="225"/>
        <item x="131"/>
        <item x="190"/>
        <item x="230"/>
        <item x="69"/>
        <item x="86"/>
        <item x="139"/>
        <item x="143"/>
        <item x="135"/>
        <item x="10"/>
        <item x="45"/>
        <item x="241"/>
        <item x="7"/>
        <item x="33"/>
        <item x="169"/>
        <item x="157"/>
        <item x="12"/>
        <item x="246"/>
        <item x="89"/>
        <item x="2"/>
        <item x="150"/>
        <item x="147"/>
        <item x="211"/>
        <item x="164"/>
        <item x="49"/>
        <item x="110"/>
        <item x="299"/>
        <item x="306"/>
        <item x="75"/>
        <item x="201"/>
        <item x="57"/>
        <item x="41"/>
        <item x="15"/>
        <item x="278"/>
        <item x="108"/>
        <item x="100"/>
        <item x="73"/>
        <item x="14"/>
        <item x="23"/>
        <item x="35"/>
        <item x="170"/>
        <item x="109"/>
        <item x="104"/>
        <item x="271"/>
        <item x="37"/>
        <item x="174"/>
        <item x="141"/>
        <item x="247"/>
        <item x="97"/>
        <item x="50"/>
        <item x="162"/>
        <item x="43"/>
        <item x="243"/>
        <item x="119"/>
        <item x="98"/>
        <item x="56"/>
        <item x="91"/>
        <item x="26"/>
        <item x="64"/>
        <item x="296"/>
        <item x="175"/>
        <item x="226"/>
        <item x="8"/>
        <item x="205"/>
        <item x="357"/>
        <item x="34"/>
        <item x="216"/>
        <item x="44"/>
        <item x="102"/>
        <item x="344"/>
        <item x="188"/>
        <item x="206"/>
        <item x="80"/>
        <item x="283"/>
        <item x="191"/>
        <item x="48"/>
        <item x="323"/>
        <item x="148"/>
        <item x="38"/>
        <item x="300"/>
        <item x="280"/>
        <item x="327"/>
        <item x="113"/>
        <item x="238"/>
        <item x="236"/>
        <item x="176"/>
        <item x="60"/>
        <item x="192"/>
        <item x="165"/>
        <item x="96"/>
        <item x="320"/>
        <item x="213"/>
        <item x="274"/>
        <item x="268"/>
        <item x="360"/>
        <item x="90"/>
        <item x="95"/>
        <item x="220"/>
        <item x="285"/>
        <item x="88"/>
        <item x="198"/>
        <item x="208"/>
        <item x="142"/>
        <item x="179"/>
        <item x="348"/>
        <item x="400"/>
        <item x="118"/>
        <item x="121"/>
        <item x="186"/>
        <item x="185"/>
        <item x="200"/>
        <item x="193"/>
        <item x="167"/>
        <item x="325"/>
        <item x="111"/>
        <item x="153"/>
        <item x="318"/>
        <item x="239"/>
        <item x="180"/>
        <item x="136"/>
        <item x="336"/>
        <item x="166"/>
        <item x="183"/>
        <item x="155"/>
        <item x="178"/>
        <item x="317"/>
        <item x="284"/>
        <item x="132"/>
        <item x="144"/>
        <item x="149"/>
        <item x="432"/>
        <item x="256"/>
        <item x="339"/>
        <item x="260"/>
        <item x="204"/>
        <item x="187"/>
        <item x="196"/>
        <item x="221"/>
        <item x="231"/>
        <item x="207"/>
        <item x="199"/>
        <item x="307"/>
        <item x="224"/>
        <item x="281"/>
        <item x="168"/>
        <item x="194"/>
        <item x="158"/>
        <item x="232"/>
        <item x="219"/>
        <item x="172"/>
        <item x="335"/>
        <item x="262"/>
        <item x="342"/>
        <item x="386"/>
        <item x="240"/>
        <item x="394"/>
        <item x="181"/>
        <item x="173"/>
        <item x="276"/>
        <item x="229"/>
        <item x="363"/>
        <item x="288"/>
        <item x="189"/>
        <item x="203"/>
        <item x="311"/>
        <item x="197"/>
        <item x="210"/>
        <item x="408"/>
        <item x="340"/>
        <item x="303"/>
        <item x="436"/>
        <item x="355"/>
        <item x="218"/>
        <item x="253"/>
        <item x="237"/>
        <item x="212"/>
        <item x="257"/>
        <item x="346"/>
        <item x="291"/>
        <item x="252"/>
        <item x="313"/>
        <item x="227"/>
        <item x="249"/>
        <item x="245"/>
        <item x="273"/>
        <item x="289"/>
        <item x="341"/>
        <item x="223"/>
        <item x="301"/>
        <item x="319"/>
        <item x="265"/>
        <item x="242"/>
        <item x="465"/>
        <item x="277"/>
        <item x="267"/>
        <item x="333"/>
        <item x="379"/>
        <item x="367"/>
        <item x="228"/>
        <item x="272"/>
        <item x="233"/>
        <item x="351"/>
        <item x="264"/>
        <item x="266"/>
        <item x="349"/>
        <item x="433"/>
        <item x="244"/>
        <item x="302"/>
        <item x="480"/>
        <item x="258"/>
        <item x="235"/>
        <item x="328"/>
        <item x="250"/>
        <item x="254"/>
        <item x="423"/>
        <item x="275"/>
        <item x="380"/>
        <item x="251"/>
        <item x="334"/>
        <item x="399"/>
        <item x="287"/>
        <item x="406"/>
        <item x="286"/>
        <item x="259"/>
        <item x="261"/>
        <item x="309"/>
        <item x="372"/>
        <item x="362"/>
        <item x="293"/>
        <item x="298"/>
        <item x="304"/>
        <item x="263"/>
        <item x="282"/>
        <item x="316"/>
        <item x="295"/>
        <item x="294"/>
        <item x="270"/>
        <item x="310"/>
        <item x="290"/>
        <item x="297"/>
        <item x="308"/>
        <item x="269"/>
        <item x="321"/>
        <item x="279"/>
        <item x="356"/>
        <item x="354"/>
        <item x="345"/>
        <item x="292"/>
        <item x="391"/>
        <item x="350"/>
        <item x="332"/>
        <item x="434"/>
        <item x="329"/>
        <item x="390"/>
        <item x="383"/>
        <item x="388"/>
        <item x="305"/>
        <item x="450"/>
        <item x="445"/>
        <item x="312"/>
        <item x="525"/>
        <item x="347"/>
        <item x="368"/>
        <item x="314"/>
        <item x="324"/>
        <item x="322"/>
        <item x="411"/>
        <item x="330"/>
        <item x="315"/>
        <item x="343"/>
        <item x="338"/>
        <item x="393"/>
        <item x="359"/>
        <item x="352"/>
        <item x="337"/>
        <item x="331"/>
        <item x="510"/>
        <item x="566"/>
        <item x="366"/>
        <item x="326"/>
        <item x="435"/>
        <item x="373"/>
        <item x="541"/>
        <item x="421"/>
        <item x="443"/>
        <item x="523"/>
        <item x="472"/>
        <item x="392"/>
        <item x="370"/>
        <item x="382"/>
        <item x="369"/>
        <item x="398"/>
        <item x="407"/>
        <item x="385"/>
        <item x="396"/>
        <item x="389"/>
        <item x="374"/>
        <item x="353"/>
        <item x="387"/>
        <item x="470"/>
        <item x="378"/>
        <item x="405"/>
        <item x="361"/>
        <item x="479"/>
        <item x="403"/>
        <item x="365"/>
        <item x="415"/>
        <item x="431"/>
        <item x="508"/>
        <item x="358"/>
        <item x="364"/>
        <item x="576"/>
        <item x="402"/>
        <item x="420"/>
        <item x="404"/>
        <item x="414"/>
        <item x="397"/>
        <item x="488"/>
        <item x="381"/>
        <item x="376"/>
        <item x="371"/>
        <item x="516"/>
        <item x="519"/>
        <item x="384"/>
        <item x="377"/>
        <item x="437"/>
        <item x="441"/>
        <item x="375"/>
        <item x="555"/>
        <item x="453"/>
        <item x="464"/>
        <item x="440"/>
        <item x="427"/>
        <item x="413"/>
        <item x="498"/>
        <item x="444"/>
        <item x="471"/>
        <item x="447"/>
        <item x="455"/>
        <item x="426"/>
        <item x="515"/>
        <item x="422"/>
        <item x="429"/>
        <item x="500"/>
        <item x="409"/>
        <item x="395"/>
        <item x="452"/>
        <item x="493"/>
        <item x="418"/>
        <item x="401"/>
        <item x="424"/>
        <item x="466"/>
        <item x="412"/>
        <item x="428"/>
        <item x="522"/>
        <item x="524"/>
        <item x="531"/>
        <item x="416"/>
        <item x="457"/>
        <item x="489"/>
        <item x="410"/>
        <item x="573"/>
        <item x="454"/>
        <item x="417"/>
        <item x="551"/>
        <item x="425"/>
        <item x="557"/>
        <item x="570"/>
        <item x="419"/>
        <item x="532"/>
        <item x="504"/>
        <item x="456"/>
        <item x="439"/>
        <item x="654"/>
        <item x="520"/>
        <item x="611"/>
        <item x="458"/>
        <item x="483"/>
        <item x="463"/>
        <item x="474"/>
        <item x="460"/>
        <item x="442"/>
        <item x="430"/>
        <item x="495"/>
        <item x="451"/>
        <item x="448"/>
        <item x="509"/>
        <item x="511"/>
        <item x="461"/>
        <item x="569"/>
        <item x="521"/>
        <item x="438"/>
        <item x="462"/>
        <item x="459"/>
        <item x="660"/>
        <item x="484"/>
        <item x="475"/>
        <item x="548"/>
        <item x="469"/>
        <item x="496"/>
        <item x="446"/>
        <item x="539"/>
        <item x="503"/>
        <item x="449"/>
        <item x="534"/>
        <item x="487"/>
        <item x="535"/>
        <item x="513"/>
        <item x="638"/>
        <item x="467"/>
        <item x="544"/>
        <item x="476"/>
        <item x="481"/>
        <item x="648"/>
        <item x="705"/>
        <item x="468"/>
        <item x="635"/>
        <item x="663"/>
        <item x="579"/>
        <item x="512"/>
        <item x="530"/>
        <item x="533"/>
        <item x="477"/>
        <item x="473"/>
        <item x="499"/>
        <item x="505"/>
        <item x="681"/>
        <item x="497"/>
        <item x="537"/>
        <item x="585"/>
        <item x="501"/>
        <item x="715"/>
        <item x="612"/>
        <item x="517"/>
        <item x="478"/>
        <item x="621"/>
        <item x="492"/>
        <item x="482"/>
        <item x="679"/>
        <item x="485"/>
        <item x="491"/>
        <item x="596"/>
        <item x="665"/>
        <item x="507"/>
        <item x="494"/>
        <item x="552"/>
        <item x="601"/>
        <item x="486"/>
        <item x="514"/>
        <item x="582"/>
        <item x="529"/>
        <item x="542"/>
        <item x="490"/>
        <item x="527"/>
        <item x="584"/>
        <item x="637"/>
        <item x="502"/>
        <item x="630"/>
        <item x="633"/>
        <item x="506"/>
        <item x="718"/>
        <item x="658"/>
        <item x="560"/>
        <item x="572"/>
        <item x="545"/>
        <item x="593"/>
        <item x="518"/>
        <item x="568"/>
        <item x="655"/>
        <item x="688"/>
        <item x="578"/>
        <item x="565"/>
        <item x="741"/>
        <item x="725"/>
        <item x="591"/>
        <item x="752"/>
        <item x="543"/>
        <item x="603"/>
        <item x="618"/>
        <item x="577"/>
        <item x="562"/>
        <item x="563"/>
        <item x="607"/>
        <item x="588"/>
        <item x="674"/>
        <item x="597"/>
        <item x="546"/>
        <item x="575"/>
        <item x="581"/>
        <item x="549"/>
        <item x="599"/>
        <item x="553"/>
        <item x="526"/>
        <item x="723"/>
        <item x="538"/>
        <item x="649"/>
        <item x="528"/>
        <item x="762"/>
        <item x="664"/>
        <item x="782"/>
        <item x="564"/>
        <item x="608"/>
        <item x="632"/>
        <item x="673"/>
        <item x="540"/>
        <item x="571"/>
        <item x="536"/>
        <item x="589"/>
        <item x="641"/>
        <item x="556"/>
        <item x="567"/>
        <item x="586"/>
        <item x="580"/>
        <item x="605"/>
        <item x="554"/>
        <item x="595"/>
        <item x="558"/>
        <item x="690"/>
        <item x="547"/>
        <item x="668"/>
        <item x="594"/>
        <item x="550"/>
        <item x="559"/>
        <item x="650"/>
        <item x="686"/>
        <item x="622"/>
        <item x="643"/>
        <item x="561"/>
        <item x="590"/>
        <item x="625"/>
        <item x="616"/>
        <item x="742"/>
        <item x="677"/>
        <item x="644"/>
        <item x="675"/>
        <item x="583"/>
        <item x="759"/>
        <item x="604"/>
        <item x="739"/>
        <item x="617"/>
        <item x="636"/>
        <item x="600"/>
        <item x="592"/>
        <item x="587"/>
        <item x="689"/>
        <item x="574"/>
        <item x="743"/>
        <item x="656"/>
        <item x="669"/>
        <item x="707"/>
        <item x="609"/>
        <item x="746"/>
        <item x="610"/>
        <item x="613"/>
        <item x="627"/>
        <item x="726"/>
        <item x="684"/>
        <item x="659"/>
        <item x="628"/>
        <item x="598"/>
        <item x="652"/>
        <item x="602"/>
        <item x="614"/>
        <item x="615"/>
        <item x="717"/>
        <item x="701"/>
        <item x="639"/>
        <item x="830"/>
        <item x="670"/>
        <item x="624"/>
        <item x="606"/>
        <item x="661"/>
        <item x="814"/>
        <item x="760"/>
        <item x="710"/>
        <item x="713"/>
        <item x="721"/>
        <item x="722"/>
        <item x="873"/>
        <item x="620"/>
        <item x="797"/>
        <item x="771"/>
        <item x="777"/>
        <item x="629"/>
        <item x="728"/>
        <item x="653"/>
        <item x="841"/>
        <item x="783"/>
        <item x="619"/>
        <item x="672"/>
        <item x="634"/>
        <item x="840"/>
        <item x="774"/>
        <item x="623"/>
        <item x="700"/>
        <item x="631"/>
        <item x="626"/>
        <item x="682"/>
        <item x="798"/>
        <item x="792"/>
        <item x="704"/>
        <item x="667"/>
        <item x="799"/>
        <item x="848"/>
        <item x="835"/>
        <item x="691"/>
        <item x="815"/>
        <item x="692"/>
        <item x="646"/>
        <item x="642"/>
        <item x="640"/>
        <item x="702"/>
        <item x="666"/>
        <item x="645"/>
        <item x="712"/>
        <item x="874"/>
        <item x="699"/>
        <item x="711"/>
        <item x="647"/>
        <item x="657"/>
        <item x="651"/>
        <item x="687"/>
        <item x="662"/>
        <item x="823"/>
        <item x="697"/>
        <item x="706"/>
        <item x="761"/>
        <item x="680"/>
        <item x="696"/>
        <item x="698"/>
        <item x="749"/>
        <item x="738"/>
        <item x="733"/>
        <item x="806"/>
        <item x="765"/>
        <item x="824"/>
        <item x="727"/>
        <item x="724"/>
        <item x="676"/>
        <item x="671"/>
        <item x="829"/>
        <item x="817"/>
        <item x="716"/>
        <item x="685"/>
        <item x="683"/>
        <item x="678"/>
        <item x="729"/>
        <item x="731"/>
        <item x="791"/>
        <item x="714"/>
        <item x="800"/>
        <item x="719"/>
        <item x="693"/>
        <item x="755"/>
        <item x="888"/>
        <item x="758"/>
        <item x="740"/>
        <item x="801"/>
        <item x="694"/>
        <item x="862"/>
        <item x="757"/>
        <item x="826"/>
        <item x="785"/>
        <item x="763"/>
        <item x="695"/>
        <item x="703"/>
        <item x="720"/>
        <item x="937"/>
        <item x="744"/>
        <item x="708"/>
        <item x="781"/>
        <item x="766"/>
        <item x="770"/>
        <item x="709"/>
        <item x="803"/>
        <item x="836"/>
        <item x="941"/>
        <item x="735"/>
        <item x="943"/>
        <item x="825"/>
        <item x="780"/>
        <item x="802"/>
        <item x="730"/>
        <item x="748"/>
        <item x="809"/>
        <item x="734"/>
        <item x="753"/>
        <item x="788"/>
        <item x="750"/>
        <item x="790"/>
        <item x="961"/>
        <item x="751"/>
        <item x="736"/>
        <item x="886"/>
        <item x="843"/>
        <item x="732"/>
        <item x="737"/>
        <item x="816"/>
        <item x="903"/>
        <item x="747"/>
        <item x="885"/>
        <item x="796"/>
        <item x="745"/>
        <item x="769"/>
        <item x="812"/>
        <item x="883"/>
        <item x="764"/>
        <item x="767"/>
        <item x="778"/>
        <item x="882"/>
        <item x="756"/>
        <item x="878"/>
        <item x="810"/>
        <item x="921"/>
        <item x="907"/>
        <item x="868"/>
        <item x="839"/>
        <item x="768"/>
        <item x="811"/>
        <item x="754"/>
        <item x="954"/>
        <item x="884"/>
        <item x="772"/>
        <item x="967"/>
        <item x="948"/>
        <item x="805"/>
        <item x="970"/>
        <item x="776"/>
        <item x="864"/>
        <item x="784"/>
        <item x="833"/>
        <item x="789"/>
        <item x="845"/>
        <item x="900"/>
        <item x="926"/>
        <item x="779"/>
        <item x="787"/>
        <item x="821"/>
        <item x="773"/>
        <item x="813"/>
        <item x="794"/>
        <item x="775"/>
        <item x="808"/>
        <item x="979"/>
        <item x="854"/>
        <item x="819"/>
        <item x="786"/>
        <item x="832"/>
        <item x="807"/>
        <item x="795"/>
        <item x="831"/>
        <item x="793"/>
        <item x="919"/>
        <item x="966"/>
        <item x="880"/>
        <item x="858"/>
        <item x="965"/>
        <item x="870"/>
        <item x="895"/>
        <item x="804"/>
        <item x="902"/>
        <item x="889"/>
        <item x="822"/>
        <item x="897"/>
        <item x="818"/>
        <item x="852"/>
        <item x="844"/>
        <item x="933"/>
        <item x="871"/>
        <item x="924"/>
        <item x="912"/>
        <item x="827"/>
        <item x="837"/>
        <item x="865"/>
        <item x="974"/>
        <item x="850"/>
        <item x="929"/>
        <item x="846"/>
        <item x="820"/>
        <item x="927"/>
        <item x="859"/>
        <item x="891"/>
        <item x="876"/>
        <item x="853"/>
        <item x="828"/>
        <item x="872"/>
        <item x="838"/>
        <item x="842"/>
        <item x="847"/>
        <item x="925"/>
        <item x="834"/>
        <item x="856"/>
        <item x="951"/>
        <item x="934"/>
        <item x="875"/>
        <item x="940"/>
        <item x="866"/>
        <item x="906"/>
        <item x="849"/>
        <item x="855"/>
        <item x="908"/>
        <item x="857"/>
        <item x="877"/>
        <item x="947"/>
        <item x="977"/>
        <item x="972"/>
        <item x="957"/>
        <item x="863"/>
        <item x="913"/>
        <item x="960"/>
        <item x="963"/>
        <item x="861"/>
        <item x="914"/>
        <item x="976"/>
        <item x="860"/>
        <item x="851"/>
        <item x="890"/>
        <item x="918"/>
        <item x="894"/>
        <item x="971"/>
        <item x="867"/>
        <item x="915"/>
        <item x="955"/>
        <item x="945"/>
        <item x="958"/>
        <item x="892"/>
        <item x="879"/>
        <item x="881"/>
        <item x="869"/>
        <item x="930"/>
        <item x="962"/>
        <item x="959"/>
        <item x="898"/>
        <item x="968"/>
        <item x="920"/>
        <item x="896"/>
        <item x="923"/>
        <item x="952"/>
        <item x="922"/>
        <item x="899"/>
        <item x="893"/>
        <item x="931"/>
        <item x="982"/>
        <item x="887"/>
        <item x="956"/>
        <item x="904"/>
        <item x="986"/>
        <item x="928"/>
        <item x="964"/>
        <item x="917"/>
        <item x="988"/>
        <item x="980"/>
        <item x="949"/>
        <item x="936"/>
        <item x="901"/>
        <item x="905"/>
        <item x="989"/>
        <item x="969"/>
        <item x="939"/>
        <item x="911"/>
        <item x="946"/>
        <item x="978"/>
        <item x="944"/>
        <item x="987"/>
        <item x="942"/>
        <item x="953"/>
        <item x="935"/>
        <item x="984"/>
        <item x="973"/>
        <item x="950"/>
        <item x="932"/>
        <item x="909"/>
        <item x="910"/>
        <item x="981"/>
        <item x="975"/>
        <item x="983"/>
        <item x="985"/>
        <item x="938"/>
        <item x="916"/>
        <item t="default"/>
      </items>
    </pivotField>
    <pivotField axis="axisRow" showAll="0">
      <items count="5">
        <item x="3"/>
        <item x="1"/>
        <item x="0"/>
        <item x="2"/>
        <item t="default"/>
      </items>
    </pivotField>
    <pivotField showAll="0"/>
    <pivotField numFmtId="1" showAll="0"/>
    <pivotField showAll="0"/>
    <pivotField numFmtId="165" showAll="0"/>
    <pivotField numFmtId="165" showAll="0"/>
    <pivotField numFmtId="165" showAll="0"/>
    <pivotField dataField="1" numFmtId="165" showAll="0"/>
    <pivotField showAll="0"/>
    <pivotField showAll="0"/>
    <pivotField showAll="0" defaultSubtotal="0"/>
    <pivotField showAll="0" defaultSubtotal="0"/>
    <pivotField showAll="0" defaultSubtotal="0">
      <items count="6">
        <item x="0"/>
        <item x="1"/>
        <item x="2"/>
        <item x="3"/>
        <item x="4"/>
        <item x="5"/>
      </items>
    </pivotField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a de Ganancia" fld="10" baseField="0" baseItem="0" numFmtId="165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FC6BD30-8559-44F6-A734-E71E8F603D07}" name="TablaDinámica1" cacheId="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8">
  <location ref="A3:B8" firstHeaderRow="1" firstDataRow="1" firstDataCol="1"/>
  <pivotFields count="16">
    <pivotField showAll="0"/>
    <pivotField numFmtId="14" showAll="0"/>
    <pivotField numFmtId="14" showAll="0">
      <items count="991">
        <item x="11"/>
        <item x="18"/>
        <item x="31"/>
        <item x="21"/>
        <item x="1"/>
        <item x="22"/>
        <item x="3"/>
        <item x="54"/>
        <item x="85"/>
        <item x="81"/>
        <item x="24"/>
        <item x="63"/>
        <item x="117"/>
        <item x="77"/>
        <item x="53"/>
        <item x="114"/>
        <item x="79"/>
        <item x="17"/>
        <item x="6"/>
        <item x="87"/>
        <item x="20"/>
        <item x="27"/>
        <item x="0"/>
        <item x="137"/>
        <item x="25"/>
        <item x="92"/>
        <item x="112"/>
        <item x="71"/>
        <item x="58"/>
        <item x="124"/>
        <item x="32"/>
        <item x="55"/>
        <item x="47"/>
        <item x="28"/>
        <item x="36"/>
        <item x="4"/>
        <item x="67"/>
        <item x="122"/>
        <item x="94"/>
        <item x="152"/>
        <item x="93"/>
        <item x="146"/>
        <item x="39"/>
        <item x="126"/>
        <item x="84"/>
        <item x="171"/>
        <item x="78"/>
        <item x="127"/>
        <item x="105"/>
        <item x="125"/>
        <item x="29"/>
        <item x="182"/>
        <item x="177"/>
        <item x="99"/>
        <item x="46"/>
        <item x="209"/>
        <item x="151"/>
        <item x="70"/>
        <item x="101"/>
        <item x="128"/>
        <item x="19"/>
        <item x="116"/>
        <item x="161"/>
        <item x="106"/>
        <item x="156"/>
        <item x="140"/>
        <item x="163"/>
        <item x="133"/>
        <item x="107"/>
        <item x="134"/>
        <item x="138"/>
        <item x="123"/>
        <item x="68"/>
        <item x="5"/>
        <item x="61"/>
        <item x="234"/>
        <item x="160"/>
        <item x="103"/>
        <item x="195"/>
        <item x="59"/>
        <item x="129"/>
        <item x="76"/>
        <item x="214"/>
        <item x="184"/>
        <item x="159"/>
        <item x="217"/>
        <item x="215"/>
        <item x="154"/>
        <item x="42"/>
        <item x="40"/>
        <item x="30"/>
        <item x="51"/>
        <item x="83"/>
        <item x="202"/>
        <item x="13"/>
        <item x="120"/>
        <item x="255"/>
        <item x="72"/>
        <item x="74"/>
        <item x="9"/>
        <item x="145"/>
        <item x="16"/>
        <item x="66"/>
        <item x="82"/>
        <item x="130"/>
        <item x="248"/>
        <item x="62"/>
        <item x="115"/>
        <item x="65"/>
        <item x="222"/>
        <item x="52"/>
        <item x="225"/>
        <item x="131"/>
        <item x="190"/>
        <item x="230"/>
        <item x="69"/>
        <item x="86"/>
        <item x="139"/>
        <item x="143"/>
        <item x="135"/>
        <item x="10"/>
        <item x="45"/>
        <item x="241"/>
        <item x="7"/>
        <item x="33"/>
        <item x="169"/>
        <item x="157"/>
        <item x="12"/>
        <item x="246"/>
        <item x="89"/>
        <item x="2"/>
        <item x="150"/>
        <item x="147"/>
        <item x="211"/>
        <item x="164"/>
        <item x="49"/>
        <item x="110"/>
        <item x="299"/>
        <item x="306"/>
        <item x="75"/>
        <item x="201"/>
        <item x="57"/>
        <item x="41"/>
        <item x="15"/>
        <item x="278"/>
        <item x="108"/>
        <item x="100"/>
        <item x="73"/>
        <item x="14"/>
        <item x="23"/>
        <item x="35"/>
        <item x="170"/>
        <item x="109"/>
        <item x="104"/>
        <item x="271"/>
        <item x="37"/>
        <item x="174"/>
        <item x="141"/>
        <item x="247"/>
        <item x="97"/>
        <item x="50"/>
        <item x="162"/>
        <item x="43"/>
        <item x="243"/>
        <item x="119"/>
        <item x="98"/>
        <item x="56"/>
        <item x="91"/>
        <item x="26"/>
        <item x="64"/>
        <item x="296"/>
        <item x="175"/>
        <item x="226"/>
        <item x="8"/>
        <item x="205"/>
        <item x="357"/>
        <item x="34"/>
        <item x="216"/>
        <item x="44"/>
        <item x="102"/>
        <item x="344"/>
        <item x="188"/>
        <item x="206"/>
        <item x="80"/>
        <item x="283"/>
        <item x="191"/>
        <item x="48"/>
        <item x="323"/>
        <item x="148"/>
        <item x="38"/>
        <item x="300"/>
        <item x="280"/>
        <item x="327"/>
        <item x="113"/>
        <item x="238"/>
        <item x="236"/>
        <item x="176"/>
        <item x="60"/>
        <item x="192"/>
        <item x="165"/>
        <item x="96"/>
        <item x="320"/>
        <item x="213"/>
        <item x="274"/>
        <item x="268"/>
        <item x="360"/>
        <item x="90"/>
        <item x="95"/>
        <item x="220"/>
        <item x="285"/>
        <item x="88"/>
        <item x="198"/>
        <item x="208"/>
        <item x="142"/>
        <item x="179"/>
        <item x="348"/>
        <item x="400"/>
        <item x="118"/>
        <item x="121"/>
        <item x="186"/>
        <item x="185"/>
        <item x="200"/>
        <item x="193"/>
        <item x="167"/>
        <item x="325"/>
        <item x="111"/>
        <item x="153"/>
        <item x="318"/>
        <item x="239"/>
        <item x="180"/>
        <item x="136"/>
        <item x="336"/>
        <item x="166"/>
        <item x="183"/>
        <item x="155"/>
        <item x="178"/>
        <item x="317"/>
        <item x="284"/>
        <item x="132"/>
        <item x="144"/>
        <item x="149"/>
        <item x="432"/>
        <item x="256"/>
        <item x="339"/>
        <item x="260"/>
        <item x="204"/>
        <item x="187"/>
        <item x="196"/>
        <item x="221"/>
        <item x="231"/>
        <item x="207"/>
        <item x="199"/>
        <item x="307"/>
        <item x="224"/>
        <item x="281"/>
        <item x="168"/>
        <item x="194"/>
        <item x="158"/>
        <item x="232"/>
        <item x="219"/>
        <item x="172"/>
        <item x="335"/>
        <item x="262"/>
        <item x="342"/>
        <item x="386"/>
        <item x="240"/>
        <item x="394"/>
        <item x="181"/>
        <item x="173"/>
        <item x="276"/>
        <item x="229"/>
        <item x="363"/>
        <item x="288"/>
        <item x="189"/>
        <item x="203"/>
        <item x="311"/>
        <item x="197"/>
        <item x="210"/>
        <item x="408"/>
        <item x="340"/>
        <item x="303"/>
        <item x="436"/>
        <item x="355"/>
        <item x="218"/>
        <item x="253"/>
        <item x="237"/>
        <item x="212"/>
        <item x="257"/>
        <item x="346"/>
        <item x="291"/>
        <item x="252"/>
        <item x="313"/>
        <item x="227"/>
        <item x="249"/>
        <item x="245"/>
        <item x="273"/>
        <item x="289"/>
        <item x="341"/>
        <item x="223"/>
        <item x="301"/>
        <item x="319"/>
        <item x="265"/>
        <item x="242"/>
        <item x="465"/>
        <item x="277"/>
        <item x="267"/>
        <item x="333"/>
        <item x="379"/>
        <item x="367"/>
        <item x="228"/>
        <item x="272"/>
        <item x="233"/>
        <item x="351"/>
        <item x="264"/>
        <item x="266"/>
        <item x="349"/>
        <item x="433"/>
        <item x="244"/>
        <item x="302"/>
        <item x="480"/>
        <item x="258"/>
        <item x="235"/>
        <item x="328"/>
        <item x="250"/>
        <item x="254"/>
        <item x="423"/>
        <item x="275"/>
        <item x="380"/>
        <item x="251"/>
        <item x="334"/>
        <item x="399"/>
        <item x="287"/>
        <item x="406"/>
        <item x="286"/>
        <item x="259"/>
        <item x="261"/>
        <item x="309"/>
        <item x="372"/>
        <item x="362"/>
        <item x="293"/>
        <item x="298"/>
        <item x="304"/>
        <item x="263"/>
        <item x="282"/>
        <item x="316"/>
        <item x="295"/>
        <item x="294"/>
        <item x="270"/>
        <item x="310"/>
        <item x="290"/>
        <item x="297"/>
        <item x="308"/>
        <item x="269"/>
        <item x="321"/>
        <item x="279"/>
        <item x="356"/>
        <item x="354"/>
        <item x="345"/>
        <item x="292"/>
        <item x="391"/>
        <item x="350"/>
        <item x="332"/>
        <item x="434"/>
        <item x="329"/>
        <item x="390"/>
        <item x="383"/>
        <item x="388"/>
        <item x="305"/>
        <item x="450"/>
        <item x="445"/>
        <item x="312"/>
        <item x="525"/>
        <item x="347"/>
        <item x="368"/>
        <item x="314"/>
        <item x="324"/>
        <item x="322"/>
        <item x="411"/>
        <item x="330"/>
        <item x="315"/>
        <item x="343"/>
        <item x="338"/>
        <item x="393"/>
        <item x="359"/>
        <item x="352"/>
        <item x="337"/>
        <item x="331"/>
        <item x="510"/>
        <item x="566"/>
        <item x="366"/>
        <item x="326"/>
        <item x="435"/>
        <item x="373"/>
        <item x="541"/>
        <item x="421"/>
        <item x="443"/>
        <item x="523"/>
        <item x="472"/>
        <item x="392"/>
        <item x="370"/>
        <item x="382"/>
        <item x="369"/>
        <item x="398"/>
        <item x="407"/>
        <item x="385"/>
        <item x="396"/>
        <item x="389"/>
        <item x="374"/>
        <item x="353"/>
        <item x="387"/>
        <item x="470"/>
        <item x="378"/>
        <item x="405"/>
        <item x="361"/>
        <item x="479"/>
        <item x="403"/>
        <item x="365"/>
        <item x="415"/>
        <item x="431"/>
        <item x="508"/>
        <item x="358"/>
        <item x="364"/>
        <item x="576"/>
        <item x="402"/>
        <item x="420"/>
        <item x="404"/>
        <item x="414"/>
        <item x="397"/>
        <item x="488"/>
        <item x="381"/>
        <item x="376"/>
        <item x="371"/>
        <item x="516"/>
        <item x="519"/>
        <item x="384"/>
        <item x="377"/>
        <item x="437"/>
        <item x="441"/>
        <item x="375"/>
        <item x="555"/>
        <item x="453"/>
        <item x="464"/>
        <item x="440"/>
        <item x="427"/>
        <item x="413"/>
        <item x="498"/>
        <item x="444"/>
        <item x="471"/>
        <item x="447"/>
        <item x="455"/>
        <item x="426"/>
        <item x="515"/>
        <item x="422"/>
        <item x="429"/>
        <item x="500"/>
        <item x="409"/>
        <item x="395"/>
        <item x="452"/>
        <item x="493"/>
        <item x="418"/>
        <item x="401"/>
        <item x="424"/>
        <item x="466"/>
        <item x="412"/>
        <item x="428"/>
        <item x="522"/>
        <item x="524"/>
        <item x="531"/>
        <item x="416"/>
        <item x="457"/>
        <item x="489"/>
        <item x="410"/>
        <item x="573"/>
        <item x="454"/>
        <item x="417"/>
        <item x="551"/>
        <item x="425"/>
        <item x="557"/>
        <item x="570"/>
        <item x="419"/>
        <item x="532"/>
        <item x="504"/>
        <item x="456"/>
        <item x="439"/>
        <item x="654"/>
        <item x="520"/>
        <item x="611"/>
        <item x="458"/>
        <item x="483"/>
        <item x="463"/>
        <item x="474"/>
        <item x="460"/>
        <item x="442"/>
        <item x="430"/>
        <item x="495"/>
        <item x="451"/>
        <item x="448"/>
        <item x="509"/>
        <item x="511"/>
        <item x="461"/>
        <item x="569"/>
        <item x="521"/>
        <item x="438"/>
        <item x="462"/>
        <item x="459"/>
        <item x="660"/>
        <item x="484"/>
        <item x="475"/>
        <item x="548"/>
        <item x="469"/>
        <item x="496"/>
        <item x="446"/>
        <item x="539"/>
        <item x="503"/>
        <item x="449"/>
        <item x="534"/>
        <item x="487"/>
        <item x="535"/>
        <item x="513"/>
        <item x="638"/>
        <item x="467"/>
        <item x="544"/>
        <item x="476"/>
        <item x="481"/>
        <item x="648"/>
        <item x="705"/>
        <item x="468"/>
        <item x="635"/>
        <item x="663"/>
        <item x="579"/>
        <item x="512"/>
        <item x="530"/>
        <item x="533"/>
        <item x="477"/>
        <item x="473"/>
        <item x="499"/>
        <item x="505"/>
        <item x="681"/>
        <item x="497"/>
        <item x="537"/>
        <item x="585"/>
        <item x="501"/>
        <item x="715"/>
        <item x="612"/>
        <item x="517"/>
        <item x="478"/>
        <item x="621"/>
        <item x="492"/>
        <item x="482"/>
        <item x="679"/>
        <item x="485"/>
        <item x="491"/>
        <item x="596"/>
        <item x="665"/>
        <item x="507"/>
        <item x="494"/>
        <item x="552"/>
        <item x="601"/>
        <item x="486"/>
        <item x="514"/>
        <item x="582"/>
        <item x="529"/>
        <item x="542"/>
        <item x="490"/>
        <item x="527"/>
        <item x="584"/>
        <item x="637"/>
        <item x="502"/>
        <item x="630"/>
        <item x="633"/>
        <item x="506"/>
        <item x="718"/>
        <item x="658"/>
        <item x="560"/>
        <item x="572"/>
        <item x="545"/>
        <item x="593"/>
        <item x="518"/>
        <item x="568"/>
        <item x="655"/>
        <item x="688"/>
        <item x="578"/>
        <item x="565"/>
        <item x="741"/>
        <item x="725"/>
        <item x="591"/>
        <item x="752"/>
        <item x="543"/>
        <item x="603"/>
        <item x="618"/>
        <item x="577"/>
        <item x="562"/>
        <item x="563"/>
        <item x="607"/>
        <item x="588"/>
        <item x="674"/>
        <item x="597"/>
        <item x="546"/>
        <item x="575"/>
        <item x="581"/>
        <item x="549"/>
        <item x="599"/>
        <item x="553"/>
        <item x="526"/>
        <item x="723"/>
        <item x="538"/>
        <item x="649"/>
        <item x="528"/>
        <item x="762"/>
        <item x="664"/>
        <item x="782"/>
        <item x="564"/>
        <item x="608"/>
        <item x="632"/>
        <item x="673"/>
        <item x="540"/>
        <item x="571"/>
        <item x="536"/>
        <item x="589"/>
        <item x="641"/>
        <item x="556"/>
        <item x="567"/>
        <item x="586"/>
        <item x="580"/>
        <item x="605"/>
        <item x="554"/>
        <item x="595"/>
        <item x="558"/>
        <item x="690"/>
        <item x="547"/>
        <item x="668"/>
        <item x="594"/>
        <item x="550"/>
        <item x="559"/>
        <item x="650"/>
        <item x="686"/>
        <item x="622"/>
        <item x="643"/>
        <item x="561"/>
        <item x="590"/>
        <item x="625"/>
        <item x="616"/>
        <item x="742"/>
        <item x="677"/>
        <item x="644"/>
        <item x="675"/>
        <item x="583"/>
        <item x="759"/>
        <item x="604"/>
        <item x="739"/>
        <item x="617"/>
        <item x="636"/>
        <item x="600"/>
        <item x="592"/>
        <item x="587"/>
        <item x="689"/>
        <item x="574"/>
        <item x="743"/>
        <item x="656"/>
        <item x="669"/>
        <item x="707"/>
        <item x="609"/>
        <item x="746"/>
        <item x="610"/>
        <item x="613"/>
        <item x="627"/>
        <item x="726"/>
        <item x="684"/>
        <item x="659"/>
        <item x="628"/>
        <item x="598"/>
        <item x="652"/>
        <item x="602"/>
        <item x="614"/>
        <item x="615"/>
        <item x="717"/>
        <item x="701"/>
        <item x="639"/>
        <item x="830"/>
        <item x="670"/>
        <item x="624"/>
        <item x="606"/>
        <item x="661"/>
        <item x="814"/>
        <item x="760"/>
        <item x="710"/>
        <item x="713"/>
        <item x="721"/>
        <item x="722"/>
        <item x="873"/>
        <item x="620"/>
        <item x="797"/>
        <item x="771"/>
        <item x="777"/>
        <item x="629"/>
        <item x="728"/>
        <item x="653"/>
        <item x="841"/>
        <item x="783"/>
        <item x="619"/>
        <item x="672"/>
        <item x="634"/>
        <item x="840"/>
        <item x="774"/>
        <item x="623"/>
        <item x="700"/>
        <item x="631"/>
        <item x="626"/>
        <item x="682"/>
        <item x="798"/>
        <item x="792"/>
        <item x="704"/>
        <item x="667"/>
        <item x="799"/>
        <item x="848"/>
        <item x="835"/>
        <item x="691"/>
        <item x="815"/>
        <item x="692"/>
        <item x="646"/>
        <item x="642"/>
        <item x="640"/>
        <item x="702"/>
        <item x="666"/>
        <item x="645"/>
        <item x="712"/>
        <item x="874"/>
        <item x="699"/>
        <item x="711"/>
        <item x="647"/>
        <item x="657"/>
        <item x="651"/>
        <item x="687"/>
        <item x="662"/>
        <item x="823"/>
        <item x="697"/>
        <item x="706"/>
        <item x="761"/>
        <item x="680"/>
        <item x="696"/>
        <item x="698"/>
        <item x="749"/>
        <item x="738"/>
        <item x="733"/>
        <item x="806"/>
        <item x="765"/>
        <item x="824"/>
        <item x="727"/>
        <item x="724"/>
        <item x="676"/>
        <item x="671"/>
        <item x="829"/>
        <item x="817"/>
        <item x="716"/>
        <item x="685"/>
        <item x="683"/>
        <item x="678"/>
        <item x="729"/>
        <item x="731"/>
        <item x="791"/>
        <item x="714"/>
        <item x="800"/>
        <item x="719"/>
        <item x="693"/>
        <item x="755"/>
        <item x="888"/>
        <item x="758"/>
        <item x="740"/>
        <item x="801"/>
        <item x="694"/>
        <item x="862"/>
        <item x="757"/>
        <item x="826"/>
        <item x="785"/>
        <item x="763"/>
        <item x="695"/>
        <item x="703"/>
        <item x="720"/>
        <item x="937"/>
        <item x="744"/>
        <item x="708"/>
        <item x="781"/>
        <item x="766"/>
        <item x="770"/>
        <item x="709"/>
        <item x="803"/>
        <item x="836"/>
        <item x="941"/>
        <item x="735"/>
        <item x="943"/>
        <item x="825"/>
        <item x="780"/>
        <item x="802"/>
        <item x="730"/>
        <item x="748"/>
        <item x="809"/>
        <item x="734"/>
        <item x="753"/>
        <item x="788"/>
        <item x="750"/>
        <item x="790"/>
        <item x="961"/>
        <item x="751"/>
        <item x="736"/>
        <item x="886"/>
        <item x="843"/>
        <item x="732"/>
        <item x="737"/>
        <item x="816"/>
        <item x="903"/>
        <item x="747"/>
        <item x="885"/>
        <item x="796"/>
        <item x="745"/>
        <item x="769"/>
        <item x="812"/>
        <item x="883"/>
        <item x="764"/>
        <item x="767"/>
        <item x="778"/>
        <item x="882"/>
        <item x="756"/>
        <item x="878"/>
        <item x="810"/>
        <item x="921"/>
        <item x="907"/>
        <item x="868"/>
        <item x="839"/>
        <item x="768"/>
        <item x="811"/>
        <item x="754"/>
        <item x="954"/>
        <item x="884"/>
        <item x="772"/>
        <item x="967"/>
        <item x="948"/>
        <item x="805"/>
        <item x="970"/>
        <item x="776"/>
        <item x="864"/>
        <item x="784"/>
        <item x="833"/>
        <item x="789"/>
        <item x="845"/>
        <item x="900"/>
        <item x="926"/>
        <item x="779"/>
        <item x="787"/>
        <item x="821"/>
        <item x="773"/>
        <item x="813"/>
        <item x="794"/>
        <item x="775"/>
        <item x="808"/>
        <item x="979"/>
        <item x="854"/>
        <item x="819"/>
        <item x="786"/>
        <item x="832"/>
        <item x="807"/>
        <item x="795"/>
        <item x="831"/>
        <item x="793"/>
        <item x="919"/>
        <item x="966"/>
        <item x="880"/>
        <item x="858"/>
        <item x="965"/>
        <item x="870"/>
        <item x="895"/>
        <item x="804"/>
        <item x="902"/>
        <item x="889"/>
        <item x="822"/>
        <item x="897"/>
        <item x="818"/>
        <item x="852"/>
        <item x="844"/>
        <item x="933"/>
        <item x="871"/>
        <item x="924"/>
        <item x="912"/>
        <item x="827"/>
        <item x="837"/>
        <item x="865"/>
        <item x="974"/>
        <item x="850"/>
        <item x="929"/>
        <item x="846"/>
        <item x="820"/>
        <item x="927"/>
        <item x="859"/>
        <item x="891"/>
        <item x="876"/>
        <item x="853"/>
        <item x="828"/>
        <item x="872"/>
        <item x="838"/>
        <item x="842"/>
        <item x="847"/>
        <item x="925"/>
        <item x="834"/>
        <item x="856"/>
        <item x="951"/>
        <item x="934"/>
        <item x="875"/>
        <item x="940"/>
        <item x="866"/>
        <item x="906"/>
        <item x="849"/>
        <item x="855"/>
        <item x="908"/>
        <item x="857"/>
        <item x="877"/>
        <item x="947"/>
        <item x="977"/>
        <item x="972"/>
        <item x="957"/>
        <item x="863"/>
        <item x="913"/>
        <item x="960"/>
        <item x="963"/>
        <item x="861"/>
        <item x="914"/>
        <item x="976"/>
        <item x="860"/>
        <item x="851"/>
        <item x="890"/>
        <item x="918"/>
        <item x="894"/>
        <item x="971"/>
        <item x="867"/>
        <item x="915"/>
        <item x="955"/>
        <item x="945"/>
        <item x="958"/>
        <item x="892"/>
        <item x="879"/>
        <item x="881"/>
        <item x="869"/>
        <item x="930"/>
        <item x="962"/>
        <item x="959"/>
        <item x="898"/>
        <item x="968"/>
        <item x="920"/>
        <item x="896"/>
        <item x="923"/>
        <item x="952"/>
        <item x="922"/>
        <item x="899"/>
        <item x="893"/>
        <item x="931"/>
        <item x="982"/>
        <item x="887"/>
        <item x="956"/>
        <item x="904"/>
        <item x="986"/>
        <item x="928"/>
        <item x="964"/>
        <item x="917"/>
        <item x="988"/>
        <item x="980"/>
        <item x="949"/>
        <item x="936"/>
        <item x="901"/>
        <item x="905"/>
        <item x="989"/>
        <item x="969"/>
        <item x="939"/>
        <item x="911"/>
        <item x="946"/>
        <item x="978"/>
        <item x="944"/>
        <item x="987"/>
        <item x="942"/>
        <item x="953"/>
        <item x="935"/>
        <item x="984"/>
        <item x="973"/>
        <item x="950"/>
        <item x="932"/>
        <item x="909"/>
        <item x="910"/>
        <item x="981"/>
        <item x="975"/>
        <item x="983"/>
        <item x="985"/>
        <item x="938"/>
        <item x="916"/>
        <item t="default"/>
      </items>
    </pivotField>
    <pivotField showAll="0"/>
    <pivotField showAll="0"/>
    <pivotField numFmtId="1" showAll="0"/>
    <pivotField showAll="0"/>
    <pivotField numFmtId="165" showAll="0"/>
    <pivotField numFmtId="165" showAll="0"/>
    <pivotField numFmtId="165" showAll="0"/>
    <pivotField dataField="1" numFmtId="165" showAll="0"/>
    <pivotField showAll="0"/>
    <pivotField showAll="0"/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Row" showAll="0">
      <items count="7">
        <item sd="0" x="0"/>
        <item sd="0" x="1"/>
        <item sd="0" x="2"/>
        <item sd="0" x="3"/>
        <item sd="0" x="4"/>
        <item sd="0" x="5"/>
        <item t="default"/>
      </items>
    </pivotField>
  </pivotFields>
  <rowFields count="2">
    <field x="15"/>
    <field x="13"/>
  </rowFields>
  <rowItems count="5"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a de Ganancia" fld="10" baseField="0" baseItem="0" numFmtId="165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3">
          <reference field="4294967294" count="1" selected="0">
            <x v="0"/>
          </reference>
          <reference field="13" count="1" selected="0">
            <x v="2"/>
          </reference>
          <reference field="15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3E82469-0D4E-426F-A782-161AD090185E}" name="TablaOperaciones" displayName="TablaOperaciones" ref="A1:M2760" totalsRowShown="0" headerRowDxfId="0">
  <autoFilter ref="A1:M2760" xr:uid="{43E82469-0D4E-426F-A782-161AD090185E}"/>
  <tableColumns count="13">
    <tableColumn id="1" xr3:uid="{56179619-6C7D-4D4D-957B-4C209DE86D7E}" name="Id Operación"/>
    <tableColumn id="2" xr3:uid="{B6723DD4-FF5E-4E34-8345-D826B9EF4FAA}" name="Fecha Alta" dataDxfId="7"/>
    <tableColumn id="3" xr3:uid="{7A255677-8394-492D-8E46-BB68DE69466F}" name="Fecha Operación" dataDxfId="6"/>
    <tableColumn id="4" xr3:uid="{B7CA0898-787B-4E44-A50F-8EBB767B26FA}" name="Provincia"/>
    <tableColumn id="5" xr3:uid="{A52C029C-5647-46FC-9AEE-52232866D9D9}" name="Tipo de Inmueble"/>
    <tableColumn id="6" xr3:uid="{F742C196-B9F0-4D7B-AE97-3D1C0C4BCAF2}" name="Superficie (m²)" dataDxfId="5"/>
    <tableColumn id="7" xr3:uid="{77B8193C-6F67-4723-9D8B-3278B82AA1C3}" name="Operación"/>
    <tableColumn id="8" xr3:uid="{9EB1C0EF-1028-4C27-8CC0-F5000EAD8C4B}" name="Costos Operativos" dataDxfId="4"/>
    <tableColumn id="9" xr3:uid="{FD8C4DC4-C5C4-48B2-AF07-08AE75D93881}" name="Monto Total Operación" dataDxfId="3"/>
    <tableColumn id="10" xr3:uid="{37B89F56-CBE2-4E90-97C4-D5EFF3A500B8}" name="Beneficio Propietario" dataDxfId="2"/>
    <tableColumn id="11" xr3:uid="{51460C44-39B9-47E5-B1C3-32FF61329A01}" name="Ganancia" dataDxfId="1"/>
    <tableColumn id="12" xr3:uid="{194CFD2A-DDE3-4017-8194-6B3A21357A0C}" name="Vendedor"/>
    <tableColumn id="13" xr3:uid="{C05C76F0-5492-4E00-B1E3-5634E69B30E0}" name="Calificación Operació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B37E09-998D-4C2F-8F64-3D75F4810B08}">
  <dimension ref="A3:C15"/>
  <sheetViews>
    <sheetView tabSelected="1" workbookViewId="0">
      <selection activeCell="K5" sqref="K5"/>
    </sheetView>
  </sheetViews>
  <sheetFormatPr baseColWidth="10" defaultRowHeight="15" x14ac:dyDescent="0.25"/>
  <cols>
    <col min="1" max="1" width="17.5703125" bestFit="1" customWidth="1"/>
    <col min="2" max="2" width="17.28515625" bestFit="1" customWidth="1"/>
    <col min="3" max="3" width="16.85546875" bestFit="1" customWidth="1"/>
  </cols>
  <sheetData>
    <row r="3" spans="1:3" x14ac:dyDescent="0.25">
      <c r="A3" s="4" t="s">
        <v>32</v>
      </c>
      <c r="B3" t="s">
        <v>38</v>
      </c>
    </row>
    <row r="4" spans="1:3" x14ac:dyDescent="0.25">
      <c r="A4" s="5" t="s">
        <v>22</v>
      </c>
      <c r="B4" s="3">
        <v>137112972.88000011</v>
      </c>
    </row>
    <row r="5" spans="1:3" x14ac:dyDescent="0.25">
      <c r="A5" s="5" t="s">
        <v>23</v>
      </c>
      <c r="B5" s="3">
        <v>134699018.03999987</v>
      </c>
    </row>
    <row r="6" spans="1:3" x14ac:dyDescent="0.25">
      <c r="A6" s="5" t="s">
        <v>21</v>
      </c>
      <c r="B6" s="3">
        <v>144541185.68000007</v>
      </c>
    </row>
    <row r="7" spans="1:3" x14ac:dyDescent="0.25">
      <c r="A7" s="5" t="s">
        <v>20</v>
      </c>
      <c r="B7" s="3">
        <v>138206870.16</v>
      </c>
    </row>
    <row r="8" spans="1:3" x14ac:dyDescent="0.25">
      <c r="A8" s="5" t="s">
        <v>33</v>
      </c>
      <c r="B8" s="3">
        <v>554560046.75999999</v>
      </c>
    </row>
    <row r="11" spans="1:3" x14ac:dyDescent="0.25">
      <c r="A11" s="5" t="s">
        <v>43</v>
      </c>
      <c r="B11" t="s">
        <v>40</v>
      </c>
      <c r="C11" t="s">
        <v>42</v>
      </c>
    </row>
    <row r="12" spans="1:3" x14ac:dyDescent="0.25">
      <c r="A12" s="5" t="s">
        <v>39</v>
      </c>
      <c r="B12" t="s">
        <v>41</v>
      </c>
      <c r="C12">
        <f>GETPIVOTDATA("Ganancia",$A$3,"Provincia","Cádiz")</f>
        <v>137112972.88000011</v>
      </c>
    </row>
    <row r="13" spans="1:3" x14ac:dyDescent="0.25">
      <c r="A13" s="5" t="s">
        <v>23</v>
      </c>
      <c r="B13" t="s">
        <v>41</v>
      </c>
      <c r="C13">
        <f>GETPIVOTDATA("Ganancia",$A$3,"Provincia","Córdoba")</f>
        <v>134699018.03999987</v>
      </c>
    </row>
    <row r="14" spans="1:3" x14ac:dyDescent="0.25">
      <c r="A14" s="5" t="s">
        <v>21</v>
      </c>
      <c r="B14" t="s">
        <v>41</v>
      </c>
      <c r="C14">
        <f>GETPIVOTDATA("Ganancia",$A$3,"Provincia","Málaga")</f>
        <v>144541185.68000007</v>
      </c>
    </row>
    <row r="15" spans="1:3" x14ac:dyDescent="0.25">
      <c r="A15" s="5" t="s">
        <v>20</v>
      </c>
      <c r="B15" t="s">
        <v>41</v>
      </c>
      <c r="C15">
        <f>GETPIVOTDATA("Ganancia",$A$3,"Provincia","Sevilla")</f>
        <v>138206870.16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4558C9-A2D0-4FAF-A5E6-E7A98024F259}">
  <dimension ref="A1:M2760"/>
  <sheetViews>
    <sheetView topLeftCell="A2" workbookViewId="0">
      <selection activeCell="D7" sqref="D7"/>
    </sheetView>
  </sheetViews>
  <sheetFormatPr baseColWidth="10" defaultRowHeight="15" x14ac:dyDescent="0.25"/>
  <cols>
    <col min="1" max="1" width="14.42578125" customWidth="1"/>
    <col min="2" max="2" width="12.28515625" customWidth="1"/>
    <col min="3" max="3" width="17.85546875" customWidth="1"/>
    <col min="5" max="5" width="18.7109375" customWidth="1"/>
    <col min="6" max="6" width="16.42578125" customWidth="1"/>
    <col min="7" max="7" width="12.28515625" customWidth="1"/>
    <col min="8" max="8" width="19.140625" customWidth="1"/>
    <col min="9" max="9" width="23.5703125" customWidth="1"/>
    <col min="10" max="10" width="22" customWidth="1"/>
    <col min="11" max="11" width="12.42578125" bestFit="1" customWidth="1"/>
    <col min="12" max="12" width="12" customWidth="1"/>
    <col min="13" max="13" width="22.85546875" customWidth="1"/>
  </cols>
  <sheetData>
    <row r="1" spans="1:13" x14ac:dyDescent="0.25">
      <c r="A1" t="s">
        <v>0</v>
      </c>
      <c r="B1" s="1" t="s">
        <v>1</v>
      </c>
      <c r="C1" s="1" t="s">
        <v>9</v>
      </c>
      <c r="D1" t="s">
        <v>3</v>
      </c>
      <c r="E1" t="s">
        <v>30</v>
      </c>
      <c r="F1" s="2" t="s">
        <v>4</v>
      </c>
      <c r="G1" t="s">
        <v>2</v>
      </c>
      <c r="H1" s="3" t="s">
        <v>5</v>
      </c>
      <c r="I1" s="3" t="s">
        <v>6</v>
      </c>
      <c r="J1" s="3" t="s">
        <v>7</v>
      </c>
      <c r="K1" s="3" t="s">
        <v>8</v>
      </c>
      <c r="L1" t="s">
        <v>10</v>
      </c>
      <c r="M1" t="s">
        <v>31</v>
      </c>
    </row>
    <row r="2" spans="1:13" x14ac:dyDescent="0.25">
      <c r="A2">
        <v>1</v>
      </c>
      <c r="B2" s="1">
        <v>42370</v>
      </c>
      <c r="C2" s="1">
        <v>42540</v>
      </c>
      <c r="D2" t="s">
        <v>21</v>
      </c>
      <c r="E2" t="s">
        <v>24</v>
      </c>
      <c r="F2" s="2">
        <v>285</v>
      </c>
      <c r="G2" t="s">
        <v>12</v>
      </c>
      <c r="H2" s="3">
        <v>84689.12</v>
      </c>
      <c r="I2" s="3">
        <v>2170388</v>
      </c>
      <c r="J2" s="3">
        <v>1736310.4</v>
      </c>
      <c r="K2" s="3">
        <v>349388.4800000001</v>
      </c>
      <c r="L2" t="s">
        <v>14</v>
      </c>
      <c r="M2">
        <v>4.5999999999999996</v>
      </c>
    </row>
    <row r="3" spans="1:13" x14ac:dyDescent="0.25">
      <c r="A3">
        <v>2</v>
      </c>
      <c r="B3" s="1">
        <v>42370</v>
      </c>
      <c r="C3" s="1">
        <v>42479</v>
      </c>
      <c r="D3" t="s">
        <v>23</v>
      </c>
      <c r="E3" t="s">
        <v>27</v>
      </c>
      <c r="F3" s="2">
        <v>194</v>
      </c>
      <c r="G3" t="s">
        <v>12</v>
      </c>
      <c r="H3" s="3">
        <v>77155.960000000006</v>
      </c>
      <c r="I3" s="3">
        <v>1981909</v>
      </c>
      <c r="J3" s="3">
        <v>1585527.2</v>
      </c>
      <c r="K3" s="3">
        <v>319225.84000000003</v>
      </c>
      <c r="L3" t="s">
        <v>15</v>
      </c>
      <c r="M3">
        <v>4.9000000000000004</v>
      </c>
    </row>
    <row r="4" spans="1:13" x14ac:dyDescent="0.25">
      <c r="A4">
        <v>3</v>
      </c>
      <c r="B4" s="1">
        <v>42370</v>
      </c>
      <c r="C4" s="1">
        <v>42682</v>
      </c>
      <c r="D4" t="s">
        <v>23</v>
      </c>
      <c r="E4" t="s">
        <v>26</v>
      </c>
      <c r="F4" s="2">
        <v>76</v>
      </c>
      <c r="G4" t="s">
        <v>11</v>
      </c>
      <c r="H4" s="3">
        <v>27367.64</v>
      </c>
      <c r="I4" s="3">
        <v>748901</v>
      </c>
      <c r="J4" s="3">
        <v>599120.80000000005</v>
      </c>
      <c r="K4" s="3">
        <v>122412.55999999995</v>
      </c>
      <c r="L4" t="s">
        <v>16</v>
      </c>
      <c r="M4">
        <v>4.9000000000000004</v>
      </c>
    </row>
    <row r="5" spans="1:13" x14ac:dyDescent="0.25">
      <c r="A5">
        <v>4</v>
      </c>
      <c r="B5" s="1">
        <v>42371</v>
      </c>
      <c r="C5" s="1">
        <v>42487</v>
      </c>
      <c r="D5" t="s">
        <v>21</v>
      </c>
      <c r="E5" t="s">
        <v>29</v>
      </c>
      <c r="F5" s="2">
        <v>280</v>
      </c>
      <c r="G5" t="s">
        <v>12</v>
      </c>
      <c r="H5" s="3">
        <v>71530</v>
      </c>
      <c r="I5" s="3">
        <v>1851935</v>
      </c>
      <c r="J5" s="3">
        <v>1481548</v>
      </c>
      <c r="K5" s="3">
        <v>298857</v>
      </c>
      <c r="L5" t="s">
        <v>17</v>
      </c>
      <c r="M5">
        <v>4.7</v>
      </c>
    </row>
    <row r="6" spans="1:13" x14ac:dyDescent="0.25">
      <c r="A6">
        <v>5</v>
      </c>
      <c r="B6" s="1">
        <v>42371</v>
      </c>
      <c r="C6" s="1">
        <v>42561</v>
      </c>
      <c r="D6" t="s">
        <v>20</v>
      </c>
      <c r="E6" t="s">
        <v>27</v>
      </c>
      <c r="F6" s="2">
        <v>148</v>
      </c>
      <c r="G6" t="s">
        <v>12</v>
      </c>
      <c r="H6" s="3">
        <v>44516.959999999999</v>
      </c>
      <c r="I6" s="3">
        <v>1174509</v>
      </c>
      <c r="J6" s="3">
        <v>939607.2</v>
      </c>
      <c r="K6" s="3">
        <v>190384.84000000005</v>
      </c>
      <c r="L6" t="s">
        <v>18</v>
      </c>
      <c r="M6">
        <v>4.5</v>
      </c>
    </row>
    <row r="7" spans="1:13" x14ac:dyDescent="0.25">
      <c r="A7">
        <v>6</v>
      </c>
      <c r="B7" s="1">
        <v>42372</v>
      </c>
      <c r="C7" s="1">
        <v>42618</v>
      </c>
      <c r="D7" t="s">
        <v>22</v>
      </c>
      <c r="E7" t="s">
        <v>26</v>
      </c>
      <c r="F7" s="2">
        <v>124</v>
      </c>
      <c r="G7" t="s">
        <v>12</v>
      </c>
      <c r="H7" s="3">
        <v>37090.239999999998</v>
      </c>
      <c r="I7" s="3">
        <v>989641</v>
      </c>
      <c r="J7" s="3">
        <v>791712.8</v>
      </c>
      <c r="K7" s="3">
        <v>160837.95999999996</v>
      </c>
      <c r="L7" t="s">
        <v>15</v>
      </c>
      <c r="M7">
        <v>4.3</v>
      </c>
    </row>
    <row r="8" spans="1:13" x14ac:dyDescent="0.25">
      <c r="A8">
        <v>7</v>
      </c>
      <c r="B8" s="1">
        <v>42372</v>
      </c>
      <c r="C8" s="1">
        <v>42528</v>
      </c>
      <c r="D8" t="s">
        <v>23</v>
      </c>
      <c r="E8" t="s">
        <v>28</v>
      </c>
      <c r="F8" s="2">
        <v>64</v>
      </c>
      <c r="G8" t="s">
        <v>11</v>
      </c>
      <c r="H8" s="3">
        <v>15565.44</v>
      </c>
      <c r="I8" s="3">
        <v>443171</v>
      </c>
      <c r="J8" s="3">
        <v>354536.8</v>
      </c>
      <c r="K8" s="3">
        <v>73068.760000000009</v>
      </c>
      <c r="L8" t="s">
        <v>15</v>
      </c>
      <c r="M8">
        <v>3.6</v>
      </c>
    </row>
    <row r="9" spans="1:13" x14ac:dyDescent="0.25">
      <c r="A9">
        <v>8</v>
      </c>
      <c r="B9" s="1">
        <v>42372</v>
      </c>
      <c r="C9" s="1">
        <v>42674</v>
      </c>
      <c r="D9" t="s">
        <v>21</v>
      </c>
      <c r="E9" t="s">
        <v>27</v>
      </c>
      <c r="F9" s="2">
        <v>231</v>
      </c>
      <c r="G9" t="s">
        <v>12</v>
      </c>
      <c r="H9" s="3">
        <v>85596</v>
      </c>
      <c r="I9" s="3">
        <v>2194960</v>
      </c>
      <c r="J9" s="3">
        <v>1755968</v>
      </c>
      <c r="K9" s="3">
        <v>353396</v>
      </c>
      <c r="L9" t="s">
        <v>17</v>
      </c>
      <c r="M9">
        <v>4.9000000000000004</v>
      </c>
    </row>
    <row r="10" spans="1:13" x14ac:dyDescent="0.25">
      <c r="A10">
        <v>9</v>
      </c>
      <c r="B10" s="1">
        <v>42373</v>
      </c>
      <c r="C10" s="1">
        <v>42732</v>
      </c>
      <c r="D10" t="s">
        <v>20</v>
      </c>
      <c r="E10" t="s">
        <v>29</v>
      </c>
      <c r="F10" s="2">
        <v>102</v>
      </c>
      <c r="G10" t="s">
        <v>12</v>
      </c>
      <c r="H10" s="3">
        <v>40358.199999999997</v>
      </c>
      <c r="I10" s="3">
        <v>1060865</v>
      </c>
      <c r="J10" s="3">
        <v>848692</v>
      </c>
      <c r="K10" s="3">
        <v>171814.8</v>
      </c>
      <c r="L10" t="s">
        <v>17</v>
      </c>
      <c r="M10">
        <v>4.5</v>
      </c>
    </row>
    <row r="11" spans="1:13" x14ac:dyDescent="0.25">
      <c r="A11">
        <v>10</v>
      </c>
      <c r="B11" s="1">
        <v>42373</v>
      </c>
      <c r="C11" s="1">
        <v>42649</v>
      </c>
      <c r="D11" t="s">
        <v>22</v>
      </c>
      <c r="E11" t="s">
        <v>27</v>
      </c>
      <c r="F11" s="2">
        <v>293</v>
      </c>
      <c r="G11" t="s">
        <v>12</v>
      </c>
      <c r="H11" s="3">
        <v>80843.72</v>
      </c>
      <c r="I11" s="3">
        <v>2079253</v>
      </c>
      <c r="J11" s="3">
        <v>1663402.4</v>
      </c>
      <c r="K11" s="3">
        <v>335006.88000000012</v>
      </c>
      <c r="L11" t="s">
        <v>16</v>
      </c>
      <c r="M11">
        <v>4.5</v>
      </c>
    </row>
    <row r="12" spans="1:13" x14ac:dyDescent="0.25">
      <c r="A12">
        <v>11</v>
      </c>
      <c r="B12" s="1">
        <v>42373</v>
      </c>
      <c r="C12" s="1">
        <v>42671</v>
      </c>
      <c r="D12" t="s">
        <v>23</v>
      </c>
      <c r="E12" t="s">
        <v>29</v>
      </c>
      <c r="F12" s="2">
        <v>117</v>
      </c>
      <c r="G12" t="s">
        <v>11</v>
      </c>
      <c r="H12" s="3">
        <v>23982.720000000001</v>
      </c>
      <c r="I12" s="3">
        <v>663553</v>
      </c>
      <c r="J12" s="3">
        <v>530842.4</v>
      </c>
      <c r="K12" s="3">
        <v>108727.87999999998</v>
      </c>
      <c r="L12" t="s">
        <v>15</v>
      </c>
      <c r="M12">
        <v>5</v>
      </c>
    </row>
    <row r="13" spans="1:13" x14ac:dyDescent="0.25">
      <c r="A13">
        <v>12</v>
      </c>
      <c r="B13" s="1">
        <v>42373</v>
      </c>
      <c r="C13" s="1">
        <v>42465</v>
      </c>
      <c r="D13" t="s">
        <v>20</v>
      </c>
      <c r="E13" t="s">
        <v>26</v>
      </c>
      <c r="F13" s="2">
        <v>182</v>
      </c>
      <c r="G13" t="s">
        <v>12</v>
      </c>
      <c r="H13" s="3">
        <v>39357.120000000003</v>
      </c>
      <c r="I13" s="3">
        <v>1035813</v>
      </c>
      <c r="J13" s="3">
        <v>828650.4</v>
      </c>
      <c r="K13" s="3">
        <v>167805.47999999998</v>
      </c>
      <c r="L13" t="s">
        <v>14</v>
      </c>
      <c r="M13">
        <v>4.9000000000000004</v>
      </c>
    </row>
    <row r="14" spans="1:13" x14ac:dyDescent="0.25">
      <c r="A14">
        <v>13</v>
      </c>
      <c r="B14" s="1">
        <v>42373</v>
      </c>
      <c r="C14" s="1">
        <v>42678</v>
      </c>
      <c r="D14" t="s">
        <v>20</v>
      </c>
      <c r="E14" t="s">
        <v>27</v>
      </c>
      <c r="F14" s="2">
        <v>293</v>
      </c>
      <c r="G14" t="s">
        <v>12</v>
      </c>
      <c r="H14" s="3">
        <v>116495</v>
      </c>
      <c r="I14" s="3">
        <v>2973785</v>
      </c>
      <c r="J14" s="3">
        <v>2379028</v>
      </c>
      <c r="K14" s="3">
        <v>478262</v>
      </c>
      <c r="L14" t="s">
        <v>17</v>
      </c>
      <c r="M14">
        <v>4.0999999999999996</v>
      </c>
    </row>
    <row r="15" spans="1:13" x14ac:dyDescent="0.25">
      <c r="A15">
        <v>14</v>
      </c>
      <c r="B15" s="1">
        <v>42373</v>
      </c>
      <c r="C15" s="1">
        <v>42644</v>
      </c>
      <c r="D15" t="s">
        <v>22</v>
      </c>
      <c r="E15" t="s">
        <v>28</v>
      </c>
      <c r="F15" s="2">
        <v>61</v>
      </c>
      <c r="G15" t="s">
        <v>11</v>
      </c>
      <c r="H15" s="3">
        <v>25992</v>
      </c>
      <c r="I15" s="3">
        <v>701185</v>
      </c>
      <c r="J15" s="3">
        <v>560948</v>
      </c>
      <c r="K15" s="3">
        <v>114245</v>
      </c>
      <c r="L15" t="s">
        <v>14</v>
      </c>
      <c r="M15">
        <v>3.7</v>
      </c>
    </row>
    <row r="16" spans="1:13" x14ac:dyDescent="0.25">
      <c r="A16">
        <v>15</v>
      </c>
      <c r="B16" s="1">
        <v>42373</v>
      </c>
      <c r="C16" s="1">
        <v>42703</v>
      </c>
      <c r="D16" t="s">
        <v>20</v>
      </c>
      <c r="E16" t="s">
        <v>26</v>
      </c>
      <c r="F16" s="2">
        <v>172</v>
      </c>
      <c r="G16" t="s">
        <v>12</v>
      </c>
      <c r="H16" s="3">
        <v>31930.44</v>
      </c>
      <c r="I16" s="3">
        <v>856821</v>
      </c>
      <c r="J16" s="3">
        <v>685456.8</v>
      </c>
      <c r="K16" s="3">
        <v>139433.75999999995</v>
      </c>
      <c r="L16" t="s">
        <v>15</v>
      </c>
      <c r="M16">
        <v>4.0999999999999996</v>
      </c>
    </row>
    <row r="17" spans="1:13" x14ac:dyDescent="0.25">
      <c r="A17">
        <v>16</v>
      </c>
      <c r="B17" s="1">
        <v>42374</v>
      </c>
      <c r="C17" s="1">
        <v>42695</v>
      </c>
      <c r="D17" t="s">
        <v>23</v>
      </c>
      <c r="E17" t="s">
        <v>28</v>
      </c>
      <c r="F17" s="2">
        <v>172</v>
      </c>
      <c r="G17" t="s">
        <v>12</v>
      </c>
      <c r="H17" s="3">
        <v>36282.400000000001</v>
      </c>
      <c r="I17" s="3">
        <v>974445</v>
      </c>
      <c r="J17" s="3">
        <v>779556</v>
      </c>
      <c r="K17" s="3">
        <v>158606.6</v>
      </c>
      <c r="L17" t="s">
        <v>14</v>
      </c>
      <c r="M17">
        <v>3.7</v>
      </c>
    </row>
    <row r="18" spans="1:13" x14ac:dyDescent="0.25">
      <c r="A18">
        <v>17</v>
      </c>
      <c r="B18" s="1">
        <v>42374</v>
      </c>
      <c r="C18" s="1">
        <v>42651</v>
      </c>
      <c r="D18" t="s">
        <v>23</v>
      </c>
      <c r="E18" t="s">
        <v>26</v>
      </c>
      <c r="F18" s="2">
        <v>53</v>
      </c>
      <c r="G18" t="s">
        <v>11</v>
      </c>
      <c r="H18" s="3">
        <v>13357.84</v>
      </c>
      <c r="I18" s="3">
        <v>395331</v>
      </c>
      <c r="J18" s="3">
        <v>316264.8</v>
      </c>
      <c r="K18" s="3">
        <v>65708.360000000015</v>
      </c>
      <c r="L18" t="s">
        <v>19</v>
      </c>
      <c r="M18">
        <v>4</v>
      </c>
    </row>
    <row r="19" spans="1:13" x14ac:dyDescent="0.25">
      <c r="A19">
        <v>18</v>
      </c>
      <c r="B19" s="1">
        <v>42375</v>
      </c>
      <c r="C19" s="1">
        <v>42527</v>
      </c>
      <c r="D19" t="s">
        <v>22</v>
      </c>
      <c r="E19" t="s">
        <v>13</v>
      </c>
      <c r="F19" s="2">
        <v>279</v>
      </c>
      <c r="G19" t="s">
        <v>12</v>
      </c>
      <c r="H19" s="3">
        <v>66426.2</v>
      </c>
      <c r="I19" s="3">
        <v>1716090</v>
      </c>
      <c r="J19" s="3">
        <v>1372872</v>
      </c>
      <c r="K19" s="3">
        <v>276791.8</v>
      </c>
      <c r="L19" t="s">
        <v>14</v>
      </c>
      <c r="M19">
        <v>3.9</v>
      </c>
    </row>
    <row r="20" spans="1:13" x14ac:dyDescent="0.25">
      <c r="A20">
        <v>19</v>
      </c>
      <c r="B20" s="1">
        <v>42376</v>
      </c>
      <c r="C20" s="1">
        <v>42469</v>
      </c>
      <c r="D20" t="s">
        <v>23</v>
      </c>
      <c r="E20" t="s">
        <v>28</v>
      </c>
      <c r="F20" s="2">
        <v>52</v>
      </c>
      <c r="G20" t="s">
        <v>11</v>
      </c>
      <c r="H20" s="3">
        <v>17757.599999999999</v>
      </c>
      <c r="I20" s="3">
        <v>509100</v>
      </c>
      <c r="J20" s="3">
        <v>407280</v>
      </c>
      <c r="K20" s="3">
        <v>84062.399999999994</v>
      </c>
      <c r="L20" t="s">
        <v>19</v>
      </c>
      <c r="M20">
        <v>3.7</v>
      </c>
    </row>
    <row r="21" spans="1:13" x14ac:dyDescent="0.25">
      <c r="A21">
        <v>20</v>
      </c>
      <c r="B21" s="1">
        <v>42377</v>
      </c>
      <c r="C21" s="1">
        <v>42601</v>
      </c>
      <c r="D21" t="s">
        <v>20</v>
      </c>
      <c r="E21" t="s">
        <v>24</v>
      </c>
      <c r="F21" s="2">
        <v>145</v>
      </c>
      <c r="G21" t="s">
        <v>12</v>
      </c>
      <c r="H21" s="3">
        <v>45941.84</v>
      </c>
      <c r="I21" s="3">
        <v>1205981</v>
      </c>
      <c r="J21" s="3">
        <v>964784.8</v>
      </c>
      <c r="K21" s="3">
        <v>195254.35999999996</v>
      </c>
      <c r="L21" t="s">
        <v>18</v>
      </c>
      <c r="M21">
        <v>4</v>
      </c>
    </row>
    <row r="22" spans="1:13" x14ac:dyDescent="0.25">
      <c r="A22">
        <v>21</v>
      </c>
      <c r="B22" s="1">
        <v>42378</v>
      </c>
      <c r="C22" s="1">
        <v>42533</v>
      </c>
      <c r="D22" t="s">
        <v>22</v>
      </c>
      <c r="E22" t="s">
        <v>24</v>
      </c>
      <c r="F22" s="2">
        <v>221</v>
      </c>
      <c r="G22" t="s">
        <v>12</v>
      </c>
      <c r="H22" s="3">
        <v>80070.679999999993</v>
      </c>
      <c r="I22" s="3">
        <v>2057477</v>
      </c>
      <c r="J22" s="3">
        <v>1645981.6</v>
      </c>
      <c r="K22" s="3">
        <v>331424.71999999991</v>
      </c>
      <c r="L22" t="s">
        <v>14</v>
      </c>
      <c r="M22">
        <v>4.4000000000000004</v>
      </c>
    </row>
    <row r="23" spans="1:13" x14ac:dyDescent="0.25">
      <c r="A23">
        <v>22</v>
      </c>
      <c r="B23" s="1">
        <v>42378</v>
      </c>
      <c r="C23" s="1">
        <v>42474</v>
      </c>
      <c r="D23" t="s">
        <v>23</v>
      </c>
      <c r="E23" t="s">
        <v>25</v>
      </c>
      <c r="F23" s="2">
        <v>113</v>
      </c>
      <c r="G23" t="s">
        <v>11</v>
      </c>
      <c r="H23" s="3">
        <v>27877.08</v>
      </c>
      <c r="I23" s="3">
        <v>764037</v>
      </c>
      <c r="J23" s="3">
        <v>611229.6</v>
      </c>
      <c r="K23" s="3">
        <v>124930.32000000002</v>
      </c>
      <c r="L23" t="s">
        <v>15</v>
      </c>
      <c r="M23">
        <v>4.4000000000000004</v>
      </c>
    </row>
    <row r="24" spans="1:13" x14ac:dyDescent="0.25">
      <c r="A24">
        <v>23</v>
      </c>
      <c r="B24" s="1">
        <v>42379</v>
      </c>
      <c r="C24" s="1">
        <v>42481</v>
      </c>
      <c r="D24" t="s">
        <v>23</v>
      </c>
      <c r="E24" t="s">
        <v>26</v>
      </c>
      <c r="F24" s="2">
        <v>180</v>
      </c>
      <c r="G24" t="s">
        <v>12</v>
      </c>
      <c r="H24" s="3">
        <v>56584.160000000003</v>
      </c>
      <c r="I24" s="3">
        <v>1475414</v>
      </c>
      <c r="J24" s="3">
        <v>1180331.2</v>
      </c>
      <c r="K24" s="3">
        <v>238498.64000000004</v>
      </c>
      <c r="L24" t="s">
        <v>19</v>
      </c>
      <c r="M24">
        <v>4.7</v>
      </c>
    </row>
    <row r="25" spans="1:13" x14ac:dyDescent="0.25">
      <c r="A25">
        <v>24</v>
      </c>
      <c r="B25" s="1">
        <v>42379</v>
      </c>
      <c r="C25" s="1">
        <v>42705</v>
      </c>
      <c r="D25" t="s">
        <v>20</v>
      </c>
      <c r="E25" t="s">
        <v>27</v>
      </c>
      <c r="F25" s="2">
        <v>73</v>
      </c>
      <c r="G25" t="s">
        <v>11</v>
      </c>
      <c r="H25" s="3">
        <v>16283.6</v>
      </c>
      <c r="I25" s="3">
        <v>463875</v>
      </c>
      <c r="J25" s="3">
        <v>371100</v>
      </c>
      <c r="K25" s="3">
        <v>76491.399999999994</v>
      </c>
      <c r="L25" t="s">
        <v>16</v>
      </c>
      <c r="M25">
        <v>4</v>
      </c>
    </row>
    <row r="26" spans="1:13" x14ac:dyDescent="0.25">
      <c r="A26">
        <v>25</v>
      </c>
      <c r="B26" s="1">
        <v>42379</v>
      </c>
      <c r="C26" s="1">
        <v>42513</v>
      </c>
      <c r="D26" t="s">
        <v>23</v>
      </c>
      <c r="E26" t="s">
        <v>24</v>
      </c>
      <c r="F26" s="2">
        <v>118</v>
      </c>
      <c r="G26" t="s">
        <v>12</v>
      </c>
      <c r="H26" s="3">
        <v>45976.36</v>
      </c>
      <c r="I26" s="3">
        <v>1207169</v>
      </c>
      <c r="J26" s="3">
        <v>965735.2</v>
      </c>
      <c r="K26" s="3">
        <v>195457.44000000006</v>
      </c>
      <c r="L26" t="s">
        <v>17</v>
      </c>
      <c r="M26">
        <v>4.7</v>
      </c>
    </row>
    <row r="27" spans="1:13" x14ac:dyDescent="0.25">
      <c r="A27">
        <v>26</v>
      </c>
      <c r="B27" s="1">
        <v>42379</v>
      </c>
      <c r="C27" s="1">
        <v>42543</v>
      </c>
      <c r="D27" t="s">
        <v>20</v>
      </c>
      <c r="E27" t="s">
        <v>29</v>
      </c>
      <c r="F27" s="2">
        <v>65</v>
      </c>
      <c r="G27" t="s">
        <v>11</v>
      </c>
      <c r="H27" s="3">
        <v>20899.2</v>
      </c>
      <c r="I27" s="3">
        <v>586265</v>
      </c>
      <c r="J27" s="3">
        <v>469012</v>
      </c>
      <c r="K27" s="3">
        <v>96353.8</v>
      </c>
      <c r="L27" t="s">
        <v>17</v>
      </c>
      <c r="M27">
        <v>4.9000000000000004</v>
      </c>
    </row>
    <row r="28" spans="1:13" x14ac:dyDescent="0.25">
      <c r="A28">
        <v>27</v>
      </c>
      <c r="B28" s="1">
        <v>42380</v>
      </c>
      <c r="C28" s="1">
        <v>42727</v>
      </c>
      <c r="D28" t="s">
        <v>20</v>
      </c>
      <c r="E28" t="s">
        <v>24</v>
      </c>
      <c r="F28" s="2">
        <v>65</v>
      </c>
      <c r="G28" t="s">
        <v>11</v>
      </c>
      <c r="H28" s="3">
        <v>25465.200000000001</v>
      </c>
      <c r="I28" s="3">
        <v>695815</v>
      </c>
      <c r="J28" s="3">
        <v>556652</v>
      </c>
      <c r="K28" s="3">
        <v>113697.8</v>
      </c>
      <c r="L28" t="s">
        <v>15</v>
      </c>
      <c r="M28">
        <v>4.3</v>
      </c>
    </row>
    <row r="29" spans="1:13" x14ac:dyDescent="0.25">
      <c r="A29">
        <v>28</v>
      </c>
      <c r="B29" s="1">
        <v>42381</v>
      </c>
      <c r="C29" s="1">
        <v>42537</v>
      </c>
      <c r="D29" t="s">
        <v>20</v>
      </c>
      <c r="E29" t="s">
        <v>29</v>
      </c>
      <c r="F29" s="2">
        <v>182</v>
      </c>
      <c r="G29" t="s">
        <v>12</v>
      </c>
      <c r="H29" s="3">
        <v>65473.4</v>
      </c>
      <c r="I29" s="3">
        <v>1697045</v>
      </c>
      <c r="J29" s="3">
        <v>1357636</v>
      </c>
      <c r="K29" s="3">
        <v>273935.59999999998</v>
      </c>
      <c r="L29" t="s">
        <v>16</v>
      </c>
      <c r="M29">
        <v>4.5</v>
      </c>
    </row>
    <row r="30" spans="1:13" x14ac:dyDescent="0.25">
      <c r="A30">
        <v>29</v>
      </c>
      <c r="B30" s="1">
        <v>42381</v>
      </c>
      <c r="C30" s="1">
        <v>42558</v>
      </c>
      <c r="D30" t="s">
        <v>21</v>
      </c>
      <c r="E30" t="s">
        <v>13</v>
      </c>
      <c r="F30" s="2">
        <v>86</v>
      </c>
      <c r="G30" t="s">
        <v>11</v>
      </c>
      <c r="H30" s="3">
        <v>29011.84</v>
      </c>
      <c r="I30" s="3">
        <v>790056</v>
      </c>
      <c r="J30" s="3">
        <v>632044.80000000005</v>
      </c>
      <c r="K30" s="3">
        <v>128999.35999999996</v>
      </c>
      <c r="L30" t="s">
        <v>19</v>
      </c>
      <c r="M30">
        <v>4.5999999999999996</v>
      </c>
    </row>
    <row r="31" spans="1:13" x14ac:dyDescent="0.25">
      <c r="A31">
        <v>30</v>
      </c>
      <c r="B31" s="1">
        <v>42381</v>
      </c>
      <c r="C31" s="1">
        <v>42586</v>
      </c>
      <c r="D31" t="s">
        <v>20</v>
      </c>
      <c r="E31" t="s">
        <v>25</v>
      </c>
      <c r="F31" s="2">
        <v>196</v>
      </c>
      <c r="G31" t="s">
        <v>12</v>
      </c>
      <c r="H31" s="3">
        <v>36883.879999999997</v>
      </c>
      <c r="I31" s="3">
        <v>975557</v>
      </c>
      <c r="J31" s="3">
        <v>780445.6</v>
      </c>
      <c r="K31" s="3">
        <v>158227.52000000002</v>
      </c>
      <c r="L31" t="s">
        <v>14</v>
      </c>
      <c r="M31">
        <v>4.9000000000000004</v>
      </c>
    </row>
    <row r="32" spans="1:13" x14ac:dyDescent="0.25">
      <c r="A32">
        <v>31</v>
      </c>
      <c r="B32" s="1">
        <v>42382</v>
      </c>
      <c r="C32" s="1">
        <v>42637</v>
      </c>
      <c r="D32" t="s">
        <v>20</v>
      </c>
      <c r="E32" t="s">
        <v>29</v>
      </c>
      <c r="F32" s="2">
        <v>138</v>
      </c>
      <c r="G32" t="s">
        <v>12</v>
      </c>
      <c r="H32" s="3">
        <v>55199.96</v>
      </c>
      <c r="I32" s="3">
        <v>1441859</v>
      </c>
      <c r="J32" s="3">
        <v>1153487.2</v>
      </c>
      <c r="K32" s="3">
        <v>233171.84000000005</v>
      </c>
      <c r="L32" t="s">
        <v>17</v>
      </c>
      <c r="M32">
        <v>4.5</v>
      </c>
    </row>
    <row r="33" spans="1:13" x14ac:dyDescent="0.25">
      <c r="A33">
        <v>32</v>
      </c>
      <c r="B33" s="1">
        <v>42382</v>
      </c>
      <c r="C33" s="1">
        <v>42472</v>
      </c>
      <c r="D33" t="s">
        <v>23</v>
      </c>
      <c r="E33" t="s">
        <v>27</v>
      </c>
      <c r="F33" s="2">
        <v>87</v>
      </c>
      <c r="G33" t="s">
        <v>11</v>
      </c>
      <c r="H33" s="3">
        <v>23922.92</v>
      </c>
      <c r="I33" s="3">
        <v>663833</v>
      </c>
      <c r="J33" s="3">
        <v>531066.4</v>
      </c>
      <c r="K33" s="3">
        <v>108843.67999999998</v>
      </c>
      <c r="L33" t="s">
        <v>18</v>
      </c>
      <c r="M33">
        <v>4.4000000000000004</v>
      </c>
    </row>
    <row r="34" spans="1:13" x14ac:dyDescent="0.25">
      <c r="A34">
        <v>33</v>
      </c>
      <c r="B34" s="1">
        <v>42384</v>
      </c>
      <c r="C34" s="1">
        <v>42554</v>
      </c>
      <c r="D34" t="s">
        <v>23</v>
      </c>
      <c r="E34" t="s">
        <v>27</v>
      </c>
      <c r="F34" s="2">
        <v>178</v>
      </c>
      <c r="G34" t="s">
        <v>12</v>
      </c>
      <c r="H34" s="3">
        <v>59444.4</v>
      </c>
      <c r="I34" s="3">
        <v>1540595</v>
      </c>
      <c r="J34" s="3">
        <v>1232476</v>
      </c>
      <c r="K34" s="3">
        <v>248674.6</v>
      </c>
      <c r="L34" t="s">
        <v>18</v>
      </c>
      <c r="M34">
        <v>3.7</v>
      </c>
    </row>
    <row r="35" spans="1:13" x14ac:dyDescent="0.25">
      <c r="A35">
        <v>34</v>
      </c>
      <c r="B35" s="1">
        <v>42384</v>
      </c>
      <c r="C35" s="1">
        <v>42675</v>
      </c>
      <c r="D35" t="s">
        <v>22</v>
      </c>
      <c r="E35" t="s">
        <v>27</v>
      </c>
      <c r="F35" s="2">
        <v>276</v>
      </c>
      <c r="G35" t="s">
        <v>12</v>
      </c>
      <c r="H35" s="3">
        <v>98320.88</v>
      </c>
      <c r="I35" s="3">
        <v>2519682</v>
      </c>
      <c r="J35" s="3">
        <v>2015745.6</v>
      </c>
      <c r="K35" s="3">
        <v>405615.5199999999</v>
      </c>
      <c r="L35" t="s">
        <v>18</v>
      </c>
      <c r="M35">
        <v>4.8</v>
      </c>
    </row>
    <row r="36" spans="1:13" x14ac:dyDescent="0.25">
      <c r="A36">
        <v>35</v>
      </c>
      <c r="B36" s="1">
        <v>42384</v>
      </c>
      <c r="C36" s="1">
        <v>42735</v>
      </c>
      <c r="D36" t="s">
        <v>22</v>
      </c>
      <c r="E36" t="s">
        <v>29</v>
      </c>
      <c r="F36" s="2">
        <v>254</v>
      </c>
      <c r="G36" t="s">
        <v>12</v>
      </c>
      <c r="H36" s="3">
        <v>71120.84</v>
      </c>
      <c r="I36" s="3">
        <v>1836256</v>
      </c>
      <c r="J36" s="3">
        <v>1469004.8</v>
      </c>
      <c r="K36" s="3">
        <v>296130.36</v>
      </c>
      <c r="L36" t="s">
        <v>19</v>
      </c>
      <c r="M36">
        <v>4.3</v>
      </c>
    </row>
    <row r="37" spans="1:13" x14ac:dyDescent="0.25">
      <c r="A37">
        <v>36</v>
      </c>
      <c r="B37" s="1">
        <v>42385</v>
      </c>
      <c r="C37" s="1">
        <v>42706</v>
      </c>
      <c r="D37" t="s">
        <v>20</v>
      </c>
      <c r="E37" t="s">
        <v>26</v>
      </c>
      <c r="F37" s="2">
        <v>134</v>
      </c>
      <c r="G37" t="s">
        <v>12</v>
      </c>
      <c r="H37" s="3">
        <v>41183.599999999999</v>
      </c>
      <c r="I37" s="3">
        <v>1090825</v>
      </c>
      <c r="J37" s="3">
        <v>872660</v>
      </c>
      <c r="K37" s="3">
        <v>176981.4</v>
      </c>
      <c r="L37" t="s">
        <v>19</v>
      </c>
      <c r="M37">
        <v>4</v>
      </c>
    </row>
    <row r="38" spans="1:13" x14ac:dyDescent="0.25">
      <c r="A38">
        <v>37</v>
      </c>
      <c r="B38" s="1">
        <v>42385</v>
      </c>
      <c r="C38" s="1">
        <v>42560</v>
      </c>
      <c r="D38" t="s">
        <v>22</v>
      </c>
      <c r="E38" t="s">
        <v>24</v>
      </c>
      <c r="F38" s="2">
        <v>222</v>
      </c>
      <c r="G38" t="s">
        <v>12</v>
      </c>
      <c r="H38" s="3">
        <v>45395.88</v>
      </c>
      <c r="I38" s="3">
        <v>1197057</v>
      </c>
      <c r="J38" s="3">
        <v>957645.6</v>
      </c>
      <c r="K38" s="3">
        <v>194015.52000000002</v>
      </c>
      <c r="L38" t="s">
        <v>15</v>
      </c>
      <c r="M38">
        <v>4.7</v>
      </c>
    </row>
    <row r="39" spans="1:13" x14ac:dyDescent="0.25">
      <c r="A39">
        <v>38</v>
      </c>
      <c r="B39" s="1">
        <v>42386</v>
      </c>
      <c r="C39" s="1">
        <v>42712</v>
      </c>
      <c r="D39" t="s">
        <v>20</v>
      </c>
      <c r="E39" t="s">
        <v>28</v>
      </c>
      <c r="F39" s="2">
        <v>293</v>
      </c>
      <c r="G39" t="s">
        <v>12</v>
      </c>
      <c r="H39" s="3">
        <v>58986</v>
      </c>
      <c r="I39" s="3">
        <v>1529285</v>
      </c>
      <c r="J39" s="3">
        <v>1223428</v>
      </c>
      <c r="K39" s="3">
        <v>246871</v>
      </c>
      <c r="L39" t="s">
        <v>16</v>
      </c>
      <c r="M39">
        <v>4.8</v>
      </c>
    </row>
    <row r="40" spans="1:13" x14ac:dyDescent="0.25">
      <c r="A40">
        <v>39</v>
      </c>
      <c r="B40" s="1">
        <v>42387</v>
      </c>
      <c r="C40" s="1">
        <v>42749</v>
      </c>
      <c r="D40" t="s">
        <v>20</v>
      </c>
      <c r="E40" t="s">
        <v>29</v>
      </c>
      <c r="F40" s="2">
        <v>211</v>
      </c>
      <c r="G40" t="s">
        <v>12</v>
      </c>
      <c r="H40" s="3">
        <v>45281.2</v>
      </c>
      <c r="I40" s="3">
        <v>1191465</v>
      </c>
      <c r="J40" s="3">
        <v>953172</v>
      </c>
      <c r="K40" s="3">
        <v>193011.8</v>
      </c>
      <c r="L40" t="s">
        <v>16</v>
      </c>
      <c r="M40">
        <v>4.2</v>
      </c>
    </row>
    <row r="41" spans="1:13" x14ac:dyDescent="0.25">
      <c r="A41">
        <v>40</v>
      </c>
      <c r="B41" s="1">
        <v>42387</v>
      </c>
      <c r="C41" s="1">
        <v>42573</v>
      </c>
      <c r="D41" t="s">
        <v>21</v>
      </c>
      <c r="E41" t="s">
        <v>29</v>
      </c>
      <c r="F41" s="2">
        <v>176</v>
      </c>
      <c r="G41" t="s">
        <v>12</v>
      </c>
      <c r="H41" s="3">
        <v>41447.360000000001</v>
      </c>
      <c r="I41" s="3">
        <v>1094269</v>
      </c>
      <c r="J41" s="3">
        <v>875415.2</v>
      </c>
      <c r="K41" s="3">
        <v>177406.44000000006</v>
      </c>
      <c r="L41" t="s">
        <v>17</v>
      </c>
      <c r="M41">
        <v>4.8</v>
      </c>
    </row>
    <row r="42" spans="1:13" x14ac:dyDescent="0.25">
      <c r="A42">
        <v>41</v>
      </c>
      <c r="B42" s="1">
        <v>42387</v>
      </c>
      <c r="C42" s="1">
        <v>42636</v>
      </c>
      <c r="D42" t="s">
        <v>23</v>
      </c>
      <c r="E42" t="s">
        <v>24</v>
      </c>
      <c r="F42" s="2">
        <v>224</v>
      </c>
      <c r="G42" t="s">
        <v>12</v>
      </c>
      <c r="H42" s="3">
        <v>55647.4</v>
      </c>
      <c r="I42" s="3">
        <v>1458345</v>
      </c>
      <c r="J42" s="3">
        <v>1166676</v>
      </c>
      <c r="K42" s="3">
        <v>236021.6</v>
      </c>
      <c r="L42" t="s">
        <v>17</v>
      </c>
      <c r="M42">
        <v>3.6</v>
      </c>
    </row>
    <row r="43" spans="1:13" x14ac:dyDescent="0.25">
      <c r="A43">
        <v>42</v>
      </c>
      <c r="B43" s="1">
        <v>42388</v>
      </c>
      <c r="C43" s="1">
        <v>42694</v>
      </c>
      <c r="D43" t="s">
        <v>22</v>
      </c>
      <c r="E43" t="s">
        <v>27</v>
      </c>
      <c r="F43" s="2">
        <v>162</v>
      </c>
      <c r="G43" t="s">
        <v>12</v>
      </c>
      <c r="H43" s="3">
        <v>56193.68</v>
      </c>
      <c r="I43" s="3">
        <v>1463477</v>
      </c>
      <c r="J43" s="3">
        <v>1170781.6000000001</v>
      </c>
      <c r="K43" s="3">
        <v>236501.71999999991</v>
      </c>
      <c r="L43" t="s">
        <v>17</v>
      </c>
      <c r="M43">
        <v>2.4</v>
      </c>
    </row>
    <row r="44" spans="1:13" x14ac:dyDescent="0.25">
      <c r="A44">
        <v>43</v>
      </c>
      <c r="B44" s="1">
        <v>42388</v>
      </c>
      <c r="C44" s="1">
        <v>42635</v>
      </c>
      <c r="D44" t="s">
        <v>20</v>
      </c>
      <c r="E44" t="s">
        <v>24</v>
      </c>
      <c r="F44" s="2">
        <v>69</v>
      </c>
      <c r="G44" t="s">
        <v>11</v>
      </c>
      <c r="H44" s="3">
        <v>22336.639999999999</v>
      </c>
      <c r="I44" s="3">
        <v>616201</v>
      </c>
      <c r="J44" s="3">
        <v>492960.8</v>
      </c>
      <c r="K44" s="3">
        <v>100903.56000000001</v>
      </c>
      <c r="L44" t="s">
        <v>18</v>
      </c>
      <c r="M44">
        <v>3.9</v>
      </c>
    </row>
    <row r="45" spans="1:13" x14ac:dyDescent="0.25">
      <c r="A45">
        <v>44</v>
      </c>
      <c r="B45" s="1">
        <v>42388</v>
      </c>
      <c r="C45" s="1">
        <v>42720</v>
      </c>
      <c r="D45" t="s">
        <v>20</v>
      </c>
      <c r="E45" t="s">
        <v>28</v>
      </c>
      <c r="F45" s="2">
        <v>274</v>
      </c>
      <c r="G45" t="s">
        <v>12</v>
      </c>
      <c r="H45" s="3">
        <v>60862.48</v>
      </c>
      <c r="I45" s="3">
        <v>1573547</v>
      </c>
      <c r="J45" s="3">
        <v>1258837.6000000001</v>
      </c>
      <c r="K45" s="3">
        <v>253846.9199999999</v>
      </c>
      <c r="L45" t="s">
        <v>18</v>
      </c>
      <c r="M45">
        <v>3.9</v>
      </c>
    </row>
    <row r="46" spans="1:13" x14ac:dyDescent="0.25">
      <c r="A46">
        <v>45</v>
      </c>
      <c r="B46" s="1">
        <v>42389</v>
      </c>
      <c r="C46" s="1">
        <v>42737</v>
      </c>
      <c r="D46" t="s">
        <v>23</v>
      </c>
      <c r="E46" t="s">
        <v>26</v>
      </c>
      <c r="F46" s="2">
        <v>284</v>
      </c>
      <c r="G46" t="s">
        <v>12</v>
      </c>
      <c r="H46" s="3">
        <v>113132.32</v>
      </c>
      <c r="I46" s="3">
        <v>2887543</v>
      </c>
      <c r="J46" s="3">
        <v>2310034.4</v>
      </c>
      <c r="K46" s="3">
        <v>464376.28000000009</v>
      </c>
      <c r="L46" t="s">
        <v>16</v>
      </c>
      <c r="M46">
        <v>3.9</v>
      </c>
    </row>
    <row r="47" spans="1:13" x14ac:dyDescent="0.25">
      <c r="A47">
        <v>46</v>
      </c>
      <c r="B47" s="1">
        <v>42389</v>
      </c>
      <c r="C47" s="1">
        <v>42672</v>
      </c>
      <c r="D47" t="s">
        <v>20</v>
      </c>
      <c r="E47" t="s">
        <v>27</v>
      </c>
      <c r="F47" s="2">
        <v>219</v>
      </c>
      <c r="G47" t="s">
        <v>12</v>
      </c>
      <c r="H47" s="3">
        <v>50869.919999999998</v>
      </c>
      <c r="I47" s="3">
        <v>1330533</v>
      </c>
      <c r="J47" s="3">
        <v>1064426.3999999999</v>
      </c>
      <c r="K47" s="3">
        <v>215236.68000000011</v>
      </c>
      <c r="L47" t="s">
        <v>14</v>
      </c>
      <c r="M47">
        <v>4.2</v>
      </c>
    </row>
    <row r="48" spans="1:13" x14ac:dyDescent="0.25">
      <c r="A48">
        <v>47</v>
      </c>
      <c r="B48" s="1">
        <v>42389</v>
      </c>
      <c r="C48" s="1">
        <v>42593</v>
      </c>
      <c r="D48" t="s">
        <v>21</v>
      </c>
      <c r="E48" t="s">
        <v>29</v>
      </c>
      <c r="F48" s="2">
        <v>47</v>
      </c>
      <c r="G48" t="s">
        <v>11</v>
      </c>
      <c r="H48" s="3">
        <v>8993.7199999999993</v>
      </c>
      <c r="I48" s="3">
        <v>285903</v>
      </c>
      <c r="J48" s="3">
        <v>228722.4</v>
      </c>
      <c r="K48" s="3">
        <v>48186.880000000005</v>
      </c>
      <c r="L48" t="s">
        <v>19</v>
      </c>
      <c r="M48">
        <v>4.5999999999999996</v>
      </c>
    </row>
    <row r="49" spans="1:13" x14ac:dyDescent="0.25">
      <c r="A49">
        <v>48</v>
      </c>
      <c r="B49" s="1">
        <v>42389</v>
      </c>
      <c r="C49" s="1">
        <v>42557</v>
      </c>
      <c r="D49" t="s">
        <v>20</v>
      </c>
      <c r="E49" t="s">
        <v>27</v>
      </c>
      <c r="F49" s="2">
        <v>279</v>
      </c>
      <c r="G49" t="s">
        <v>12</v>
      </c>
      <c r="H49" s="3">
        <v>57506.52</v>
      </c>
      <c r="I49" s="3">
        <v>1493973</v>
      </c>
      <c r="J49" s="3">
        <v>1195178.3999999999</v>
      </c>
      <c r="K49" s="3">
        <v>241288.0800000001</v>
      </c>
      <c r="L49" t="s">
        <v>17</v>
      </c>
      <c r="M49">
        <v>4.5999999999999996</v>
      </c>
    </row>
    <row r="50" spans="1:13" x14ac:dyDescent="0.25">
      <c r="A50">
        <v>49</v>
      </c>
      <c r="B50" s="1">
        <v>42389</v>
      </c>
      <c r="C50" s="1">
        <v>42746</v>
      </c>
      <c r="D50" t="s">
        <v>23</v>
      </c>
      <c r="E50" t="s">
        <v>29</v>
      </c>
      <c r="F50" s="2">
        <v>36</v>
      </c>
      <c r="G50" t="s">
        <v>11</v>
      </c>
      <c r="H50" s="3">
        <v>11870.2</v>
      </c>
      <c r="I50" s="3">
        <v>358165</v>
      </c>
      <c r="J50" s="3">
        <v>286532</v>
      </c>
      <c r="K50" s="3">
        <v>59762.8</v>
      </c>
      <c r="L50" t="s">
        <v>17</v>
      </c>
      <c r="M50">
        <v>4.5999999999999996</v>
      </c>
    </row>
    <row r="51" spans="1:13" x14ac:dyDescent="0.25">
      <c r="A51">
        <v>50</v>
      </c>
      <c r="B51" s="1">
        <v>42389</v>
      </c>
      <c r="C51" s="1">
        <v>42687</v>
      </c>
      <c r="D51" t="s">
        <v>21</v>
      </c>
      <c r="E51" t="s">
        <v>29</v>
      </c>
      <c r="F51" s="2">
        <v>228</v>
      </c>
      <c r="G51" t="s">
        <v>12</v>
      </c>
      <c r="H51" s="3">
        <v>37468</v>
      </c>
      <c r="I51" s="3">
        <v>994110</v>
      </c>
      <c r="J51" s="3">
        <v>795288</v>
      </c>
      <c r="K51" s="3">
        <v>161354</v>
      </c>
      <c r="L51" t="s">
        <v>14</v>
      </c>
      <c r="M51">
        <v>5</v>
      </c>
    </row>
    <row r="52" spans="1:13" x14ac:dyDescent="0.25">
      <c r="A52">
        <v>51</v>
      </c>
      <c r="B52" s="1">
        <v>42389</v>
      </c>
      <c r="C52" s="1">
        <v>42718</v>
      </c>
      <c r="D52" t="s">
        <v>21</v>
      </c>
      <c r="E52" t="s">
        <v>25</v>
      </c>
      <c r="F52" s="2">
        <v>84</v>
      </c>
      <c r="G52" t="s">
        <v>11</v>
      </c>
      <c r="H52" s="3">
        <v>21612.799999999999</v>
      </c>
      <c r="I52" s="3">
        <v>605105</v>
      </c>
      <c r="J52" s="3">
        <v>484084</v>
      </c>
      <c r="K52" s="3">
        <v>99408.2</v>
      </c>
      <c r="L52" t="s">
        <v>16</v>
      </c>
      <c r="M52">
        <v>4.4000000000000004</v>
      </c>
    </row>
    <row r="53" spans="1:13" x14ac:dyDescent="0.25">
      <c r="A53">
        <v>52</v>
      </c>
      <c r="B53" s="1">
        <v>42391</v>
      </c>
      <c r="C53" s="1">
        <v>42639</v>
      </c>
      <c r="D53" t="s">
        <v>22</v>
      </c>
      <c r="E53" t="s">
        <v>28</v>
      </c>
      <c r="F53" s="2">
        <v>200</v>
      </c>
      <c r="G53" t="s">
        <v>12</v>
      </c>
      <c r="H53" s="3">
        <v>63061.56</v>
      </c>
      <c r="I53" s="3">
        <v>1642049</v>
      </c>
      <c r="J53" s="3">
        <v>1313639.2</v>
      </c>
      <c r="K53" s="3">
        <v>265348.24000000005</v>
      </c>
      <c r="L53" t="s">
        <v>18</v>
      </c>
      <c r="M53">
        <v>4.7</v>
      </c>
    </row>
    <row r="54" spans="1:13" x14ac:dyDescent="0.25">
      <c r="A54">
        <v>53</v>
      </c>
      <c r="B54" s="1">
        <v>42391</v>
      </c>
      <c r="C54" s="1">
        <v>42660</v>
      </c>
      <c r="D54" t="s">
        <v>21</v>
      </c>
      <c r="E54" t="s">
        <v>27</v>
      </c>
      <c r="F54" s="2">
        <v>153</v>
      </c>
      <c r="G54" t="s">
        <v>12</v>
      </c>
      <c r="H54" s="3">
        <v>56501.919999999998</v>
      </c>
      <c r="I54" s="3">
        <v>1475233</v>
      </c>
      <c r="J54" s="3">
        <v>1180186.3999999999</v>
      </c>
      <c r="K54" s="3">
        <v>238544.68000000011</v>
      </c>
      <c r="L54" t="s">
        <v>14</v>
      </c>
      <c r="M54">
        <v>4.3</v>
      </c>
    </row>
    <row r="55" spans="1:13" x14ac:dyDescent="0.25">
      <c r="A55">
        <v>54</v>
      </c>
      <c r="B55" s="1">
        <v>42391</v>
      </c>
      <c r="C55" s="1">
        <v>42520</v>
      </c>
      <c r="D55" t="s">
        <v>22</v>
      </c>
      <c r="E55" t="s">
        <v>28</v>
      </c>
      <c r="F55" s="2">
        <v>64</v>
      </c>
      <c r="G55" t="s">
        <v>11</v>
      </c>
      <c r="H55" s="3">
        <v>26463.84</v>
      </c>
      <c r="I55" s="3">
        <v>723481</v>
      </c>
      <c r="J55" s="3">
        <v>578784.80000000005</v>
      </c>
      <c r="K55" s="3">
        <v>118232.35999999996</v>
      </c>
      <c r="L55" t="s">
        <v>19</v>
      </c>
      <c r="M55">
        <v>4</v>
      </c>
    </row>
    <row r="56" spans="1:13" x14ac:dyDescent="0.25">
      <c r="A56">
        <v>55</v>
      </c>
      <c r="B56" s="1">
        <v>42391</v>
      </c>
      <c r="C56" s="1">
        <v>42560</v>
      </c>
      <c r="D56" t="s">
        <v>23</v>
      </c>
      <c r="E56" t="s">
        <v>25</v>
      </c>
      <c r="F56" s="2">
        <v>120</v>
      </c>
      <c r="G56" t="s">
        <v>12</v>
      </c>
      <c r="H56" s="3">
        <v>38497.360000000001</v>
      </c>
      <c r="I56" s="3">
        <v>1019719</v>
      </c>
      <c r="J56" s="3">
        <v>815775.2</v>
      </c>
      <c r="K56" s="3">
        <v>165446.44000000006</v>
      </c>
      <c r="L56" t="s">
        <v>14</v>
      </c>
      <c r="M56">
        <v>3.8</v>
      </c>
    </row>
    <row r="57" spans="1:13" x14ac:dyDescent="0.25">
      <c r="A57">
        <v>56</v>
      </c>
      <c r="B57" s="1">
        <v>42392</v>
      </c>
      <c r="C57" s="1">
        <v>42491</v>
      </c>
      <c r="D57" t="s">
        <v>22</v>
      </c>
      <c r="E57" t="s">
        <v>26</v>
      </c>
      <c r="F57" s="2">
        <v>47</v>
      </c>
      <c r="G57" t="s">
        <v>11</v>
      </c>
      <c r="H57" s="3">
        <v>8607.7999999999993</v>
      </c>
      <c r="I57" s="3">
        <v>275705</v>
      </c>
      <c r="J57" s="3">
        <v>220564</v>
      </c>
      <c r="K57" s="3">
        <v>46533.2</v>
      </c>
      <c r="L57" t="s">
        <v>18</v>
      </c>
      <c r="M57">
        <v>3.8</v>
      </c>
    </row>
    <row r="58" spans="1:13" x14ac:dyDescent="0.25">
      <c r="A58">
        <v>57</v>
      </c>
      <c r="B58" s="1">
        <v>42392</v>
      </c>
      <c r="C58" s="1">
        <v>42555</v>
      </c>
      <c r="D58" t="s">
        <v>21</v>
      </c>
      <c r="E58" t="s">
        <v>29</v>
      </c>
      <c r="F58" s="2">
        <v>50</v>
      </c>
      <c r="G58" t="s">
        <v>11</v>
      </c>
      <c r="H58" s="3">
        <v>19847.2</v>
      </c>
      <c r="I58" s="3">
        <v>549215</v>
      </c>
      <c r="J58" s="3">
        <v>439372</v>
      </c>
      <c r="K58" s="3">
        <v>89995.8</v>
      </c>
      <c r="L58" t="s">
        <v>14</v>
      </c>
      <c r="M58">
        <v>3.9</v>
      </c>
    </row>
    <row r="59" spans="1:13" x14ac:dyDescent="0.25">
      <c r="A59">
        <v>58</v>
      </c>
      <c r="B59" s="1">
        <v>42393</v>
      </c>
      <c r="C59" s="1">
        <v>42725</v>
      </c>
      <c r="D59" t="s">
        <v>22</v>
      </c>
      <c r="E59" t="s">
        <v>28</v>
      </c>
      <c r="F59" s="2">
        <v>270</v>
      </c>
      <c r="G59" t="s">
        <v>12</v>
      </c>
      <c r="H59" s="3">
        <v>90790.04</v>
      </c>
      <c r="I59" s="3">
        <v>2324111</v>
      </c>
      <c r="J59" s="3">
        <v>1859288.8</v>
      </c>
      <c r="K59" s="3">
        <v>374032.16</v>
      </c>
      <c r="L59" t="s">
        <v>18</v>
      </c>
      <c r="M59">
        <v>4.4000000000000004</v>
      </c>
    </row>
    <row r="60" spans="1:13" x14ac:dyDescent="0.25">
      <c r="A60">
        <v>59</v>
      </c>
      <c r="B60" s="1">
        <v>42393</v>
      </c>
      <c r="C60" s="1">
        <v>42693</v>
      </c>
      <c r="D60" t="s">
        <v>21</v>
      </c>
      <c r="E60" t="s">
        <v>13</v>
      </c>
      <c r="F60" s="2">
        <v>159</v>
      </c>
      <c r="G60" t="s">
        <v>12</v>
      </c>
      <c r="H60" s="3">
        <v>53992.639999999999</v>
      </c>
      <c r="I60" s="3">
        <v>1410301</v>
      </c>
      <c r="J60" s="3">
        <v>1128240.8</v>
      </c>
      <c r="K60" s="3">
        <v>228067.55999999994</v>
      </c>
      <c r="L60" t="s">
        <v>16</v>
      </c>
      <c r="M60">
        <v>4.3</v>
      </c>
    </row>
    <row r="61" spans="1:13" x14ac:dyDescent="0.25">
      <c r="A61">
        <v>60</v>
      </c>
      <c r="B61" s="1">
        <v>42393</v>
      </c>
      <c r="C61" s="1">
        <v>42549</v>
      </c>
      <c r="D61" t="s">
        <v>22</v>
      </c>
      <c r="E61" t="s">
        <v>28</v>
      </c>
      <c r="F61" s="2">
        <v>263</v>
      </c>
      <c r="G61" t="s">
        <v>12</v>
      </c>
      <c r="H61" s="3">
        <v>75571.600000000006</v>
      </c>
      <c r="I61" s="3">
        <v>1956725</v>
      </c>
      <c r="J61" s="3">
        <v>1565380</v>
      </c>
      <c r="K61" s="3">
        <v>315773.40000000002</v>
      </c>
      <c r="L61" t="s">
        <v>17</v>
      </c>
      <c r="M61">
        <v>4.0999999999999996</v>
      </c>
    </row>
    <row r="62" spans="1:13" x14ac:dyDescent="0.25">
      <c r="A62">
        <v>61</v>
      </c>
      <c r="B62" s="1">
        <v>42393</v>
      </c>
      <c r="C62" s="1">
        <v>42625</v>
      </c>
      <c r="D62" t="s">
        <v>20</v>
      </c>
      <c r="E62" t="s">
        <v>28</v>
      </c>
      <c r="F62" s="2">
        <v>115</v>
      </c>
      <c r="G62" t="s">
        <v>12</v>
      </c>
      <c r="H62" s="3">
        <v>44484.6</v>
      </c>
      <c r="I62" s="3">
        <v>1177325</v>
      </c>
      <c r="J62" s="3">
        <v>941860</v>
      </c>
      <c r="K62" s="3">
        <v>190980.4</v>
      </c>
      <c r="L62" t="s">
        <v>14</v>
      </c>
      <c r="M62">
        <v>4.2</v>
      </c>
    </row>
    <row r="63" spans="1:13" x14ac:dyDescent="0.25">
      <c r="A63">
        <v>62</v>
      </c>
      <c r="B63" s="1">
        <v>42393</v>
      </c>
      <c r="C63" s="1">
        <v>42758</v>
      </c>
      <c r="D63" t="s">
        <v>21</v>
      </c>
      <c r="E63" t="s">
        <v>24</v>
      </c>
      <c r="F63" s="2">
        <v>172</v>
      </c>
      <c r="G63" t="s">
        <v>12</v>
      </c>
      <c r="H63" s="3">
        <v>44562.52</v>
      </c>
      <c r="I63" s="3">
        <v>1179423</v>
      </c>
      <c r="J63" s="3">
        <v>943538.4</v>
      </c>
      <c r="K63" s="3">
        <v>191322.08</v>
      </c>
      <c r="L63" t="s">
        <v>16</v>
      </c>
      <c r="M63">
        <v>4.7</v>
      </c>
    </row>
    <row r="64" spans="1:13" x14ac:dyDescent="0.25">
      <c r="A64">
        <v>63</v>
      </c>
      <c r="B64" s="1">
        <v>42394</v>
      </c>
      <c r="C64" s="1">
        <v>42619</v>
      </c>
      <c r="D64" t="s">
        <v>22</v>
      </c>
      <c r="E64" t="s">
        <v>24</v>
      </c>
      <c r="F64" s="2">
        <v>141</v>
      </c>
      <c r="G64" t="s">
        <v>11</v>
      </c>
      <c r="H64" s="3">
        <v>28629.759999999998</v>
      </c>
      <c r="I64" s="3">
        <v>774629</v>
      </c>
      <c r="J64" s="3">
        <v>619703.19999999995</v>
      </c>
      <c r="K64" s="3">
        <v>126296.04000000005</v>
      </c>
      <c r="L64" t="s">
        <v>19</v>
      </c>
      <c r="M64">
        <v>3.7</v>
      </c>
    </row>
    <row r="65" spans="1:13" x14ac:dyDescent="0.25">
      <c r="A65">
        <v>64</v>
      </c>
      <c r="B65" s="1">
        <v>42395</v>
      </c>
      <c r="C65" s="1">
        <v>42656</v>
      </c>
      <c r="D65" t="s">
        <v>23</v>
      </c>
      <c r="E65" t="s">
        <v>27</v>
      </c>
      <c r="F65" s="2">
        <v>51</v>
      </c>
      <c r="G65" t="s">
        <v>11</v>
      </c>
      <c r="H65" s="3">
        <v>19242.400000000001</v>
      </c>
      <c r="I65" s="3">
        <v>545495</v>
      </c>
      <c r="J65" s="3">
        <v>436396</v>
      </c>
      <c r="K65" s="3">
        <v>89856.6</v>
      </c>
      <c r="L65" t="s">
        <v>18</v>
      </c>
      <c r="M65">
        <v>3.8</v>
      </c>
    </row>
    <row r="66" spans="1:13" x14ac:dyDescent="0.25">
      <c r="A66">
        <v>65</v>
      </c>
      <c r="B66" s="1">
        <v>42395</v>
      </c>
      <c r="C66" s="1">
        <v>42516</v>
      </c>
      <c r="D66" t="s">
        <v>21</v>
      </c>
      <c r="E66" t="s">
        <v>27</v>
      </c>
      <c r="F66" s="2">
        <v>141</v>
      </c>
      <c r="G66" t="s">
        <v>12</v>
      </c>
      <c r="H66" s="3">
        <v>56279.28</v>
      </c>
      <c r="I66" s="3">
        <v>1473317</v>
      </c>
      <c r="J66" s="3">
        <v>1178653.6000000001</v>
      </c>
      <c r="K66" s="3">
        <v>238384.11999999991</v>
      </c>
      <c r="L66" t="s">
        <v>19</v>
      </c>
      <c r="M66">
        <v>3.6</v>
      </c>
    </row>
    <row r="67" spans="1:13" x14ac:dyDescent="0.25">
      <c r="A67">
        <v>66</v>
      </c>
      <c r="B67" s="1">
        <v>42396</v>
      </c>
      <c r="C67" s="1">
        <v>42728</v>
      </c>
      <c r="D67" t="s">
        <v>22</v>
      </c>
      <c r="E67" t="s">
        <v>28</v>
      </c>
      <c r="F67" s="2">
        <v>269</v>
      </c>
      <c r="G67" t="s">
        <v>12</v>
      </c>
      <c r="H67" s="3">
        <v>83733.960000000006</v>
      </c>
      <c r="I67" s="3">
        <v>2155909</v>
      </c>
      <c r="J67" s="3">
        <v>1724727.2</v>
      </c>
      <c r="K67" s="3">
        <v>347447.84</v>
      </c>
      <c r="L67" t="s">
        <v>15</v>
      </c>
      <c r="M67">
        <v>3.9</v>
      </c>
    </row>
    <row r="68" spans="1:13" x14ac:dyDescent="0.25">
      <c r="A68">
        <v>67</v>
      </c>
      <c r="B68" s="1">
        <v>42396</v>
      </c>
      <c r="C68" s="1">
        <v>42658</v>
      </c>
      <c r="D68" t="s">
        <v>22</v>
      </c>
      <c r="E68" t="s">
        <v>28</v>
      </c>
      <c r="F68" s="2">
        <v>213</v>
      </c>
      <c r="G68" t="s">
        <v>12</v>
      </c>
      <c r="H68" s="3">
        <v>36981.08</v>
      </c>
      <c r="I68" s="3">
        <v>985412</v>
      </c>
      <c r="J68" s="3">
        <v>788329.6</v>
      </c>
      <c r="K68" s="3">
        <v>160101.32</v>
      </c>
      <c r="L68" t="s">
        <v>17</v>
      </c>
      <c r="M68">
        <v>4.4000000000000004</v>
      </c>
    </row>
    <row r="69" spans="1:13" x14ac:dyDescent="0.25">
      <c r="A69">
        <v>68</v>
      </c>
      <c r="B69" s="1">
        <v>42396</v>
      </c>
      <c r="C69" s="1">
        <v>42549</v>
      </c>
      <c r="D69" t="s">
        <v>23</v>
      </c>
      <c r="E69" t="s">
        <v>26</v>
      </c>
      <c r="F69" s="2">
        <v>63</v>
      </c>
      <c r="G69" t="s">
        <v>11</v>
      </c>
      <c r="H69" s="3">
        <v>14207.68</v>
      </c>
      <c r="I69" s="3">
        <v>413477</v>
      </c>
      <c r="J69" s="3">
        <v>330781.59999999998</v>
      </c>
      <c r="K69" s="3">
        <v>68487.72000000003</v>
      </c>
      <c r="L69" t="s">
        <v>19</v>
      </c>
      <c r="M69">
        <v>4.9000000000000004</v>
      </c>
    </row>
    <row r="70" spans="1:13" x14ac:dyDescent="0.25">
      <c r="A70">
        <v>69</v>
      </c>
      <c r="B70" s="1">
        <v>42396</v>
      </c>
      <c r="C70" s="1">
        <v>42652</v>
      </c>
      <c r="D70" t="s">
        <v>20</v>
      </c>
      <c r="E70" t="s">
        <v>29</v>
      </c>
      <c r="F70" s="2">
        <v>243</v>
      </c>
      <c r="G70" t="s">
        <v>12</v>
      </c>
      <c r="H70" s="3">
        <v>87263.32</v>
      </c>
      <c r="I70" s="3">
        <v>2248893</v>
      </c>
      <c r="J70" s="3">
        <v>1799114.4</v>
      </c>
      <c r="K70" s="3">
        <v>362515.28000000009</v>
      </c>
      <c r="L70" t="s">
        <v>18</v>
      </c>
      <c r="M70">
        <v>3.7</v>
      </c>
    </row>
    <row r="71" spans="1:13" x14ac:dyDescent="0.25">
      <c r="A71">
        <v>70</v>
      </c>
      <c r="B71" s="1">
        <v>42397</v>
      </c>
      <c r="C71" s="1">
        <v>42563</v>
      </c>
      <c r="D71" t="s">
        <v>22</v>
      </c>
      <c r="E71" t="s">
        <v>13</v>
      </c>
      <c r="F71" s="2">
        <v>174</v>
      </c>
      <c r="G71" t="s">
        <v>12</v>
      </c>
      <c r="H71" s="3">
        <v>65107.8</v>
      </c>
      <c r="I71" s="3">
        <v>1684180</v>
      </c>
      <c r="J71" s="3">
        <v>1347344</v>
      </c>
      <c r="K71" s="3">
        <v>271728.2</v>
      </c>
      <c r="L71" t="s">
        <v>18</v>
      </c>
      <c r="M71">
        <v>4.8</v>
      </c>
    </row>
    <row r="72" spans="1:13" x14ac:dyDescent="0.25">
      <c r="A72">
        <v>71</v>
      </c>
      <c r="B72" s="1">
        <v>42397</v>
      </c>
      <c r="C72" s="1">
        <v>42675</v>
      </c>
      <c r="D72" t="s">
        <v>21</v>
      </c>
      <c r="E72" t="s">
        <v>29</v>
      </c>
      <c r="F72" s="2">
        <v>228</v>
      </c>
      <c r="G72" t="s">
        <v>12</v>
      </c>
      <c r="H72" s="3">
        <v>76433</v>
      </c>
      <c r="I72" s="3">
        <v>1976410</v>
      </c>
      <c r="J72" s="3">
        <v>1581128</v>
      </c>
      <c r="K72" s="3">
        <v>318849</v>
      </c>
      <c r="L72" t="s">
        <v>14</v>
      </c>
      <c r="M72">
        <v>3.7</v>
      </c>
    </row>
    <row r="73" spans="1:13" x14ac:dyDescent="0.25">
      <c r="A73">
        <v>72</v>
      </c>
      <c r="B73" s="1">
        <v>42397</v>
      </c>
      <c r="C73" s="1">
        <v>42658</v>
      </c>
      <c r="D73" t="s">
        <v>20</v>
      </c>
      <c r="E73" t="s">
        <v>24</v>
      </c>
      <c r="F73" s="2">
        <v>212</v>
      </c>
      <c r="G73" t="s">
        <v>12</v>
      </c>
      <c r="H73" s="3">
        <v>58162.080000000002</v>
      </c>
      <c r="I73" s="3">
        <v>1515437</v>
      </c>
      <c r="J73" s="3">
        <v>1212349.6000000001</v>
      </c>
      <c r="K73" s="3">
        <v>244925.31999999989</v>
      </c>
      <c r="L73" t="s">
        <v>14</v>
      </c>
      <c r="M73">
        <v>4</v>
      </c>
    </row>
    <row r="74" spans="1:13" x14ac:dyDescent="0.25">
      <c r="A74">
        <v>73</v>
      </c>
      <c r="B74" s="1">
        <v>42397</v>
      </c>
      <c r="C74" s="1">
        <v>42617</v>
      </c>
      <c r="D74" t="s">
        <v>22</v>
      </c>
      <c r="E74" t="s">
        <v>25</v>
      </c>
      <c r="F74" s="2">
        <v>58</v>
      </c>
      <c r="G74" t="s">
        <v>11</v>
      </c>
      <c r="H74" s="3">
        <v>11813.76</v>
      </c>
      <c r="I74" s="3">
        <v>356529</v>
      </c>
      <c r="J74" s="3">
        <v>285223.2</v>
      </c>
      <c r="K74" s="3">
        <v>59492.039999999986</v>
      </c>
      <c r="L74" t="s">
        <v>16</v>
      </c>
      <c r="M74">
        <v>3.6</v>
      </c>
    </row>
    <row r="75" spans="1:13" x14ac:dyDescent="0.25">
      <c r="A75">
        <v>74</v>
      </c>
      <c r="B75" s="1">
        <v>42398</v>
      </c>
      <c r="C75" s="1">
        <v>42665</v>
      </c>
      <c r="D75" t="s">
        <v>22</v>
      </c>
      <c r="E75" t="s">
        <v>26</v>
      </c>
      <c r="F75" s="2">
        <v>226</v>
      </c>
      <c r="G75" t="s">
        <v>12</v>
      </c>
      <c r="H75" s="3">
        <v>43313.2</v>
      </c>
      <c r="I75" s="3">
        <v>1134540</v>
      </c>
      <c r="J75" s="3">
        <v>907632</v>
      </c>
      <c r="K75" s="3">
        <v>183594.8</v>
      </c>
      <c r="L75" t="s">
        <v>16</v>
      </c>
      <c r="M75">
        <v>3.9</v>
      </c>
    </row>
    <row r="76" spans="1:13" x14ac:dyDescent="0.25">
      <c r="A76">
        <v>75</v>
      </c>
      <c r="B76" s="1">
        <v>42398</v>
      </c>
      <c r="C76" s="1">
        <v>42596</v>
      </c>
      <c r="D76" t="s">
        <v>21</v>
      </c>
      <c r="E76" t="s">
        <v>27</v>
      </c>
      <c r="F76" s="2">
        <v>38</v>
      </c>
      <c r="G76" t="s">
        <v>11</v>
      </c>
      <c r="H76" s="3">
        <v>6345.48</v>
      </c>
      <c r="I76" s="3">
        <v>224347</v>
      </c>
      <c r="J76" s="3">
        <v>179477.6</v>
      </c>
      <c r="K76" s="3">
        <v>38523.919999999998</v>
      </c>
      <c r="L76" t="s">
        <v>17</v>
      </c>
      <c r="M76">
        <v>4.3</v>
      </c>
    </row>
    <row r="77" spans="1:13" x14ac:dyDescent="0.25">
      <c r="A77">
        <v>76</v>
      </c>
      <c r="B77" s="1">
        <v>42398</v>
      </c>
      <c r="C77" s="1">
        <v>42732</v>
      </c>
      <c r="D77" t="s">
        <v>21</v>
      </c>
      <c r="E77" t="s">
        <v>13</v>
      </c>
      <c r="F77" s="2">
        <v>231</v>
      </c>
      <c r="G77" t="s">
        <v>12</v>
      </c>
      <c r="H77" s="3">
        <v>69513.240000000005</v>
      </c>
      <c r="I77" s="3">
        <v>1793591</v>
      </c>
      <c r="J77" s="3">
        <v>1434872.8</v>
      </c>
      <c r="K77" s="3">
        <v>289204.95999999996</v>
      </c>
      <c r="L77" t="s">
        <v>15</v>
      </c>
      <c r="M77">
        <v>4.9000000000000004</v>
      </c>
    </row>
    <row r="78" spans="1:13" x14ac:dyDescent="0.25">
      <c r="A78">
        <v>77</v>
      </c>
      <c r="B78" s="1">
        <v>42399</v>
      </c>
      <c r="C78" s="1">
        <v>42546</v>
      </c>
      <c r="D78" t="s">
        <v>22</v>
      </c>
      <c r="E78" t="s">
        <v>29</v>
      </c>
      <c r="F78" s="2">
        <v>108</v>
      </c>
      <c r="G78" t="s">
        <v>12</v>
      </c>
      <c r="H78" s="3">
        <v>43324.68</v>
      </c>
      <c r="I78" s="3">
        <v>1141477</v>
      </c>
      <c r="J78" s="3">
        <v>913181.6</v>
      </c>
      <c r="K78" s="3">
        <v>184970.72000000003</v>
      </c>
      <c r="L78" t="s">
        <v>15</v>
      </c>
      <c r="M78">
        <v>4.5</v>
      </c>
    </row>
    <row r="79" spans="1:13" x14ac:dyDescent="0.25">
      <c r="A79">
        <v>78</v>
      </c>
      <c r="B79" s="1">
        <v>42400</v>
      </c>
      <c r="C79" s="1">
        <v>42647</v>
      </c>
      <c r="D79" t="s">
        <v>22</v>
      </c>
      <c r="E79" t="s">
        <v>28</v>
      </c>
      <c r="F79" s="2">
        <v>82</v>
      </c>
      <c r="G79" t="s">
        <v>11</v>
      </c>
      <c r="H79" s="3">
        <v>16901.400000000001</v>
      </c>
      <c r="I79" s="3">
        <v>484970</v>
      </c>
      <c r="J79" s="3">
        <v>387976</v>
      </c>
      <c r="K79" s="3">
        <v>80092.600000000006</v>
      </c>
      <c r="L79" t="s">
        <v>18</v>
      </c>
      <c r="M79">
        <v>4</v>
      </c>
    </row>
    <row r="80" spans="1:13" x14ac:dyDescent="0.25">
      <c r="A80">
        <v>79</v>
      </c>
      <c r="B80" s="1">
        <v>42400</v>
      </c>
      <c r="C80" s="1">
        <v>42701</v>
      </c>
      <c r="D80" t="s">
        <v>22</v>
      </c>
      <c r="E80" t="s">
        <v>25</v>
      </c>
      <c r="F80" s="2">
        <v>291</v>
      </c>
      <c r="G80" t="s">
        <v>12</v>
      </c>
      <c r="H80" s="3">
        <v>99806.36</v>
      </c>
      <c r="I80" s="3">
        <v>2556969</v>
      </c>
      <c r="J80" s="3">
        <v>2045575.2</v>
      </c>
      <c r="K80" s="3">
        <v>411587.44000000006</v>
      </c>
      <c r="L80" t="s">
        <v>14</v>
      </c>
      <c r="M80">
        <v>4.8</v>
      </c>
    </row>
    <row r="81" spans="1:13" x14ac:dyDescent="0.25">
      <c r="A81">
        <v>80</v>
      </c>
      <c r="B81" s="1">
        <v>42400</v>
      </c>
      <c r="C81" s="1">
        <v>42648</v>
      </c>
      <c r="D81" t="s">
        <v>22</v>
      </c>
      <c r="E81" t="s">
        <v>24</v>
      </c>
      <c r="F81" s="2">
        <v>212</v>
      </c>
      <c r="G81" t="s">
        <v>12</v>
      </c>
      <c r="H81" s="3">
        <v>52797.279999999999</v>
      </c>
      <c r="I81" s="3">
        <v>1375592</v>
      </c>
      <c r="J81" s="3">
        <v>1100473.6000000001</v>
      </c>
      <c r="K81" s="3">
        <v>222321.11999999991</v>
      </c>
      <c r="L81" t="s">
        <v>14</v>
      </c>
      <c r="M81">
        <v>4.9000000000000004</v>
      </c>
    </row>
    <row r="82" spans="1:13" x14ac:dyDescent="0.25">
      <c r="A82">
        <v>81</v>
      </c>
      <c r="B82" s="1">
        <v>42401</v>
      </c>
      <c r="C82" s="1">
        <v>42691</v>
      </c>
      <c r="D82" t="s">
        <v>20</v>
      </c>
      <c r="E82" t="s">
        <v>27</v>
      </c>
      <c r="F82" s="2">
        <v>231</v>
      </c>
      <c r="G82" t="s">
        <v>12</v>
      </c>
      <c r="H82" s="3">
        <v>71665.759999999995</v>
      </c>
      <c r="I82" s="3">
        <v>1848729</v>
      </c>
      <c r="J82" s="3">
        <v>1478983.2</v>
      </c>
      <c r="K82" s="3">
        <v>298080.04000000004</v>
      </c>
      <c r="L82" t="s">
        <v>15</v>
      </c>
      <c r="M82">
        <v>4.7</v>
      </c>
    </row>
    <row r="83" spans="1:13" x14ac:dyDescent="0.25">
      <c r="A83">
        <v>82</v>
      </c>
      <c r="B83" s="1">
        <v>42402</v>
      </c>
      <c r="C83" s="1">
        <v>42627</v>
      </c>
      <c r="D83" t="s">
        <v>23</v>
      </c>
      <c r="E83" t="s">
        <v>26</v>
      </c>
      <c r="F83" s="2">
        <v>111</v>
      </c>
      <c r="G83" t="s">
        <v>12</v>
      </c>
      <c r="H83" s="3">
        <v>41923.24</v>
      </c>
      <c r="I83" s="3">
        <v>1106216</v>
      </c>
      <c r="J83" s="3">
        <v>884972.8</v>
      </c>
      <c r="K83" s="3">
        <v>179319.95999999996</v>
      </c>
      <c r="L83" t="s">
        <v>15</v>
      </c>
      <c r="M83">
        <v>4.3</v>
      </c>
    </row>
    <row r="84" spans="1:13" x14ac:dyDescent="0.25">
      <c r="A84">
        <v>83</v>
      </c>
      <c r="B84" s="1">
        <v>42402</v>
      </c>
      <c r="C84" s="1">
        <v>42519</v>
      </c>
      <c r="D84" t="s">
        <v>22</v>
      </c>
      <c r="E84" t="s">
        <v>13</v>
      </c>
      <c r="F84" s="2">
        <v>53</v>
      </c>
      <c r="G84" t="s">
        <v>11</v>
      </c>
      <c r="H84" s="3">
        <v>17924.88</v>
      </c>
      <c r="I84" s="3">
        <v>507557</v>
      </c>
      <c r="J84" s="3">
        <v>406045.6</v>
      </c>
      <c r="K84" s="3">
        <v>83586.520000000019</v>
      </c>
      <c r="L84" t="s">
        <v>18</v>
      </c>
      <c r="M84">
        <v>3.8</v>
      </c>
    </row>
    <row r="85" spans="1:13" x14ac:dyDescent="0.25">
      <c r="A85">
        <v>84</v>
      </c>
      <c r="B85" s="1">
        <v>42402</v>
      </c>
      <c r="C85" s="1">
        <v>42579</v>
      </c>
      <c r="D85" t="s">
        <v>20</v>
      </c>
      <c r="E85" t="s">
        <v>13</v>
      </c>
      <c r="F85" s="2">
        <v>88</v>
      </c>
      <c r="G85" t="s">
        <v>11</v>
      </c>
      <c r="H85" s="3">
        <v>17618.599999999999</v>
      </c>
      <c r="I85" s="3">
        <v>507425</v>
      </c>
      <c r="J85" s="3">
        <v>405940</v>
      </c>
      <c r="K85" s="3">
        <v>83866.399999999994</v>
      </c>
      <c r="L85" t="s">
        <v>14</v>
      </c>
      <c r="M85">
        <v>4.5999999999999996</v>
      </c>
    </row>
    <row r="86" spans="1:13" x14ac:dyDescent="0.25">
      <c r="A86">
        <v>85</v>
      </c>
      <c r="B86" s="1">
        <v>42402</v>
      </c>
      <c r="C86" s="1">
        <v>42524</v>
      </c>
      <c r="D86" t="s">
        <v>23</v>
      </c>
      <c r="E86" t="s">
        <v>27</v>
      </c>
      <c r="F86" s="2">
        <v>123</v>
      </c>
      <c r="G86" t="s">
        <v>12</v>
      </c>
      <c r="H86" s="3">
        <v>36015.879999999997</v>
      </c>
      <c r="I86" s="3">
        <v>961807</v>
      </c>
      <c r="J86" s="3">
        <v>769445.6</v>
      </c>
      <c r="K86" s="3">
        <v>156345.52000000002</v>
      </c>
      <c r="L86" t="s">
        <v>16</v>
      </c>
      <c r="M86">
        <v>4.7</v>
      </c>
    </row>
    <row r="87" spans="1:13" x14ac:dyDescent="0.25">
      <c r="A87">
        <v>86</v>
      </c>
      <c r="B87" s="1">
        <v>42403</v>
      </c>
      <c r="C87" s="1">
        <v>42743</v>
      </c>
      <c r="D87" t="s">
        <v>21</v>
      </c>
      <c r="E87" t="s">
        <v>26</v>
      </c>
      <c r="F87" s="2">
        <v>271</v>
      </c>
      <c r="G87" t="s">
        <v>12</v>
      </c>
      <c r="H87" s="3">
        <v>84745</v>
      </c>
      <c r="I87" s="3">
        <v>2178185</v>
      </c>
      <c r="J87" s="3">
        <v>1742548</v>
      </c>
      <c r="K87" s="3">
        <v>350892</v>
      </c>
      <c r="L87" t="s">
        <v>17</v>
      </c>
      <c r="M87">
        <v>3.9</v>
      </c>
    </row>
    <row r="88" spans="1:13" x14ac:dyDescent="0.25">
      <c r="A88">
        <v>87</v>
      </c>
      <c r="B88" s="1">
        <v>42403</v>
      </c>
      <c r="C88" s="1">
        <v>42502</v>
      </c>
      <c r="D88" t="s">
        <v>23</v>
      </c>
      <c r="E88" t="s">
        <v>29</v>
      </c>
      <c r="F88" s="2">
        <v>88</v>
      </c>
      <c r="G88" t="s">
        <v>12</v>
      </c>
      <c r="H88" s="3">
        <v>30523</v>
      </c>
      <c r="I88" s="3">
        <v>815360</v>
      </c>
      <c r="J88" s="3">
        <v>652288</v>
      </c>
      <c r="K88" s="3">
        <v>132549</v>
      </c>
      <c r="L88" t="s">
        <v>19</v>
      </c>
      <c r="M88">
        <v>4.4000000000000004</v>
      </c>
    </row>
    <row r="89" spans="1:13" x14ac:dyDescent="0.25">
      <c r="A89">
        <v>88</v>
      </c>
      <c r="B89" s="1">
        <v>42403</v>
      </c>
      <c r="C89" s="1">
        <v>42653</v>
      </c>
      <c r="D89" t="s">
        <v>22</v>
      </c>
      <c r="E89" t="s">
        <v>29</v>
      </c>
      <c r="F89" s="2">
        <v>52</v>
      </c>
      <c r="G89" t="s">
        <v>11</v>
      </c>
      <c r="H89" s="3">
        <v>15609.84</v>
      </c>
      <c r="I89" s="3">
        <v>457681</v>
      </c>
      <c r="J89" s="3">
        <v>366144.8</v>
      </c>
      <c r="K89" s="3">
        <v>75926.360000000015</v>
      </c>
      <c r="L89" t="s">
        <v>15</v>
      </c>
      <c r="M89">
        <v>4.3</v>
      </c>
    </row>
    <row r="90" spans="1:13" x14ac:dyDescent="0.25">
      <c r="A90">
        <v>89</v>
      </c>
      <c r="B90" s="1">
        <v>42404</v>
      </c>
      <c r="C90" s="1">
        <v>42640</v>
      </c>
      <c r="D90" t="s">
        <v>23</v>
      </c>
      <c r="E90" t="s">
        <v>25</v>
      </c>
      <c r="F90" s="2">
        <v>45</v>
      </c>
      <c r="G90" t="s">
        <v>11</v>
      </c>
      <c r="H90" s="3">
        <v>8051.64</v>
      </c>
      <c r="I90" s="3">
        <v>256201</v>
      </c>
      <c r="J90" s="3">
        <v>204960.8</v>
      </c>
      <c r="K90" s="3">
        <v>43188.560000000012</v>
      </c>
      <c r="L90" t="s">
        <v>17</v>
      </c>
      <c r="M90">
        <v>4.9000000000000004</v>
      </c>
    </row>
    <row r="91" spans="1:13" x14ac:dyDescent="0.25">
      <c r="A91">
        <v>90</v>
      </c>
      <c r="B91" s="1">
        <v>42404</v>
      </c>
      <c r="C91" s="1">
        <v>42575</v>
      </c>
      <c r="D91" t="s">
        <v>21</v>
      </c>
      <c r="E91" t="s">
        <v>29</v>
      </c>
      <c r="F91" s="2">
        <v>289</v>
      </c>
      <c r="G91" t="s">
        <v>12</v>
      </c>
      <c r="H91" s="3">
        <v>106547.64</v>
      </c>
      <c r="I91" s="3">
        <v>2722301</v>
      </c>
      <c r="J91" s="3">
        <v>2177840.7999999998</v>
      </c>
      <c r="K91" s="3">
        <v>437912.56000000017</v>
      </c>
      <c r="L91" t="s">
        <v>15</v>
      </c>
      <c r="M91">
        <v>3.6</v>
      </c>
    </row>
    <row r="92" spans="1:13" x14ac:dyDescent="0.25">
      <c r="A92">
        <v>91</v>
      </c>
      <c r="B92" s="1">
        <v>42404</v>
      </c>
      <c r="C92" s="1">
        <v>42720</v>
      </c>
      <c r="D92" t="s">
        <v>20</v>
      </c>
      <c r="E92" t="s">
        <v>13</v>
      </c>
      <c r="F92" s="2">
        <v>117</v>
      </c>
      <c r="G92" t="s">
        <v>11</v>
      </c>
      <c r="H92" s="3">
        <v>28230.36</v>
      </c>
      <c r="I92" s="3">
        <v>760094</v>
      </c>
      <c r="J92" s="3">
        <v>608075.19999999995</v>
      </c>
      <c r="K92" s="3">
        <v>123788.44000000005</v>
      </c>
      <c r="L92" t="s">
        <v>16</v>
      </c>
      <c r="M92">
        <v>4.8</v>
      </c>
    </row>
    <row r="93" spans="1:13" x14ac:dyDescent="0.25">
      <c r="A93">
        <v>92</v>
      </c>
      <c r="B93" s="1">
        <v>42405</v>
      </c>
      <c r="C93" s="1">
        <v>42496</v>
      </c>
      <c r="D93" t="s">
        <v>21</v>
      </c>
      <c r="E93" t="s">
        <v>27</v>
      </c>
      <c r="F93" s="2">
        <v>42</v>
      </c>
      <c r="G93" t="s">
        <v>11</v>
      </c>
      <c r="H93" s="3">
        <v>14718.28</v>
      </c>
      <c r="I93" s="3">
        <v>424517</v>
      </c>
      <c r="J93" s="3">
        <v>339613.6</v>
      </c>
      <c r="K93" s="3">
        <v>70185.120000000024</v>
      </c>
      <c r="L93" t="s">
        <v>17</v>
      </c>
      <c r="M93">
        <v>4.5</v>
      </c>
    </row>
    <row r="94" spans="1:13" x14ac:dyDescent="0.25">
      <c r="A94">
        <v>93</v>
      </c>
      <c r="B94" s="1">
        <v>42405</v>
      </c>
      <c r="C94" s="1">
        <v>42666</v>
      </c>
      <c r="D94" t="s">
        <v>20</v>
      </c>
      <c r="E94" t="s">
        <v>28</v>
      </c>
      <c r="F94" s="2">
        <v>128</v>
      </c>
      <c r="G94" t="s">
        <v>12</v>
      </c>
      <c r="H94" s="3">
        <v>36040.800000000003</v>
      </c>
      <c r="I94" s="3">
        <v>958505</v>
      </c>
      <c r="J94" s="3">
        <v>766804</v>
      </c>
      <c r="K94" s="3">
        <v>155660.20000000001</v>
      </c>
      <c r="L94" t="s">
        <v>16</v>
      </c>
      <c r="M94">
        <v>4.5</v>
      </c>
    </row>
    <row r="95" spans="1:13" x14ac:dyDescent="0.25">
      <c r="A95">
        <v>94</v>
      </c>
      <c r="B95" s="1">
        <v>42406</v>
      </c>
      <c r="C95" s="1">
        <v>42529</v>
      </c>
      <c r="D95" t="s">
        <v>21</v>
      </c>
      <c r="E95" t="s">
        <v>25</v>
      </c>
      <c r="F95" s="2">
        <v>171</v>
      </c>
      <c r="G95" t="s">
        <v>12</v>
      </c>
      <c r="H95" s="3">
        <v>37446.32</v>
      </c>
      <c r="I95" s="3">
        <v>1001843</v>
      </c>
      <c r="J95" s="3">
        <v>801474.4</v>
      </c>
      <c r="K95" s="3">
        <v>162922.27999999997</v>
      </c>
      <c r="L95" t="s">
        <v>19</v>
      </c>
      <c r="M95">
        <v>4.8</v>
      </c>
    </row>
    <row r="96" spans="1:13" x14ac:dyDescent="0.25">
      <c r="A96">
        <v>95</v>
      </c>
      <c r="B96" s="1">
        <v>42406</v>
      </c>
      <c r="C96" s="1">
        <v>42513</v>
      </c>
      <c r="D96" t="s">
        <v>23</v>
      </c>
      <c r="E96" t="s">
        <v>27</v>
      </c>
      <c r="F96" s="2">
        <v>64</v>
      </c>
      <c r="G96" t="s">
        <v>11</v>
      </c>
      <c r="H96" s="3">
        <v>25665.64</v>
      </c>
      <c r="I96" s="3">
        <v>700301</v>
      </c>
      <c r="J96" s="3">
        <v>560240.80000000005</v>
      </c>
      <c r="K96" s="3">
        <v>114394.55999999995</v>
      </c>
      <c r="L96" t="s">
        <v>16</v>
      </c>
      <c r="M96">
        <v>4.2</v>
      </c>
    </row>
    <row r="97" spans="1:13" x14ac:dyDescent="0.25">
      <c r="A97">
        <v>96</v>
      </c>
      <c r="B97" s="1">
        <v>42407</v>
      </c>
      <c r="C97" s="1">
        <v>42771</v>
      </c>
      <c r="D97" t="s">
        <v>21</v>
      </c>
      <c r="E97" t="s">
        <v>28</v>
      </c>
      <c r="F97" s="2">
        <v>98</v>
      </c>
      <c r="G97" t="s">
        <v>11</v>
      </c>
      <c r="H97" s="3">
        <v>28174.240000000002</v>
      </c>
      <c r="I97" s="3">
        <v>765416</v>
      </c>
      <c r="J97" s="3">
        <v>612332.80000000005</v>
      </c>
      <c r="K97" s="3">
        <v>124908.95999999995</v>
      </c>
      <c r="L97" t="s">
        <v>17</v>
      </c>
      <c r="M97">
        <v>3.9</v>
      </c>
    </row>
    <row r="98" spans="1:13" x14ac:dyDescent="0.25">
      <c r="A98">
        <v>97</v>
      </c>
      <c r="B98" s="1">
        <v>42407</v>
      </c>
      <c r="C98" s="1">
        <v>42681</v>
      </c>
      <c r="D98" t="s">
        <v>22</v>
      </c>
      <c r="E98" t="s">
        <v>13</v>
      </c>
      <c r="F98" s="2">
        <v>91</v>
      </c>
      <c r="G98" t="s">
        <v>11</v>
      </c>
      <c r="H98" s="3">
        <v>24226.44</v>
      </c>
      <c r="I98" s="3">
        <v>662021</v>
      </c>
      <c r="J98" s="3">
        <v>529616.80000000005</v>
      </c>
      <c r="K98" s="3">
        <v>108177.75999999995</v>
      </c>
      <c r="L98" t="s">
        <v>17</v>
      </c>
      <c r="M98">
        <v>4.5</v>
      </c>
    </row>
    <row r="99" spans="1:13" x14ac:dyDescent="0.25">
      <c r="A99">
        <v>98</v>
      </c>
      <c r="B99" s="1">
        <v>42407</v>
      </c>
      <c r="C99" s="1">
        <v>42767</v>
      </c>
      <c r="D99" t="s">
        <v>23</v>
      </c>
      <c r="E99" t="s">
        <v>28</v>
      </c>
      <c r="F99" s="2">
        <v>220</v>
      </c>
      <c r="G99" t="s">
        <v>12</v>
      </c>
      <c r="H99" s="3">
        <v>57855.28</v>
      </c>
      <c r="I99" s="3">
        <v>1504267</v>
      </c>
      <c r="J99" s="3">
        <v>1203413.6000000001</v>
      </c>
      <c r="K99" s="3">
        <v>242998.11999999991</v>
      </c>
      <c r="L99" t="s">
        <v>14</v>
      </c>
      <c r="M99">
        <v>3.6</v>
      </c>
    </row>
    <row r="100" spans="1:13" x14ac:dyDescent="0.25">
      <c r="A100">
        <v>99</v>
      </c>
      <c r="B100" s="1">
        <v>42407</v>
      </c>
      <c r="C100" s="1">
        <v>42726</v>
      </c>
      <c r="D100" t="s">
        <v>23</v>
      </c>
      <c r="E100" t="s">
        <v>25</v>
      </c>
      <c r="F100" s="2">
        <v>248</v>
      </c>
      <c r="G100" t="s">
        <v>12</v>
      </c>
      <c r="H100" s="3">
        <v>81589.440000000002</v>
      </c>
      <c r="I100" s="3">
        <v>2103721</v>
      </c>
      <c r="J100" s="3">
        <v>1682976.8</v>
      </c>
      <c r="K100" s="3">
        <v>339154.75999999995</v>
      </c>
      <c r="L100" t="s">
        <v>18</v>
      </c>
      <c r="M100">
        <v>4.0999999999999996</v>
      </c>
    </row>
    <row r="101" spans="1:13" x14ac:dyDescent="0.25">
      <c r="A101">
        <v>100</v>
      </c>
      <c r="B101" s="1">
        <v>42408</v>
      </c>
      <c r="C101" s="1">
        <v>42544</v>
      </c>
      <c r="D101" t="s">
        <v>23</v>
      </c>
      <c r="E101" t="s">
        <v>29</v>
      </c>
      <c r="F101" s="2">
        <v>120</v>
      </c>
      <c r="G101" t="s">
        <v>11</v>
      </c>
      <c r="H101" s="3">
        <v>20301</v>
      </c>
      <c r="I101" s="3">
        <v>567860</v>
      </c>
      <c r="J101" s="3">
        <v>454288</v>
      </c>
      <c r="K101" s="3">
        <v>93271</v>
      </c>
      <c r="L101" t="s">
        <v>17</v>
      </c>
      <c r="M101">
        <v>4.3</v>
      </c>
    </row>
    <row r="102" spans="1:13" x14ac:dyDescent="0.25">
      <c r="A102">
        <v>101</v>
      </c>
      <c r="B102" s="1">
        <v>42408</v>
      </c>
      <c r="C102" s="1">
        <v>42640</v>
      </c>
      <c r="D102" t="s">
        <v>21</v>
      </c>
      <c r="E102" t="s">
        <v>26</v>
      </c>
      <c r="F102" s="2">
        <v>158</v>
      </c>
      <c r="G102" t="s">
        <v>11</v>
      </c>
      <c r="H102" s="3">
        <v>27427.759999999998</v>
      </c>
      <c r="I102" s="3">
        <v>747179</v>
      </c>
      <c r="J102" s="3">
        <v>597743.19999999995</v>
      </c>
      <c r="K102" s="3">
        <v>122008.04000000005</v>
      </c>
      <c r="L102" t="s">
        <v>18</v>
      </c>
      <c r="M102">
        <v>4.5999999999999996</v>
      </c>
    </row>
    <row r="103" spans="1:13" x14ac:dyDescent="0.25">
      <c r="A103">
        <v>102</v>
      </c>
      <c r="B103" s="1">
        <v>42408</v>
      </c>
      <c r="C103" s="1">
        <v>42513</v>
      </c>
      <c r="D103" t="s">
        <v>22</v>
      </c>
      <c r="E103" t="s">
        <v>27</v>
      </c>
      <c r="F103" s="2">
        <v>41</v>
      </c>
      <c r="G103" t="s">
        <v>11</v>
      </c>
      <c r="H103" s="3">
        <v>16934.400000000001</v>
      </c>
      <c r="I103" s="3">
        <v>474920</v>
      </c>
      <c r="J103" s="3">
        <v>379936</v>
      </c>
      <c r="K103" s="3">
        <v>78049.600000000006</v>
      </c>
      <c r="L103" t="s">
        <v>19</v>
      </c>
      <c r="M103">
        <v>4.5</v>
      </c>
    </row>
    <row r="104" spans="1:13" x14ac:dyDescent="0.25">
      <c r="A104">
        <v>103</v>
      </c>
      <c r="B104" s="1">
        <v>42408</v>
      </c>
      <c r="C104" s="1">
        <v>42570</v>
      </c>
      <c r="D104" t="s">
        <v>20</v>
      </c>
      <c r="E104" t="s">
        <v>27</v>
      </c>
      <c r="F104" s="2">
        <v>252</v>
      </c>
      <c r="G104" t="s">
        <v>12</v>
      </c>
      <c r="H104" s="3">
        <v>46562.6</v>
      </c>
      <c r="I104" s="3">
        <v>1224575</v>
      </c>
      <c r="J104" s="3">
        <v>979660</v>
      </c>
      <c r="K104" s="3">
        <v>198352.4</v>
      </c>
      <c r="L104" t="s">
        <v>18</v>
      </c>
      <c r="M104">
        <v>4.2</v>
      </c>
    </row>
    <row r="105" spans="1:13" x14ac:dyDescent="0.25">
      <c r="A105">
        <v>104</v>
      </c>
      <c r="B105" s="1">
        <v>42409</v>
      </c>
      <c r="C105" s="1">
        <v>42565</v>
      </c>
      <c r="D105" t="s">
        <v>23</v>
      </c>
      <c r="E105" t="s">
        <v>24</v>
      </c>
      <c r="F105" s="2">
        <v>100</v>
      </c>
      <c r="G105" t="s">
        <v>11</v>
      </c>
      <c r="H105" s="3">
        <v>27226</v>
      </c>
      <c r="I105" s="3">
        <v>735885</v>
      </c>
      <c r="J105" s="3">
        <v>588708</v>
      </c>
      <c r="K105" s="3">
        <v>119951</v>
      </c>
      <c r="L105" t="s">
        <v>19</v>
      </c>
      <c r="M105">
        <v>4.5</v>
      </c>
    </row>
    <row r="106" spans="1:13" x14ac:dyDescent="0.25">
      <c r="A106">
        <v>105</v>
      </c>
      <c r="B106" s="1">
        <v>42410</v>
      </c>
      <c r="C106" s="1">
        <v>42768</v>
      </c>
      <c r="D106" t="s">
        <v>23</v>
      </c>
      <c r="E106" t="s">
        <v>13</v>
      </c>
      <c r="F106" s="2">
        <v>232</v>
      </c>
      <c r="G106" t="s">
        <v>12</v>
      </c>
      <c r="H106" s="3">
        <v>73257.84</v>
      </c>
      <c r="I106" s="3">
        <v>1890981</v>
      </c>
      <c r="J106" s="3">
        <v>1512784.8</v>
      </c>
      <c r="K106" s="3">
        <v>304938.36</v>
      </c>
      <c r="L106" t="s">
        <v>19</v>
      </c>
      <c r="M106">
        <v>4.3</v>
      </c>
    </row>
    <row r="107" spans="1:13" x14ac:dyDescent="0.25">
      <c r="A107">
        <v>106</v>
      </c>
      <c r="B107" s="1">
        <v>42410</v>
      </c>
      <c r="C107" s="1">
        <v>42761</v>
      </c>
      <c r="D107" t="s">
        <v>21</v>
      </c>
      <c r="E107" t="s">
        <v>26</v>
      </c>
      <c r="F107" s="2">
        <v>295</v>
      </c>
      <c r="G107" t="s">
        <v>12</v>
      </c>
      <c r="H107" s="3">
        <v>83406</v>
      </c>
      <c r="I107" s="3">
        <v>2142185</v>
      </c>
      <c r="J107" s="3">
        <v>1713748</v>
      </c>
      <c r="K107" s="3">
        <v>345031</v>
      </c>
      <c r="L107" t="s">
        <v>15</v>
      </c>
      <c r="M107">
        <v>4.7</v>
      </c>
    </row>
    <row r="108" spans="1:13" x14ac:dyDescent="0.25">
      <c r="A108">
        <v>107</v>
      </c>
      <c r="B108" s="1">
        <v>42410</v>
      </c>
      <c r="C108" s="1">
        <v>42717</v>
      </c>
      <c r="D108" t="s">
        <v>21</v>
      </c>
      <c r="E108" t="s">
        <v>24</v>
      </c>
      <c r="F108" s="2">
        <v>215</v>
      </c>
      <c r="G108" t="s">
        <v>12</v>
      </c>
      <c r="H108" s="3">
        <v>70463.72</v>
      </c>
      <c r="I108" s="3">
        <v>1827803</v>
      </c>
      <c r="J108" s="3">
        <v>1462242.4</v>
      </c>
      <c r="K108" s="3">
        <v>295096.88000000012</v>
      </c>
      <c r="L108" t="s">
        <v>17</v>
      </c>
      <c r="M108">
        <v>3.8</v>
      </c>
    </row>
    <row r="109" spans="1:13" x14ac:dyDescent="0.25">
      <c r="A109">
        <v>108</v>
      </c>
      <c r="B109" s="1">
        <v>42412</v>
      </c>
      <c r="C109" s="1">
        <v>42724</v>
      </c>
      <c r="D109" t="s">
        <v>22</v>
      </c>
      <c r="E109" t="s">
        <v>29</v>
      </c>
      <c r="F109" s="2">
        <v>181</v>
      </c>
      <c r="G109" t="s">
        <v>12</v>
      </c>
      <c r="H109" s="3">
        <v>70520.88</v>
      </c>
      <c r="I109" s="3">
        <v>1818782</v>
      </c>
      <c r="J109" s="3">
        <v>1455025.6</v>
      </c>
      <c r="K109" s="3">
        <v>293235.5199999999</v>
      </c>
      <c r="L109" t="s">
        <v>16</v>
      </c>
      <c r="M109">
        <v>1</v>
      </c>
    </row>
    <row r="110" spans="1:13" x14ac:dyDescent="0.25">
      <c r="A110">
        <v>109</v>
      </c>
      <c r="B110" s="1">
        <v>42412</v>
      </c>
      <c r="C110" s="1">
        <v>42591</v>
      </c>
      <c r="D110" t="s">
        <v>22</v>
      </c>
      <c r="E110" t="s">
        <v>25</v>
      </c>
      <c r="F110" s="2">
        <v>295</v>
      </c>
      <c r="G110" t="s">
        <v>12</v>
      </c>
      <c r="H110" s="3">
        <v>60389</v>
      </c>
      <c r="I110" s="3">
        <v>1564685</v>
      </c>
      <c r="J110" s="3">
        <v>1251748</v>
      </c>
      <c r="K110" s="3">
        <v>252548</v>
      </c>
      <c r="L110" t="s">
        <v>15</v>
      </c>
      <c r="M110">
        <v>5</v>
      </c>
    </row>
    <row r="111" spans="1:13" x14ac:dyDescent="0.25">
      <c r="A111">
        <v>110</v>
      </c>
      <c r="B111" s="1">
        <v>42412</v>
      </c>
      <c r="C111" s="1">
        <v>42724</v>
      </c>
      <c r="D111" t="s">
        <v>23</v>
      </c>
      <c r="E111" t="s">
        <v>27</v>
      </c>
      <c r="F111" s="2">
        <v>201</v>
      </c>
      <c r="G111" t="s">
        <v>12</v>
      </c>
      <c r="H111" s="3">
        <v>62651.68</v>
      </c>
      <c r="I111" s="3">
        <v>1624127</v>
      </c>
      <c r="J111" s="3">
        <v>1299301.6000000001</v>
      </c>
      <c r="K111" s="3">
        <v>262173.71999999991</v>
      </c>
      <c r="L111" t="s">
        <v>19</v>
      </c>
      <c r="M111">
        <v>5</v>
      </c>
    </row>
    <row r="112" spans="1:13" x14ac:dyDescent="0.25">
      <c r="A112">
        <v>111</v>
      </c>
      <c r="B112" s="1">
        <v>42413</v>
      </c>
      <c r="C112" s="1">
        <v>42699</v>
      </c>
      <c r="D112" t="s">
        <v>23</v>
      </c>
      <c r="E112" t="s">
        <v>28</v>
      </c>
      <c r="F112" s="2">
        <v>159</v>
      </c>
      <c r="G112" t="s">
        <v>12</v>
      </c>
      <c r="H112" s="3">
        <v>37318.639999999999</v>
      </c>
      <c r="I112" s="3">
        <v>991151</v>
      </c>
      <c r="J112" s="3">
        <v>792920.8</v>
      </c>
      <c r="K112" s="3">
        <v>160911.55999999994</v>
      </c>
      <c r="L112" t="s">
        <v>16</v>
      </c>
      <c r="M112">
        <v>4.2</v>
      </c>
    </row>
    <row r="113" spans="1:13" x14ac:dyDescent="0.25">
      <c r="A113">
        <v>112</v>
      </c>
      <c r="B113" s="1">
        <v>42413</v>
      </c>
      <c r="C113" s="1">
        <v>42635</v>
      </c>
      <c r="D113" t="s">
        <v>21</v>
      </c>
      <c r="E113" t="s">
        <v>27</v>
      </c>
      <c r="F113" s="2">
        <v>155</v>
      </c>
      <c r="G113" t="s">
        <v>12</v>
      </c>
      <c r="H113" s="3">
        <v>41449</v>
      </c>
      <c r="I113" s="3">
        <v>1101285</v>
      </c>
      <c r="J113" s="3">
        <v>881028</v>
      </c>
      <c r="K113" s="3">
        <v>178808</v>
      </c>
      <c r="L113" t="s">
        <v>15</v>
      </c>
      <c r="M113">
        <v>4.0999999999999996</v>
      </c>
    </row>
    <row r="114" spans="1:13" x14ac:dyDescent="0.25">
      <c r="A114">
        <v>113</v>
      </c>
      <c r="B114" s="1">
        <v>42413</v>
      </c>
      <c r="C114" s="1">
        <v>42737</v>
      </c>
      <c r="D114" t="s">
        <v>23</v>
      </c>
      <c r="E114" t="s">
        <v>29</v>
      </c>
      <c r="F114" s="2">
        <v>84</v>
      </c>
      <c r="G114" t="s">
        <v>12</v>
      </c>
      <c r="H114" s="3">
        <v>34612.639999999999</v>
      </c>
      <c r="I114" s="3">
        <v>923726</v>
      </c>
      <c r="J114" s="3">
        <v>738980.8</v>
      </c>
      <c r="K114" s="3">
        <v>150132.55999999994</v>
      </c>
      <c r="L114" t="s">
        <v>19</v>
      </c>
      <c r="M114">
        <v>3.7</v>
      </c>
    </row>
    <row r="115" spans="1:13" x14ac:dyDescent="0.25">
      <c r="A115">
        <v>114</v>
      </c>
      <c r="B115" s="1">
        <v>42414</v>
      </c>
      <c r="C115" s="1">
        <v>42746</v>
      </c>
      <c r="D115" t="s">
        <v>20</v>
      </c>
      <c r="E115" t="s">
        <v>25</v>
      </c>
      <c r="F115" s="2">
        <v>100</v>
      </c>
      <c r="G115" t="s">
        <v>12</v>
      </c>
      <c r="H115" s="3">
        <v>31351.96</v>
      </c>
      <c r="I115" s="3">
        <v>843284</v>
      </c>
      <c r="J115" s="3">
        <v>674627.2</v>
      </c>
      <c r="K115" s="3">
        <v>137304.84000000005</v>
      </c>
      <c r="L115" t="s">
        <v>16</v>
      </c>
      <c r="M115">
        <v>4.5999999999999996</v>
      </c>
    </row>
    <row r="116" spans="1:13" x14ac:dyDescent="0.25">
      <c r="A116">
        <v>115</v>
      </c>
      <c r="B116" s="1">
        <v>42414</v>
      </c>
      <c r="C116" s="1">
        <v>42597</v>
      </c>
      <c r="D116" t="s">
        <v>22</v>
      </c>
      <c r="E116" t="s">
        <v>26</v>
      </c>
      <c r="F116" s="2">
        <v>50</v>
      </c>
      <c r="G116" t="s">
        <v>11</v>
      </c>
      <c r="H116" s="3">
        <v>16659</v>
      </c>
      <c r="I116" s="3">
        <v>475235</v>
      </c>
      <c r="J116" s="3">
        <v>380188</v>
      </c>
      <c r="K116" s="3">
        <v>78388</v>
      </c>
      <c r="L116" t="s">
        <v>14</v>
      </c>
      <c r="M116">
        <v>4.7</v>
      </c>
    </row>
    <row r="117" spans="1:13" x14ac:dyDescent="0.25">
      <c r="A117">
        <v>116</v>
      </c>
      <c r="B117" s="1">
        <v>42415</v>
      </c>
      <c r="C117" s="1">
        <v>42739</v>
      </c>
      <c r="D117" t="s">
        <v>21</v>
      </c>
      <c r="E117" t="s">
        <v>24</v>
      </c>
      <c r="F117" s="2">
        <v>100</v>
      </c>
      <c r="G117" t="s">
        <v>12</v>
      </c>
      <c r="H117" s="3">
        <v>38172.36</v>
      </c>
      <c r="I117" s="3">
        <v>1010144</v>
      </c>
      <c r="J117" s="3">
        <v>808115.19999999995</v>
      </c>
      <c r="K117" s="3">
        <v>163856.44000000006</v>
      </c>
      <c r="L117" t="s">
        <v>17</v>
      </c>
      <c r="M117">
        <v>4.5</v>
      </c>
    </row>
    <row r="118" spans="1:13" x14ac:dyDescent="0.25">
      <c r="A118">
        <v>117</v>
      </c>
      <c r="B118" s="1">
        <v>42415</v>
      </c>
      <c r="C118" s="1">
        <v>42639</v>
      </c>
      <c r="D118" t="s">
        <v>20</v>
      </c>
      <c r="E118" t="s">
        <v>25</v>
      </c>
      <c r="F118" s="2">
        <v>271</v>
      </c>
      <c r="G118" t="s">
        <v>12</v>
      </c>
      <c r="H118" s="3">
        <v>68225.320000000007</v>
      </c>
      <c r="I118" s="3">
        <v>1760493</v>
      </c>
      <c r="J118" s="3">
        <v>1408394.4</v>
      </c>
      <c r="K118" s="3">
        <v>283873.28000000009</v>
      </c>
      <c r="L118" t="s">
        <v>16</v>
      </c>
      <c r="M118">
        <v>4.3</v>
      </c>
    </row>
    <row r="119" spans="1:13" x14ac:dyDescent="0.25">
      <c r="A119">
        <v>118</v>
      </c>
      <c r="B119" s="1">
        <v>42415</v>
      </c>
      <c r="C119" s="1">
        <v>42623</v>
      </c>
      <c r="D119" t="s">
        <v>21</v>
      </c>
      <c r="E119" t="s">
        <v>29</v>
      </c>
      <c r="F119" s="2">
        <v>246</v>
      </c>
      <c r="G119" t="s">
        <v>12</v>
      </c>
      <c r="H119" s="3">
        <v>81051.039999999994</v>
      </c>
      <c r="I119" s="3">
        <v>2083761</v>
      </c>
      <c r="J119" s="3">
        <v>1667008.8</v>
      </c>
      <c r="K119" s="3">
        <v>335701.16</v>
      </c>
      <c r="L119" t="s">
        <v>19</v>
      </c>
      <c r="M119">
        <v>4.4000000000000004</v>
      </c>
    </row>
    <row r="120" spans="1:13" x14ac:dyDescent="0.25">
      <c r="A120">
        <v>119</v>
      </c>
      <c r="B120" s="1">
        <v>42416</v>
      </c>
      <c r="C120" s="1">
        <v>42557</v>
      </c>
      <c r="D120" t="s">
        <v>20</v>
      </c>
      <c r="E120" t="s">
        <v>26</v>
      </c>
      <c r="F120" s="2">
        <v>47</v>
      </c>
      <c r="G120" t="s">
        <v>11</v>
      </c>
      <c r="H120" s="3">
        <v>11550.56</v>
      </c>
      <c r="I120" s="3">
        <v>344474</v>
      </c>
      <c r="J120" s="3">
        <v>275579.2</v>
      </c>
      <c r="K120" s="3">
        <v>57344.239999999991</v>
      </c>
      <c r="L120" t="s">
        <v>15</v>
      </c>
      <c r="M120">
        <v>5</v>
      </c>
    </row>
    <row r="121" spans="1:13" x14ac:dyDescent="0.25">
      <c r="A121">
        <v>120</v>
      </c>
      <c r="B121" s="1">
        <v>42416</v>
      </c>
      <c r="C121" s="1">
        <v>42717</v>
      </c>
      <c r="D121" t="s">
        <v>23</v>
      </c>
      <c r="E121" t="s">
        <v>25</v>
      </c>
      <c r="F121" s="2">
        <v>168</v>
      </c>
      <c r="G121" t="s">
        <v>12</v>
      </c>
      <c r="H121" s="3">
        <v>37970.120000000003</v>
      </c>
      <c r="I121" s="3">
        <v>1010363</v>
      </c>
      <c r="J121" s="3">
        <v>808290.4</v>
      </c>
      <c r="K121" s="3">
        <v>164102.47999999998</v>
      </c>
      <c r="L121" t="s">
        <v>17</v>
      </c>
      <c r="M121">
        <v>4.2</v>
      </c>
    </row>
    <row r="122" spans="1:13" x14ac:dyDescent="0.25">
      <c r="A122">
        <v>121</v>
      </c>
      <c r="B122" s="1">
        <v>42417</v>
      </c>
      <c r="C122" s="1">
        <v>42710</v>
      </c>
      <c r="D122" t="s">
        <v>20</v>
      </c>
      <c r="E122" t="s">
        <v>29</v>
      </c>
      <c r="F122" s="2">
        <v>146</v>
      </c>
      <c r="G122" t="s">
        <v>11</v>
      </c>
      <c r="H122" s="3">
        <v>26654.560000000001</v>
      </c>
      <c r="I122" s="3">
        <v>725349</v>
      </c>
      <c r="J122" s="3">
        <v>580279.19999999995</v>
      </c>
      <c r="K122" s="3">
        <v>118415.24000000005</v>
      </c>
      <c r="L122" t="s">
        <v>17</v>
      </c>
      <c r="M122">
        <v>3.7</v>
      </c>
    </row>
    <row r="123" spans="1:13" x14ac:dyDescent="0.25">
      <c r="A123">
        <v>122</v>
      </c>
      <c r="B123" s="1">
        <v>42417</v>
      </c>
      <c r="C123" s="1">
        <v>42771</v>
      </c>
      <c r="D123" t="s">
        <v>23</v>
      </c>
      <c r="E123" t="s">
        <v>29</v>
      </c>
      <c r="F123" s="2">
        <v>267</v>
      </c>
      <c r="G123" t="s">
        <v>12</v>
      </c>
      <c r="H123" s="3">
        <v>54611.4</v>
      </c>
      <c r="I123" s="3">
        <v>1422395</v>
      </c>
      <c r="J123" s="3">
        <v>1137916</v>
      </c>
      <c r="K123" s="3">
        <v>229867.6</v>
      </c>
      <c r="L123" t="s">
        <v>15</v>
      </c>
      <c r="M123">
        <v>4.9000000000000004</v>
      </c>
    </row>
    <row r="124" spans="1:13" x14ac:dyDescent="0.25">
      <c r="A124">
        <v>123</v>
      </c>
      <c r="B124" s="1">
        <v>42417</v>
      </c>
      <c r="C124" s="1">
        <v>42581</v>
      </c>
      <c r="D124" t="s">
        <v>20</v>
      </c>
      <c r="E124" t="s">
        <v>27</v>
      </c>
      <c r="F124" s="2">
        <v>174</v>
      </c>
      <c r="G124" t="s">
        <v>12</v>
      </c>
      <c r="H124" s="3">
        <v>57657.24</v>
      </c>
      <c r="I124" s="3">
        <v>1497841</v>
      </c>
      <c r="J124" s="3">
        <v>1198272.8</v>
      </c>
      <c r="K124" s="3">
        <v>241910.95999999996</v>
      </c>
      <c r="L124" t="s">
        <v>15</v>
      </c>
      <c r="M124">
        <v>3.6</v>
      </c>
    </row>
    <row r="125" spans="1:13" x14ac:dyDescent="0.25">
      <c r="A125">
        <v>124</v>
      </c>
      <c r="B125" s="1">
        <v>42418</v>
      </c>
      <c r="C125" s="1">
        <v>42618</v>
      </c>
      <c r="D125" t="s">
        <v>23</v>
      </c>
      <c r="E125" t="s">
        <v>26</v>
      </c>
      <c r="F125" s="2">
        <v>209</v>
      </c>
      <c r="G125" t="s">
        <v>12</v>
      </c>
      <c r="H125" s="3">
        <v>36047.120000000003</v>
      </c>
      <c r="I125" s="3">
        <v>962713</v>
      </c>
      <c r="J125" s="3">
        <v>770170.4</v>
      </c>
      <c r="K125" s="3">
        <v>156495.47999999998</v>
      </c>
      <c r="L125" t="s">
        <v>16</v>
      </c>
      <c r="M125">
        <v>3.7</v>
      </c>
    </row>
    <row r="126" spans="1:13" x14ac:dyDescent="0.25">
      <c r="A126">
        <v>125</v>
      </c>
      <c r="B126" s="1">
        <v>42419</v>
      </c>
      <c r="C126" s="1">
        <v>42607</v>
      </c>
      <c r="D126" t="s">
        <v>20</v>
      </c>
      <c r="E126" t="s">
        <v>26</v>
      </c>
      <c r="F126" s="2">
        <v>113</v>
      </c>
      <c r="G126" t="s">
        <v>12</v>
      </c>
      <c r="H126" s="3">
        <v>41763.68</v>
      </c>
      <c r="I126" s="3">
        <v>1103677</v>
      </c>
      <c r="J126" s="3">
        <v>882941.6</v>
      </c>
      <c r="K126" s="3">
        <v>178971.72000000003</v>
      </c>
      <c r="L126" t="s">
        <v>14</v>
      </c>
      <c r="M126">
        <v>3.6</v>
      </c>
    </row>
    <row r="127" spans="1:13" x14ac:dyDescent="0.25">
      <c r="A127">
        <v>126</v>
      </c>
      <c r="B127" s="1">
        <v>42419</v>
      </c>
      <c r="C127" s="1">
        <v>42613</v>
      </c>
      <c r="D127" t="s">
        <v>22</v>
      </c>
      <c r="E127" t="s">
        <v>27</v>
      </c>
      <c r="F127" s="2">
        <v>187</v>
      </c>
      <c r="G127" t="s">
        <v>12</v>
      </c>
      <c r="H127" s="3">
        <v>54220.28</v>
      </c>
      <c r="I127" s="3">
        <v>1409617</v>
      </c>
      <c r="J127" s="3">
        <v>1127693.6000000001</v>
      </c>
      <c r="K127" s="3">
        <v>227703.11999999991</v>
      </c>
      <c r="L127" t="s">
        <v>18</v>
      </c>
      <c r="M127">
        <v>4.8</v>
      </c>
    </row>
    <row r="128" spans="1:13" x14ac:dyDescent="0.25">
      <c r="A128">
        <v>127</v>
      </c>
      <c r="B128" s="1">
        <v>42420</v>
      </c>
      <c r="C128" s="1">
        <v>42519</v>
      </c>
      <c r="D128" t="s">
        <v>21</v>
      </c>
      <c r="E128" t="s">
        <v>26</v>
      </c>
      <c r="F128" s="2">
        <v>132</v>
      </c>
      <c r="G128" t="s">
        <v>12</v>
      </c>
      <c r="H128" s="3">
        <v>42537.760000000002</v>
      </c>
      <c r="I128" s="3">
        <v>1123604</v>
      </c>
      <c r="J128" s="3">
        <v>898883.2</v>
      </c>
      <c r="K128" s="3">
        <v>182183.04000000004</v>
      </c>
      <c r="L128" t="s">
        <v>17</v>
      </c>
      <c r="M128">
        <v>4.4000000000000004</v>
      </c>
    </row>
    <row r="129" spans="1:13" x14ac:dyDescent="0.25">
      <c r="A129">
        <v>128</v>
      </c>
      <c r="B129" s="1">
        <v>42420</v>
      </c>
      <c r="C129" s="1">
        <v>42739</v>
      </c>
      <c r="D129" t="s">
        <v>22</v>
      </c>
      <c r="E129" t="s">
        <v>25</v>
      </c>
      <c r="F129" s="2">
        <v>127</v>
      </c>
      <c r="G129" t="s">
        <v>12</v>
      </c>
      <c r="H129" s="3">
        <v>48531.6</v>
      </c>
      <c r="I129" s="3">
        <v>1266675</v>
      </c>
      <c r="J129" s="3">
        <v>1013340</v>
      </c>
      <c r="K129" s="3">
        <v>204803.4</v>
      </c>
      <c r="L129" t="s">
        <v>19</v>
      </c>
      <c r="M129">
        <v>4.2</v>
      </c>
    </row>
    <row r="130" spans="1:13" x14ac:dyDescent="0.25">
      <c r="A130">
        <v>129</v>
      </c>
      <c r="B130" s="1">
        <v>42421</v>
      </c>
      <c r="C130" s="1">
        <v>42743</v>
      </c>
      <c r="D130" t="s">
        <v>22</v>
      </c>
      <c r="E130" t="s">
        <v>24</v>
      </c>
      <c r="F130" s="2">
        <v>199</v>
      </c>
      <c r="G130" t="s">
        <v>12</v>
      </c>
      <c r="H130" s="3">
        <v>53936.04</v>
      </c>
      <c r="I130" s="3">
        <v>1400411</v>
      </c>
      <c r="J130" s="3">
        <v>1120328.8</v>
      </c>
      <c r="K130" s="3">
        <v>226146.15999999995</v>
      </c>
      <c r="L130" t="s">
        <v>14</v>
      </c>
      <c r="M130">
        <v>4.0999999999999996</v>
      </c>
    </row>
    <row r="131" spans="1:13" x14ac:dyDescent="0.25">
      <c r="A131">
        <v>130</v>
      </c>
      <c r="B131" s="1">
        <v>42421</v>
      </c>
      <c r="C131" s="1">
        <v>42697</v>
      </c>
      <c r="D131" t="s">
        <v>20</v>
      </c>
      <c r="E131" t="s">
        <v>13</v>
      </c>
      <c r="F131" s="2">
        <v>212</v>
      </c>
      <c r="G131" t="s">
        <v>12</v>
      </c>
      <c r="H131" s="3">
        <v>54612.84</v>
      </c>
      <c r="I131" s="3">
        <v>1425581</v>
      </c>
      <c r="J131" s="3">
        <v>1140464.8</v>
      </c>
      <c r="K131" s="3">
        <v>230503.35999999996</v>
      </c>
      <c r="L131" t="s">
        <v>19</v>
      </c>
      <c r="M131">
        <v>4.5</v>
      </c>
    </row>
    <row r="132" spans="1:13" x14ac:dyDescent="0.25">
      <c r="A132">
        <v>131</v>
      </c>
      <c r="B132" s="1">
        <v>42421</v>
      </c>
      <c r="C132" s="1">
        <v>42617</v>
      </c>
      <c r="D132" t="s">
        <v>23</v>
      </c>
      <c r="E132" t="s">
        <v>13</v>
      </c>
      <c r="F132" s="2">
        <v>50</v>
      </c>
      <c r="G132" t="s">
        <v>11</v>
      </c>
      <c r="H132" s="3">
        <v>18334.8</v>
      </c>
      <c r="I132" s="3">
        <v>513830</v>
      </c>
      <c r="J132" s="3">
        <v>411064</v>
      </c>
      <c r="K132" s="3">
        <v>84431.2</v>
      </c>
      <c r="L132" t="s">
        <v>14</v>
      </c>
      <c r="M132">
        <v>4.3</v>
      </c>
    </row>
    <row r="133" spans="1:13" x14ac:dyDescent="0.25">
      <c r="A133">
        <v>132</v>
      </c>
      <c r="B133" s="1">
        <v>42421</v>
      </c>
      <c r="C133" s="1">
        <v>42708</v>
      </c>
      <c r="D133" t="s">
        <v>20</v>
      </c>
      <c r="E133" t="s">
        <v>25</v>
      </c>
      <c r="F133" s="2">
        <v>185</v>
      </c>
      <c r="G133" t="s">
        <v>12</v>
      </c>
      <c r="H133" s="3">
        <v>50064.2</v>
      </c>
      <c r="I133" s="3">
        <v>1305115</v>
      </c>
      <c r="J133" s="3">
        <v>1044092</v>
      </c>
      <c r="K133" s="3">
        <v>210958.8</v>
      </c>
      <c r="L133" t="s">
        <v>17</v>
      </c>
      <c r="M133">
        <v>5</v>
      </c>
    </row>
    <row r="134" spans="1:13" x14ac:dyDescent="0.25">
      <c r="A134">
        <v>133</v>
      </c>
      <c r="B134" s="1">
        <v>42422</v>
      </c>
      <c r="C134" s="1">
        <v>42688</v>
      </c>
      <c r="D134" t="s">
        <v>23</v>
      </c>
      <c r="E134" t="s">
        <v>13</v>
      </c>
      <c r="F134" s="2">
        <v>55</v>
      </c>
      <c r="G134" t="s">
        <v>11</v>
      </c>
      <c r="H134" s="3">
        <v>14827.56</v>
      </c>
      <c r="I134" s="3">
        <v>428449</v>
      </c>
      <c r="J134" s="3">
        <v>342759.2</v>
      </c>
      <c r="K134" s="3">
        <v>70862.239999999991</v>
      </c>
      <c r="L134" t="s">
        <v>15</v>
      </c>
      <c r="M134">
        <v>4.2</v>
      </c>
    </row>
    <row r="135" spans="1:13" x14ac:dyDescent="0.25">
      <c r="A135">
        <v>134</v>
      </c>
      <c r="B135" s="1">
        <v>42422</v>
      </c>
      <c r="C135" s="1">
        <v>42786</v>
      </c>
      <c r="D135" t="s">
        <v>20</v>
      </c>
      <c r="E135" t="s">
        <v>24</v>
      </c>
      <c r="F135" s="2">
        <v>269</v>
      </c>
      <c r="G135" t="s">
        <v>12</v>
      </c>
      <c r="H135" s="3">
        <v>69682</v>
      </c>
      <c r="I135" s="3">
        <v>1801710</v>
      </c>
      <c r="J135" s="3">
        <v>1441368</v>
      </c>
      <c r="K135" s="3">
        <v>290660</v>
      </c>
      <c r="L135" t="s">
        <v>16</v>
      </c>
      <c r="M135">
        <v>3.9</v>
      </c>
    </row>
    <row r="136" spans="1:13" x14ac:dyDescent="0.25">
      <c r="A136">
        <v>135</v>
      </c>
      <c r="B136" s="1">
        <v>42422</v>
      </c>
      <c r="C136" s="1">
        <v>42648</v>
      </c>
      <c r="D136" t="s">
        <v>22</v>
      </c>
      <c r="E136" t="s">
        <v>28</v>
      </c>
      <c r="F136" s="2">
        <v>40</v>
      </c>
      <c r="G136" t="s">
        <v>11</v>
      </c>
      <c r="H136" s="3">
        <v>8584.2000000000007</v>
      </c>
      <c r="I136" s="3">
        <v>265940</v>
      </c>
      <c r="J136" s="3">
        <v>212752</v>
      </c>
      <c r="K136" s="3">
        <v>44603.8</v>
      </c>
      <c r="L136" t="s">
        <v>17</v>
      </c>
      <c r="M136">
        <v>3.8</v>
      </c>
    </row>
    <row r="137" spans="1:13" x14ac:dyDescent="0.25">
      <c r="A137">
        <v>136</v>
      </c>
      <c r="B137" s="1">
        <v>42423</v>
      </c>
      <c r="C137" s="1">
        <v>42545</v>
      </c>
      <c r="D137" t="s">
        <v>22</v>
      </c>
      <c r="E137" t="s">
        <v>13</v>
      </c>
      <c r="F137" s="2">
        <v>98</v>
      </c>
      <c r="G137" t="s">
        <v>11</v>
      </c>
      <c r="H137" s="3">
        <v>24150.400000000001</v>
      </c>
      <c r="I137" s="3">
        <v>660920</v>
      </c>
      <c r="J137" s="3">
        <v>528736</v>
      </c>
      <c r="K137" s="3">
        <v>108033.60000000001</v>
      </c>
      <c r="L137" t="s">
        <v>16</v>
      </c>
      <c r="M137">
        <v>4.4000000000000004</v>
      </c>
    </row>
    <row r="138" spans="1:13" x14ac:dyDescent="0.25">
      <c r="A138">
        <v>137</v>
      </c>
      <c r="B138" s="1">
        <v>42423</v>
      </c>
      <c r="C138" s="1">
        <v>42754</v>
      </c>
      <c r="D138" t="s">
        <v>23</v>
      </c>
      <c r="E138" t="s">
        <v>27</v>
      </c>
      <c r="F138" s="2">
        <v>113</v>
      </c>
      <c r="G138" t="s">
        <v>11</v>
      </c>
      <c r="H138" s="3">
        <v>26342.16</v>
      </c>
      <c r="I138" s="3">
        <v>722639</v>
      </c>
      <c r="J138" s="3">
        <v>578111.19999999995</v>
      </c>
      <c r="K138" s="3">
        <v>118185.64000000004</v>
      </c>
      <c r="L138" t="s">
        <v>15</v>
      </c>
      <c r="M138">
        <v>5</v>
      </c>
    </row>
    <row r="139" spans="1:13" x14ac:dyDescent="0.25">
      <c r="A139">
        <v>138</v>
      </c>
      <c r="B139" s="1">
        <v>42424</v>
      </c>
      <c r="C139" s="1">
        <v>42732</v>
      </c>
      <c r="D139" t="s">
        <v>23</v>
      </c>
      <c r="E139" t="s">
        <v>29</v>
      </c>
      <c r="F139" s="2">
        <v>85</v>
      </c>
      <c r="G139" t="s">
        <v>11</v>
      </c>
      <c r="H139" s="3">
        <v>26129.200000000001</v>
      </c>
      <c r="I139" s="3">
        <v>714965</v>
      </c>
      <c r="J139" s="3">
        <v>571972</v>
      </c>
      <c r="K139" s="3">
        <v>116863.8</v>
      </c>
      <c r="L139" t="s">
        <v>19</v>
      </c>
      <c r="M139">
        <v>3.8</v>
      </c>
    </row>
    <row r="140" spans="1:13" x14ac:dyDescent="0.25">
      <c r="A140">
        <v>139</v>
      </c>
      <c r="B140" s="1">
        <v>42426</v>
      </c>
      <c r="C140" s="1">
        <v>42635</v>
      </c>
      <c r="D140" t="s">
        <v>23</v>
      </c>
      <c r="E140" t="s">
        <v>13</v>
      </c>
      <c r="F140" s="2">
        <v>57</v>
      </c>
      <c r="G140" t="s">
        <v>11</v>
      </c>
      <c r="H140" s="3">
        <v>20568</v>
      </c>
      <c r="I140" s="3">
        <v>570410</v>
      </c>
      <c r="J140" s="3">
        <v>456328</v>
      </c>
      <c r="K140" s="3">
        <v>93514</v>
      </c>
      <c r="L140" t="s">
        <v>16</v>
      </c>
      <c r="M140">
        <v>3.8</v>
      </c>
    </row>
    <row r="141" spans="1:13" x14ac:dyDescent="0.25">
      <c r="A141">
        <v>140</v>
      </c>
      <c r="B141" s="1">
        <v>42426</v>
      </c>
      <c r="C141" s="1">
        <v>42523</v>
      </c>
      <c r="D141" t="s">
        <v>23</v>
      </c>
      <c r="E141" t="s">
        <v>26</v>
      </c>
      <c r="F141" s="2">
        <v>216</v>
      </c>
      <c r="G141" t="s">
        <v>12</v>
      </c>
      <c r="H141" s="3">
        <v>42099.360000000001</v>
      </c>
      <c r="I141" s="3">
        <v>1112519</v>
      </c>
      <c r="J141" s="3">
        <v>890015.2</v>
      </c>
      <c r="K141" s="3">
        <v>180404.44000000006</v>
      </c>
      <c r="L141" t="s">
        <v>18</v>
      </c>
      <c r="M141">
        <v>4.4000000000000004</v>
      </c>
    </row>
    <row r="142" spans="1:13" x14ac:dyDescent="0.25">
      <c r="A142">
        <v>141</v>
      </c>
      <c r="B142" s="1">
        <v>42427</v>
      </c>
      <c r="C142" s="1">
        <v>42735</v>
      </c>
      <c r="D142" t="s">
        <v>21</v>
      </c>
      <c r="E142" t="s">
        <v>29</v>
      </c>
      <c r="F142" s="2">
        <v>40</v>
      </c>
      <c r="G142" t="s">
        <v>11</v>
      </c>
      <c r="H142" s="3">
        <v>17521.080000000002</v>
      </c>
      <c r="I142" s="3">
        <v>491962</v>
      </c>
      <c r="J142" s="3">
        <v>393569.6</v>
      </c>
      <c r="K142" s="3">
        <v>80871.320000000022</v>
      </c>
      <c r="L142" t="s">
        <v>16</v>
      </c>
      <c r="M142">
        <v>3.9</v>
      </c>
    </row>
    <row r="143" spans="1:13" x14ac:dyDescent="0.25">
      <c r="A143">
        <v>142</v>
      </c>
      <c r="B143" s="1">
        <v>42427</v>
      </c>
      <c r="C143" s="1">
        <v>42636</v>
      </c>
      <c r="D143" t="s">
        <v>21</v>
      </c>
      <c r="E143" t="s">
        <v>29</v>
      </c>
      <c r="F143" s="2">
        <v>118</v>
      </c>
      <c r="G143" t="s">
        <v>12</v>
      </c>
      <c r="H143" s="3">
        <v>44538.239999999998</v>
      </c>
      <c r="I143" s="3">
        <v>1164641</v>
      </c>
      <c r="J143" s="3">
        <v>931712.8</v>
      </c>
      <c r="K143" s="3">
        <v>188389.95999999996</v>
      </c>
      <c r="L143" t="s">
        <v>15</v>
      </c>
      <c r="M143">
        <v>3.9</v>
      </c>
    </row>
    <row r="144" spans="1:13" x14ac:dyDescent="0.25">
      <c r="A144">
        <v>143</v>
      </c>
      <c r="B144" s="1">
        <v>42427</v>
      </c>
      <c r="C144" s="1">
        <v>42732</v>
      </c>
      <c r="D144" t="s">
        <v>20</v>
      </c>
      <c r="E144" t="s">
        <v>25</v>
      </c>
      <c r="F144" s="2">
        <v>128</v>
      </c>
      <c r="G144" t="s">
        <v>12</v>
      </c>
      <c r="H144" s="3">
        <v>51434.8</v>
      </c>
      <c r="I144" s="3">
        <v>1347005</v>
      </c>
      <c r="J144" s="3">
        <v>1077604</v>
      </c>
      <c r="K144" s="3">
        <v>217966.2</v>
      </c>
      <c r="L144" t="s">
        <v>18</v>
      </c>
      <c r="M144">
        <v>4.7</v>
      </c>
    </row>
    <row r="145" spans="1:13" x14ac:dyDescent="0.25">
      <c r="A145">
        <v>144</v>
      </c>
      <c r="B145" s="1">
        <v>42428</v>
      </c>
      <c r="C145" s="1">
        <v>42693</v>
      </c>
      <c r="D145" t="s">
        <v>23</v>
      </c>
      <c r="E145" t="s">
        <v>25</v>
      </c>
      <c r="F145" s="2">
        <v>117</v>
      </c>
      <c r="G145" t="s">
        <v>12</v>
      </c>
      <c r="H145" s="3">
        <v>30400.799999999999</v>
      </c>
      <c r="I145" s="3">
        <v>819355</v>
      </c>
      <c r="J145" s="3">
        <v>655484</v>
      </c>
      <c r="K145" s="3">
        <v>133470.20000000001</v>
      </c>
      <c r="L145" t="s">
        <v>15</v>
      </c>
      <c r="M145">
        <v>4.5</v>
      </c>
    </row>
    <row r="146" spans="1:13" x14ac:dyDescent="0.25">
      <c r="A146">
        <v>145</v>
      </c>
      <c r="B146" s="1">
        <v>42428</v>
      </c>
      <c r="C146" s="1">
        <v>42657</v>
      </c>
      <c r="D146" t="s">
        <v>22</v>
      </c>
      <c r="E146" t="s">
        <v>29</v>
      </c>
      <c r="F146" s="2">
        <v>44</v>
      </c>
      <c r="G146" t="s">
        <v>11</v>
      </c>
      <c r="H146" s="3">
        <v>11959</v>
      </c>
      <c r="I146" s="3">
        <v>352035</v>
      </c>
      <c r="J146" s="3">
        <v>281628</v>
      </c>
      <c r="K146" s="3">
        <v>58448</v>
      </c>
      <c r="L146" t="s">
        <v>15</v>
      </c>
      <c r="M146">
        <v>4.2</v>
      </c>
    </row>
    <row r="147" spans="1:13" x14ac:dyDescent="0.25">
      <c r="A147">
        <v>146</v>
      </c>
      <c r="B147" s="1">
        <v>42428</v>
      </c>
      <c r="C147" s="1">
        <v>42602</v>
      </c>
      <c r="D147" t="s">
        <v>23</v>
      </c>
      <c r="E147" t="s">
        <v>27</v>
      </c>
      <c r="F147" s="2">
        <v>268</v>
      </c>
      <c r="G147" t="s">
        <v>12</v>
      </c>
      <c r="H147" s="3">
        <v>79970.8</v>
      </c>
      <c r="I147" s="3">
        <v>2065455</v>
      </c>
      <c r="J147" s="3">
        <v>1652364</v>
      </c>
      <c r="K147" s="3">
        <v>333120.2</v>
      </c>
      <c r="L147" t="s">
        <v>19</v>
      </c>
      <c r="M147">
        <v>4.0999999999999996</v>
      </c>
    </row>
    <row r="148" spans="1:13" x14ac:dyDescent="0.25">
      <c r="A148">
        <v>147</v>
      </c>
      <c r="B148" s="1">
        <v>42428</v>
      </c>
      <c r="C148" s="1">
        <v>42518</v>
      </c>
      <c r="D148" t="s">
        <v>23</v>
      </c>
      <c r="E148" t="s">
        <v>25</v>
      </c>
      <c r="F148" s="2">
        <v>70</v>
      </c>
      <c r="G148" t="s">
        <v>11</v>
      </c>
      <c r="H148" s="3">
        <v>28631.52</v>
      </c>
      <c r="I148" s="3">
        <v>770873</v>
      </c>
      <c r="J148" s="3">
        <v>616698.4</v>
      </c>
      <c r="K148" s="3">
        <v>125543.07999999997</v>
      </c>
      <c r="L148" t="s">
        <v>16</v>
      </c>
      <c r="M148">
        <v>4.7</v>
      </c>
    </row>
    <row r="149" spans="1:13" x14ac:dyDescent="0.25">
      <c r="A149">
        <v>148</v>
      </c>
      <c r="B149" s="1">
        <v>42428</v>
      </c>
      <c r="C149" s="1">
        <v>42520</v>
      </c>
      <c r="D149" t="s">
        <v>23</v>
      </c>
      <c r="E149" t="s">
        <v>24</v>
      </c>
      <c r="F149" s="2">
        <v>105</v>
      </c>
      <c r="G149" t="s">
        <v>12</v>
      </c>
      <c r="H149" s="3">
        <v>30565.64</v>
      </c>
      <c r="I149" s="3">
        <v>815726</v>
      </c>
      <c r="J149" s="3">
        <v>652580.80000000005</v>
      </c>
      <c r="K149" s="3">
        <v>132579.55999999994</v>
      </c>
      <c r="L149" t="s">
        <v>18</v>
      </c>
      <c r="M149">
        <v>5</v>
      </c>
    </row>
    <row r="150" spans="1:13" x14ac:dyDescent="0.25">
      <c r="A150">
        <v>149</v>
      </c>
      <c r="B150" s="1">
        <v>42429</v>
      </c>
      <c r="C150" s="1">
        <v>42778</v>
      </c>
      <c r="D150" t="s">
        <v>21</v>
      </c>
      <c r="E150" t="s">
        <v>25</v>
      </c>
      <c r="F150" s="2">
        <v>244</v>
      </c>
      <c r="G150" t="s">
        <v>12</v>
      </c>
      <c r="H150" s="3">
        <v>58548.24</v>
      </c>
      <c r="I150" s="3">
        <v>1528991</v>
      </c>
      <c r="J150" s="3">
        <v>1223192.8</v>
      </c>
      <c r="K150" s="3">
        <v>247249.95999999996</v>
      </c>
      <c r="L150" t="s">
        <v>19</v>
      </c>
      <c r="M150">
        <v>4.7</v>
      </c>
    </row>
    <row r="151" spans="1:13" x14ac:dyDescent="0.25">
      <c r="A151">
        <v>150</v>
      </c>
      <c r="B151" s="1">
        <v>42430</v>
      </c>
      <c r="C151" s="1">
        <v>42723</v>
      </c>
      <c r="D151" t="s">
        <v>22</v>
      </c>
      <c r="E151" t="s">
        <v>24</v>
      </c>
      <c r="F151" s="2">
        <v>208</v>
      </c>
      <c r="G151" t="s">
        <v>12</v>
      </c>
      <c r="H151" s="3">
        <v>71234.64</v>
      </c>
      <c r="I151" s="3">
        <v>1837001</v>
      </c>
      <c r="J151" s="3">
        <v>1469600.8</v>
      </c>
      <c r="K151" s="3">
        <v>296165.55999999994</v>
      </c>
      <c r="L151" t="s">
        <v>17</v>
      </c>
      <c r="M151">
        <v>4.8</v>
      </c>
    </row>
    <row r="152" spans="1:13" x14ac:dyDescent="0.25">
      <c r="A152">
        <v>151</v>
      </c>
      <c r="B152" s="1">
        <v>42430</v>
      </c>
      <c r="C152" s="1">
        <v>42645</v>
      </c>
      <c r="D152" t="s">
        <v>21</v>
      </c>
      <c r="E152" t="s">
        <v>24</v>
      </c>
      <c r="F152" s="2">
        <v>122</v>
      </c>
      <c r="G152" t="s">
        <v>12</v>
      </c>
      <c r="H152" s="3">
        <v>49433.16</v>
      </c>
      <c r="I152" s="3">
        <v>1296389</v>
      </c>
      <c r="J152" s="3">
        <v>1037111.2</v>
      </c>
      <c r="K152" s="3">
        <v>209844.64000000004</v>
      </c>
      <c r="L152" t="s">
        <v>19</v>
      </c>
      <c r="M152">
        <v>4.4000000000000004</v>
      </c>
    </row>
    <row r="153" spans="1:13" x14ac:dyDescent="0.25">
      <c r="A153">
        <v>152</v>
      </c>
      <c r="B153" s="1">
        <v>42431</v>
      </c>
      <c r="C153" s="1">
        <v>42779</v>
      </c>
      <c r="D153" t="s">
        <v>22</v>
      </c>
      <c r="E153" t="s">
        <v>25</v>
      </c>
      <c r="F153" s="2">
        <v>168</v>
      </c>
      <c r="G153" t="s">
        <v>12</v>
      </c>
      <c r="H153" s="3">
        <v>41340.92</v>
      </c>
      <c r="I153" s="3">
        <v>1100133</v>
      </c>
      <c r="J153" s="3">
        <v>880106.4</v>
      </c>
      <c r="K153" s="3">
        <v>178685.68</v>
      </c>
      <c r="L153" t="s">
        <v>18</v>
      </c>
      <c r="M153">
        <v>4.8</v>
      </c>
    </row>
    <row r="154" spans="1:13" x14ac:dyDescent="0.25">
      <c r="A154">
        <v>153</v>
      </c>
      <c r="B154" s="1">
        <v>42431</v>
      </c>
      <c r="C154" s="1">
        <v>42564</v>
      </c>
      <c r="D154" t="s">
        <v>22</v>
      </c>
      <c r="E154" t="s">
        <v>29</v>
      </c>
      <c r="F154" s="2">
        <v>64</v>
      </c>
      <c r="G154" t="s">
        <v>11</v>
      </c>
      <c r="H154" s="3">
        <v>16415.240000000002</v>
      </c>
      <c r="I154" s="3">
        <v>471141</v>
      </c>
      <c r="J154" s="3">
        <v>376912.8</v>
      </c>
      <c r="K154" s="3">
        <v>77812.960000000006</v>
      </c>
      <c r="L154" t="s">
        <v>18</v>
      </c>
      <c r="M154">
        <v>4.2</v>
      </c>
    </row>
    <row r="155" spans="1:13" x14ac:dyDescent="0.25">
      <c r="A155">
        <v>154</v>
      </c>
      <c r="B155" s="1">
        <v>42431</v>
      </c>
      <c r="C155" s="1">
        <v>42616</v>
      </c>
      <c r="D155" t="s">
        <v>22</v>
      </c>
      <c r="E155" t="s">
        <v>26</v>
      </c>
      <c r="F155" s="2">
        <v>48</v>
      </c>
      <c r="G155" t="s">
        <v>11</v>
      </c>
      <c r="H155" s="3">
        <v>19244.96</v>
      </c>
      <c r="I155" s="3">
        <v>545409</v>
      </c>
      <c r="J155" s="3">
        <v>436327.2</v>
      </c>
      <c r="K155" s="3">
        <v>89836.84</v>
      </c>
      <c r="L155" t="s">
        <v>15</v>
      </c>
      <c r="M155">
        <v>4.5999999999999996</v>
      </c>
    </row>
    <row r="156" spans="1:13" x14ac:dyDescent="0.25">
      <c r="A156">
        <v>155</v>
      </c>
      <c r="B156" s="1">
        <v>42432</v>
      </c>
      <c r="C156" s="1">
        <v>42645</v>
      </c>
      <c r="D156" t="s">
        <v>22</v>
      </c>
      <c r="E156" t="s">
        <v>28</v>
      </c>
      <c r="F156" s="2">
        <v>182</v>
      </c>
      <c r="G156" t="s">
        <v>12</v>
      </c>
      <c r="H156" s="3">
        <v>55185.8</v>
      </c>
      <c r="I156" s="3">
        <v>1440080</v>
      </c>
      <c r="J156" s="3">
        <v>1152064</v>
      </c>
      <c r="K156" s="3">
        <v>232830.2</v>
      </c>
      <c r="L156" t="s">
        <v>15</v>
      </c>
      <c r="M156">
        <v>4.5999999999999996</v>
      </c>
    </row>
    <row r="157" spans="1:13" x14ac:dyDescent="0.25">
      <c r="A157">
        <v>156</v>
      </c>
      <c r="B157" s="1">
        <v>42432</v>
      </c>
      <c r="C157" s="1">
        <v>42552</v>
      </c>
      <c r="D157" t="s">
        <v>20</v>
      </c>
      <c r="E157" t="s">
        <v>27</v>
      </c>
      <c r="F157" s="2">
        <v>281</v>
      </c>
      <c r="G157" t="s">
        <v>12</v>
      </c>
      <c r="H157" s="3">
        <v>61773.279999999999</v>
      </c>
      <c r="I157" s="3">
        <v>1597917</v>
      </c>
      <c r="J157" s="3">
        <v>1278333.6000000001</v>
      </c>
      <c r="K157" s="3">
        <v>257810.11999999991</v>
      </c>
      <c r="L157" t="s">
        <v>15</v>
      </c>
      <c r="M157">
        <v>4.2</v>
      </c>
    </row>
    <row r="158" spans="1:13" x14ac:dyDescent="0.25">
      <c r="A158">
        <v>157</v>
      </c>
      <c r="B158" s="1">
        <v>42432</v>
      </c>
      <c r="C158" s="1">
        <v>42645</v>
      </c>
      <c r="D158" t="s">
        <v>21</v>
      </c>
      <c r="E158" t="s">
        <v>27</v>
      </c>
      <c r="F158" s="2">
        <v>197</v>
      </c>
      <c r="G158" t="s">
        <v>12</v>
      </c>
      <c r="H158" s="3">
        <v>74470.28</v>
      </c>
      <c r="I158" s="3">
        <v>1928417</v>
      </c>
      <c r="J158" s="3">
        <v>1542733.6</v>
      </c>
      <c r="K158" s="3">
        <v>311213.11999999988</v>
      </c>
      <c r="L158" t="s">
        <v>18</v>
      </c>
      <c r="M158">
        <v>4.5999999999999996</v>
      </c>
    </row>
    <row r="159" spans="1:13" x14ac:dyDescent="0.25">
      <c r="A159">
        <v>158</v>
      </c>
      <c r="B159" s="1">
        <v>42432</v>
      </c>
      <c r="C159" s="1">
        <v>42653</v>
      </c>
      <c r="D159" t="s">
        <v>22</v>
      </c>
      <c r="E159" t="s">
        <v>25</v>
      </c>
      <c r="F159" s="2">
        <v>97</v>
      </c>
      <c r="G159" t="s">
        <v>11</v>
      </c>
      <c r="H159" s="3">
        <v>28173</v>
      </c>
      <c r="I159" s="3">
        <v>768185</v>
      </c>
      <c r="J159" s="3">
        <v>614548</v>
      </c>
      <c r="K159" s="3">
        <v>125464</v>
      </c>
      <c r="L159" t="s">
        <v>19</v>
      </c>
      <c r="M159">
        <v>4.7</v>
      </c>
    </row>
    <row r="160" spans="1:13" x14ac:dyDescent="0.25">
      <c r="A160">
        <v>159</v>
      </c>
      <c r="B160" s="1">
        <v>42433</v>
      </c>
      <c r="C160" s="1">
        <v>42583</v>
      </c>
      <c r="D160" t="s">
        <v>21</v>
      </c>
      <c r="E160" t="s">
        <v>13</v>
      </c>
      <c r="F160" s="2">
        <v>99</v>
      </c>
      <c r="G160" t="s">
        <v>11</v>
      </c>
      <c r="H160" s="3">
        <v>21833.119999999999</v>
      </c>
      <c r="I160" s="3">
        <v>599663</v>
      </c>
      <c r="J160" s="3">
        <v>479730.4</v>
      </c>
      <c r="K160" s="3">
        <v>98099.479999999981</v>
      </c>
      <c r="L160" t="s">
        <v>15</v>
      </c>
      <c r="M160">
        <v>3.7</v>
      </c>
    </row>
    <row r="161" spans="1:13" x14ac:dyDescent="0.25">
      <c r="A161">
        <v>160</v>
      </c>
      <c r="B161" s="1">
        <v>42433</v>
      </c>
      <c r="C161" s="1">
        <v>42574</v>
      </c>
      <c r="D161" t="s">
        <v>22</v>
      </c>
      <c r="E161" t="s">
        <v>28</v>
      </c>
      <c r="F161" s="2">
        <v>207</v>
      </c>
      <c r="G161" t="s">
        <v>12</v>
      </c>
      <c r="H161" s="3">
        <v>34131.120000000003</v>
      </c>
      <c r="I161" s="3">
        <v>911713</v>
      </c>
      <c r="J161" s="3">
        <v>729370.4</v>
      </c>
      <c r="K161" s="3">
        <v>148211.47999999998</v>
      </c>
      <c r="L161" t="s">
        <v>18</v>
      </c>
      <c r="M161">
        <v>3.7</v>
      </c>
    </row>
    <row r="162" spans="1:13" x14ac:dyDescent="0.25">
      <c r="A162">
        <v>161</v>
      </c>
      <c r="B162" s="1">
        <v>42433</v>
      </c>
      <c r="C162" s="1">
        <v>42580</v>
      </c>
      <c r="D162" t="s">
        <v>20</v>
      </c>
      <c r="E162" t="s">
        <v>28</v>
      </c>
      <c r="F162" s="2">
        <v>158</v>
      </c>
      <c r="G162" t="s">
        <v>12</v>
      </c>
      <c r="H162" s="3">
        <v>51576.2</v>
      </c>
      <c r="I162" s="3">
        <v>1341965</v>
      </c>
      <c r="J162" s="3">
        <v>1073572</v>
      </c>
      <c r="K162" s="3">
        <v>216816.8</v>
      </c>
      <c r="L162" t="s">
        <v>17</v>
      </c>
      <c r="M162">
        <v>4.2</v>
      </c>
    </row>
    <row r="163" spans="1:13" x14ac:dyDescent="0.25">
      <c r="A163">
        <v>162</v>
      </c>
      <c r="B163" s="1">
        <v>42434</v>
      </c>
      <c r="C163" s="1">
        <v>42598</v>
      </c>
      <c r="D163" t="s">
        <v>22</v>
      </c>
      <c r="E163" t="s">
        <v>25</v>
      </c>
      <c r="F163" s="2">
        <v>245</v>
      </c>
      <c r="G163" t="s">
        <v>12</v>
      </c>
      <c r="H163" s="3">
        <v>53298</v>
      </c>
      <c r="I163" s="3">
        <v>1398160</v>
      </c>
      <c r="J163" s="3">
        <v>1118528</v>
      </c>
      <c r="K163" s="3">
        <v>226334</v>
      </c>
      <c r="L163" t="s">
        <v>17</v>
      </c>
      <c r="M163">
        <v>4</v>
      </c>
    </row>
    <row r="164" spans="1:13" x14ac:dyDescent="0.25">
      <c r="A164">
        <v>163</v>
      </c>
      <c r="B164" s="1">
        <v>42434</v>
      </c>
      <c r="C164" s="1">
        <v>42697</v>
      </c>
      <c r="D164" t="s">
        <v>20</v>
      </c>
      <c r="E164" t="s">
        <v>24</v>
      </c>
      <c r="F164" s="2">
        <v>259</v>
      </c>
      <c r="G164" t="s">
        <v>12</v>
      </c>
      <c r="H164" s="3">
        <v>45682.6</v>
      </c>
      <c r="I164" s="3">
        <v>1197575</v>
      </c>
      <c r="J164" s="3">
        <v>958060</v>
      </c>
      <c r="K164" s="3">
        <v>193832.4</v>
      </c>
      <c r="L164" t="s">
        <v>14</v>
      </c>
      <c r="M164">
        <v>4.9000000000000004</v>
      </c>
    </row>
    <row r="165" spans="1:13" x14ac:dyDescent="0.25">
      <c r="A165">
        <v>164</v>
      </c>
      <c r="B165" s="1">
        <v>42434</v>
      </c>
      <c r="C165" s="1">
        <v>42626</v>
      </c>
      <c r="D165" t="s">
        <v>21</v>
      </c>
      <c r="E165" t="s">
        <v>13</v>
      </c>
      <c r="F165" s="2">
        <v>280</v>
      </c>
      <c r="G165" t="s">
        <v>12</v>
      </c>
      <c r="H165" s="3">
        <v>55167.24</v>
      </c>
      <c r="I165" s="3">
        <v>1432166</v>
      </c>
      <c r="J165" s="3">
        <v>1145732.8</v>
      </c>
      <c r="K165" s="3">
        <v>231265.95999999996</v>
      </c>
      <c r="L165" t="s">
        <v>14</v>
      </c>
      <c r="M165">
        <v>4.8</v>
      </c>
    </row>
    <row r="166" spans="1:13" x14ac:dyDescent="0.25">
      <c r="A166">
        <v>165</v>
      </c>
      <c r="B166" s="1">
        <v>42434</v>
      </c>
      <c r="C166" s="1">
        <v>42654</v>
      </c>
      <c r="D166" t="s">
        <v>22</v>
      </c>
      <c r="E166" t="s">
        <v>24</v>
      </c>
      <c r="F166" s="2">
        <v>97</v>
      </c>
      <c r="G166" t="s">
        <v>12</v>
      </c>
      <c r="H166" s="3">
        <v>39055.160000000003</v>
      </c>
      <c r="I166" s="3">
        <v>1037589</v>
      </c>
      <c r="J166" s="3">
        <v>830071.2</v>
      </c>
      <c r="K166" s="3">
        <v>168462.64000000004</v>
      </c>
      <c r="L166" t="s">
        <v>19</v>
      </c>
      <c r="M166">
        <v>3.7</v>
      </c>
    </row>
    <row r="167" spans="1:13" x14ac:dyDescent="0.25">
      <c r="A167">
        <v>166</v>
      </c>
      <c r="B167" s="1">
        <v>42435</v>
      </c>
      <c r="C167" s="1">
        <v>42580</v>
      </c>
      <c r="D167" t="s">
        <v>22</v>
      </c>
      <c r="E167" t="s">
        <v>29</v>
      </c>
      <c r="F167" s="2">
        <v>247</v>
      </c>
      <c r="G167" t="s">
        <v>12</v>
      </c>
      <c r="H167" s="3">
        <v>90162</v>
      </c>
      <c r="I167" s="3">
        <v>2311985</v>
      </c>
      <c r="J167" s="3">
        <v>1849588</v>
      </c>
      <c r="K167" s="3">
        <v>372235</v>
      </c>
      <c r="L167" t="s">
        <v>19</v>
      </c>
      <c r="M167">
        <v>4.8</v>
      </c>
    </row>
    <row r="168" spans="1:13" x14ac:dyDescent="0.25">
      <c r="A168">
        <v>167</v>
      </c>
      <c r="B168" s="1">
        <v>42435</v>
      </c>
      <c r="C168" s="1">
        <v>42749</v>
      </c>
      <c r="D168" t="s">
        <v>23</v>
      </c>
      <c r="E168" t="s">
        <v>29</v>
      </c>
      <c r="F168" s="2">
        <v>165</v>
      </c>
      <c r="G168" t="s">
        <v>12</v>
      </c>
      <c r="H168" s="3">
        <v>53933.36</v>
      </c>
      <c r="I168" s="3">
        <v>1407244</v>
      </c>
      <c r="J168" s="3">
        <v>1125795.2</v>
      </c>
      <c r="K168" s="3">
        <v>227515.44000000006</v>
      </c>
      <c r="L168" t="s">
        <v>19</v>
      </c>
      <c r="M168">
        <v>4</v>
      </c>
    </row>
    <row r="169" spans="1:13" x14ac:dyDescent="0.25">
      <c r="A169">
        <v>168</v>
      </c>
      <c r="B169" s="1">
        <v>42435</v>
      </c>
      <c r="C169" s="1">
        <v>42658</v>
      </c>
      <c r="D169" t="s">
        <v>20</v>
      </c>
      <c r="E169" t="s">
        <v>28</v>
      </c>
      <c r="F169" s="2">
        <v>218</v>
      </c>
      <c r="G169" t="s">
        <v>12</v>
      </c>
      <c r="H169" s="3">
        <v>72895.399999999994</v>
      </c>
      <c r="I169" s="3">
        <v>1878520</v>
      </c>
      <c r="J169" s="3">
        <v>1502816</v>
      </c>
      <c r="K169" s="3">
        <v>302808.59999999998</v>
      </c>
      <c r="L169" t="s">
        <v>16</v>
      </c>
      <c r="M169">
        <v>4.3</v>
      </c>
    </row>
    <row r="170" spans="1:13" x14ac:dyDescent="0.25">
      <c r="A170">
        <v>169</v>
      </c>
      <c r="B170" s="1">
        <v>42436</v>
      </c>
      <c r="C170" s="1">
        <v>42565</v>
      </c>
      <c r="D170" t="s">
        <v>22</v>
      </c>
      <c r="E170" t="s">
        <v>27</v>
      </c>
      <c r="F170" s="2">
        <v>283</v>
      </c>
      <c r="G170" t="s">
        <v>12</v>
      </c>
      <c r="H170" s="3">
        <v>82592.12</v>
      </c>
      <c r="I170" s="3">
        <v>2116563</v>
      </c>
      <c r="J170" s="3">
        <v>1693250.4</v>
      </c>
      <c r="K170" s="3">
        <v>340720.4800000001</v>
      </c>
      <c r="L170" t="s">
        <v>17</v>
      </c>
      <c r="M170">
        <v>4.8</v>
      </c>
    </row>
    <row r="171" spans="1:13" x14ac:dyDescent="0.25">
      <c r="A171">
        <v>170</v>
      </c>
      <c r="B171" s="1">
        <v>42437</v>
      </c>
      <c r="C171" s="1">
        <v>42786</v>
      </c>
      <c r="D171" t="s">
        <v>23</v>
      </c>
      <c r="E171" t="s">
        <v>13</v>
      </c>
      <c r="F171" s="2">
        <v>67</v>
      </c>
      <c r="G171" t="s">
        <v>11</v>
      </c>
      <c r="H171" s="3">
        <v>23126.44</v>
      </c>
      <c r="I171" s="3">
        <v>633771</v>
      </c>
      <c r="J171" s="3">
        <v>507016.8</v>
      </c>
      <c r="K171" s="3">
        <v>103627.76000000001</v>
      </c>
      <c r="L171" t="s">
        <v>16</v>
      </c>
      <c r="M171">
        <v>4</v>
      </c>
    </row>
    <row r="172" spans="1:13" x14ac:dyDescent="0.25">
      <c r="A172">
        <v>171</v>
      </c>
      <c r="B172" s="1">
        <v>42437</v>
      </c>
      <c r="C172" s="1">
        <v>42687</v>
      </c>
      <c r="D172" t="s">
        <v>21</v>
      </c>
      <c r="E172" t="s">
        <v>24</v>
      </c>
      <c r="F172" s="2">
        <v>140</v>
      </c>
      <c r="G172" t="s">
        <v>12</v>
      </c>
      <c r="H172" s="3">
        <v>53713.599999999999</v>
      </c>
      <c r="I172" s="3">
        <v>1395125</v>
      </c>
      <c r="J172" s="3">
        <v>1116100</v>
      </c>
      <c r="K172" s="3">
        <v>225311.4</v>
      </c>
      <c r="L172" t="s">
        <v>16</v>
      </c>
      <c r="M172">
        <v>4.2</v>
      </c>
    </row>
    <row r="173" spans="1:13" x14ac:dyDescent="0.25">
      <c r="A173">
        <v>172</v>
      </c>
      <c r="B173" s="1">
        <v>42437</v>
      </c>
      <c r="C173" s="1">
        <v>42662</v>
      </c>
      <c r="D173" t="s">
        <v>21</v>
      </c>
      <c r="E173" t="s">
        <v>29</v>
      </c>
      <c r="F173" s="2">
        <v>104</v>
      </c>
      <c r="G173" t="s">
        <v>11</v>
      </c>
      <c r="H173" s="3">
        <v>21682.080000000002</v>
      </c>
      <c r="I173" s="3">
        <v>594737</v>
      </c>
      <c r="J173" s="3">
        <v>475789.6</v>
      </c>
      <c r="K173" s="3">
        <v>97265.320000000022</v>
      </c>
      <c r="L173" t="s">
        <v>18</v>
      </c>
      <c r="M173">
        <v>5</v>
      </c>
    </row>
    <row r="174" spans="1:13" x14ac:dyDescent="0.25">
      <c r="A174">
        <v>173</v>
      </c>
      <c r="B174" s="1">
        <v>42438</v>
      </c>
      <c r="C174" s="1">
        <v>42802</v>
      </c>
      <c r="D174" t="s">
        <v>20</v>
      </c>
      <c r="E174" t="s">
        <v>29</v>
      </c>
      <c r="F174" s="2">
        <v>265</v>
      </c>
      <c r="G174" t="s">
        <v>12</v>
      </c>
      <c r="H174" s="3">
        <v>95282.04</v>
      </c>
      <c r="I174" s="3">
        <v>2436961</v>
      </c>
      <c r="J174" s="3">
        <v>1949568.8</v>
      </c>
      <c r="K174" s="3">
        <v>392110.16</v>
      </c>
      <c r="L174" t="s">
        <v>16</v>
      </c>
      <c r="M174">
        <v>4.2</v>
      </c>
    </row>
    <row r="175" spans="1:13" x14ac:dyDescent="0.25">
      <c r="A175">
        <v>174</v>
      </c>
      <c r="B175" s="1">
        <v>42438</v>
      </c>
      <c r="C175" s="1">
        <v>42607</v>
      </c>
      <c r="D175" t="s">
        <v>22</v>
      </c>
      <c r="E175" t="s">
        <v>24</v>
      </c>
      <c r="F175" s="2">
        <v>137</v>
      </c>
      <c r="G175" t="s">
        <v>12</v>
      </c>
      <c r="H175" s="3">
        <v>44191.64</v>
      </c>
      <c r="I175" s="3">
        <v>1167901</v>
      </c>
      <c r="J175" s="3">
        <v>934320.8</v>
      </c>
      <c r="K175" s="3">
        <v>189388.55999999994</v>
      </c>
      <c r="L175" t="s">
        <v>16</v>
      </c>
      <c r="M175">
        <v>4.9000000000000004</v>
      </c>
    </row>
    <row r="176" spans="1:13" x14ac:dyDescent="0.25">
      <c r="A176">
        <v>175</v>
      </c>
      <c r="B176" s="1">
        <v>42439</v>
      </c>
      <c r="C176" s="1">
        <v>42607</v>
      </c>
      <c r="D176" t="s">
        <v>22</v>
      </c>
      <c r="E176" t="s">
        <v>25</v>
      </c>
      <c r="F176" s="2">
        <v>49</v>
      </c>
      <c r="G176" t="s">
        <v>11</v>
      </c>
      <c r="H176" s="3">
        <v>16023.44</v>
      </c>
      <c r="I176" s="3">
        <v>453421</v>
      </c>
      <c r="J176" s="3">
        <v>362736.8</v>
      </c>
      <c r="K176" s="3">
        <v>74660.760000000009</v>
      </c>
      <c r="L176" t="s">
        <v>14</v>
      </c>
      <c r="M176">
        <v>4.5</v>
      </c>
    </row>
    <row r="177" spans="1:13" x14ac:dyDescent="0.25">
      <c r="A177">
        <v>176</v>
      </c>
      <c r="B177" s="1">
        <v>42439</v>
      </c>
      <c r="C177" s="1">
        <v>42612</v>
      </c>
      <c r="D177" t="s">
        <v>23</v>
      </c>
      <c r="E177" t="s">
        <v>24</v>
      </c>
      <c r="F177" s="2">
        <v>190</v>
      </c>
      <c r="G177" t="s">
        <v>12</v>
      </c>
      <c r="H177" s="3">
        <v>65677.399999999994</v>
      </c>
      <c r="I177" s="3">
        <v>1695320</v>
      </c>
      <c r="J177" s="3">
        <v>1356256</v>
      </c>
      <c r="K177" s="3">
        <v>273386.59999999998</v>
      </c>
      <c r="L177" t="s">
        <v>17</v>
      </c>
      <c r="M177">
        <v>4.7</v>
      </c>
    </row>
    <row r="178" spans="1:13" x14ac:dyDescent="0.25">
      <c r="A178">
        <v>177</v>
      </c>
      <c r="B178" s="1">
        <v>42440</v>
      </c>
      <c r="C178" s="1">
        <v>42614</v>
      </c>
      <c r="D178" t="s">
        <v>23</v>
      </c>
      <c r="E178" t="s">
        <v>28</v>
      </c>
      <c r="F178" s="2">
        <v>145</v>
      </c>
      <c r="G178" t="s">
        <v>12</v>
      </c>
      <c r="H178" s="3">
        <v>56013.48</v>
      </c>
      <c r="I178" s="3">
        <v>1467497</v>
      </c>
      <c r="J178" s="3">
        <v>1173997.6000000001</v>
      </c>
      <c r="K178" s="3">
        <v>237485.9199999999</v>
      </c>
      <c r="L178" t="s">
        <v>17</v>
      </c>
      <c r="M178">
        <v>4.5</v>
      </c>
    </row>
    <row r="179" spans="1:13" x14ac:dyDescent="0.25">
      <c r="A179">
        <v>178</v>
      </c>
      <c r="B179" s="1">
        <v>42440</v>
      </c>
      <c r="C179" s="1">
        <v>42669</v>
      </c>
      <c r="D179" t="s">
        <v>22</v>
      </c>
      <c r="E179" t="s">
        <v>27</v>
      </c>
      <c r="F179" s="2">
        <v>114</v>
      </c>
      <c r="G179" t="s">
        <v>11</v>
      </c>
      <c r="H179" s="3">
        <v>19508</v>
      </c>
      <c r="I179" s="3">
        <v>549785</v>
      </c>
      <c r="J179" s="3">
        <v>439828</v>
      </c>
      <c r="K179" s="3">
        <v>90449</v>
      </c>
      <c r="L179" t="s">
        <v>18</v>
      </c>
      <c r="M179">
        <v>3.7</v>
      </c>
    </row>
    <row r="180" spans="1:13" x14ac:dyDescent="0.25">
      <c r="A180">
        <v>179</v>
      </c>
      <c r="B180" s="1">
        <v>42441</v>
      </c>
      <c r="C180" s="1">
        <v>42793</v>
      </c>
      <c r="D180" t="s">
        <v>22</v>
      </c>
      <c r="E180" t="s">
        <v>25</v>
      </c>
      <c r="F180" s="2">
        <v>152</v>
      </c>
      <c r="G180" t="s">
        <v>12</v>
      </c>
      <c r="H180" s="3">
        <v>33050.120000000003</v>
      </c>
      <c r="I180" s="3">
        <v>884813</v>
      </c>
      <c r="J180" s="3">
        <v>707850.4</v>
      </c>
      <c r="K180" s="3">
        <v>143912.47999999998</v>
      </c>
      <c r="L180" t="s">
        <v>17</v>
      </c>
      <c r="M180">
        <v>4.0999999999999996</v>
      </c>
    </row>
    <row r="181" spans="1:13" x14ac:dyDescent="0.25">
      <c r="A181">
        <v>180</v>
      </c>
      <c r="B181" s="1">
        <v>42441</v>
      </c>
      <c r="C181" s="1">
        <v>42542</v>
      </c>
      <c r="D181" t="s">
        <v>23</v>
      </c>
      <c r="E181" t="s">
        <v>25</v>
      </c>
      <c r="F181" s="2">
        <v>195</v>
      </c>
      <c r="G181" t="s">
        <v>12</v>
      </c>
      <c r="H181" s="3">
        <v>73899.12</v>
      </c>
      <c r="I181" s="3">
        <v>1911413</v>
      </c>
      <c r="J181" s="3">
        <v>1529130.4</v>
      </c>
      <c r="K181" s="3">
        <v>308383.4800000001</v>
      </c>
      <c r="L181" t="s">
        <v>17</v>
      </c>
      <c r="M181">
        <v>3.6</v>
      </c>
    </row>
    <row r="182" spans="1:13" x14ac:dyDescent="0.25">
      <c r="A182">
        <v>181</v>
      </c>
      <c r="B182" s="1">
        <v>42441</v>
      </c>
      <c r="C182" s="1">
        <v>42593</v>
      </c>
      <c r="D182" t="s">
        <v>22</v>
      </c>
      <c r="E182" t="s">
        <v>13</v>
      </c>
      <c r="F182" s="2">
        <v>37</v>
      </c>
      <c r="G182" t="s">
        <v>11</v>
      </c>
      <c r="H182" s="3">
        <v>14011.36</v>
      </c>
      <c r="I182" s="3">
        <v>404069</v>
      </c>
      <c r="J182" s="3">
        <v>323255.2</v>
      </c>
      <c r="K182" s="3">
        <v>66802.439999999988</v>
      </c>
      <c r="L182" t="s">
        <v>16</v>
      </c>
      <c r="M182">
        <v>4.4000000000000004</v>
      </c>
    </row>
    <row r="183" spans="1:13" x14ac:dyDescent="0.25">
      <c r="A183">
        <v>182</v>
      </c>
      <c r="B183" s="1">
        <v>42442</v>
      </c>
      <c r="C183" s="1">
        <v>42607</v>
      </c>
      <c r="D183" t="s">
        <v>21</v>
      </c>
      <c r="E183" t="s">
        <v>29</v>
      </c>
      <c r="F183" s="2">
        <v>155</v>
      </c>
      <c r="G183" t="s">
        <v>12</v>
      </c>
      <c r="H183" s="3">
        <v>52205.16</v>
      </c>
      <c r="I183" s="3">
        <v>1359539</v>
      </c>
      <c r="J183" s="3">
        <v>1087631.2</v>
      </c>
      <c r="K183" s="3">
        <v>219702.64000000004</v>
      </c>
      <c r="L183" t="s">
        <v>16</v>
      </c>
      <c r="M183">
        <v>4.5999999999999996</v>
      </c>
    </row>
    <row r="184" spans="1:13" x14ac:dyDescent="0.25">
      <c r="A184">
        <v>183</v>
      </c>
      <c r="B184" s="1">
        <v>42443</v>
      </c>
      <c r="C184" s="1">
        <v>42615</v>
      </c>
      <c r="D184" t="s">
        <v>23</v>
      </c>
      <c r="E184" t="s">
        <v>28</v>
      </c>
      <c r="F184" s="2">
        <v>228</v>
      </c>
      <c r="G184" t="s">
        <v>12</v>
      </c>
      <c r="H184" s="3">
        <v>56772.88</v>
      </c>
      <c r="I184" s="3">
        <v>1483007</v>
      </c>
      <c r="J184" s="3">
        <v>1186405.6000000001</v>
      </c>
      <c r="K184" s="3">
        <v>239828.5199999999</v>
      </c>
      <c r="L184" t="s">
        <v>14</v>
      </c>
      <c r="M184">
        <v>5</v>
      </c>
    </row>
    <row r="185" spans="1:13" x14ac:dyDescent="0.25">
      <c r="A185">
        <v>184</v>
      </c>
      <c r="B185" s="1">
        <v>42443</v>
      </c>
      <c r="C185" s="1">
        <v>42667</v>
      </c>
      <c r="D185" t="s">
        <v>20</v>
      </c>
      <c r="E185" t="s">
        <v>25</v>
      </c>
      <c r="F185" s="2">
        <v>268</v>
      </c>
      <c r="G185" t="s">
        <v>12</v>
      </c>
      <c r="H185" s="3">
        <v>57182.68</v>
      </c>
      <c r="I185" s="3">
        <v>1484477</v>
      </c>
      <c r="J185" s="3">
        <v>1187581.6000000001</v>
      </c>
      <c r="K185" s="3">
        <v>239712.71999999991</v>
      </c>
      <c r="L185" t="s">
        <v>15</v>
      </c>
      <c r="M185">
        <v>5</v>
      </c>
    </row>
    <row r="186" spans="1:13" x14ac:dyDescent="0.25">
      <c r="A186">
        <v>185</v>
      </c>
      <c r="B186" s="1">
        <v>42444</v>
      </c>
      <c r="C186" s="1">
        <v>42609</v>
      </c>
      <c r="D186" t="s">
        <v>22</v>
      </c>
      <c r="E186" t="s">
        <v>13</v>
      </c>
      <c r="F186" s="2">
        <v>262</v>
      </c>
      <c r="G186" t="s">
        <v>12</v>
      </c>
      <c r="H186" s="3">
        <v>83708.2</v>
      </c>
      <c r="I186" s="3">
        <v>2146415</v>
      </c>
      <c r="J186" s="3">
        <v>1717132</v>
      </c>
      <c r="K186" s="3">
        <v>345574.8</v>
      </c>
      <c r="L186" t="s">
        <v>18</v>
      </c>
      <c r="M186">
        <v>4.5</v>
      </c>
    </row>
    <row r="187" spans="1:13" x14ac:dyDescent="0.25">
      <c r="A187">
        <v>186</v>
      </c>
      <c r="B187" s="1">
        <v>42445</v>
      </c>
      <c r="C187" s="1">
        <v>42666</v>
      </c>
      <c r="D187" t="s">
        <v>20</v>
      </c>
      <c r="E187" t="s">
        <v>26</v>
      </c>
      <c r="F187" s="2">
        <v>81</v>
      </c>
      <c r="G187" t="s">
        <v>12</v>
      </c>
      <c r="H187" s="3">
        <v>29990.720000000001</v>
      </c>
      <c r="I187" s="3">
        <v>816353</v>
      </c>
      <c r="J187" s="3">
        <v>653082.4</v>
      </c>
      <c r="K187" s="3">
        <v>133279.87999999998</v>
      </c>
      <c r="L187" t="s">
        <v>17</v>
      </c>
      <c r="M187">
        <v>4.5999999999999996</v>
      </c>
    </row>
    <row r="188" spans="1:13" x14ac:dyDescent="0.25">
      <c r="A188">
        <v>187</v>
      </c>
      <c r="B188" s="1">
        <v>42445</v>
      </c>
      <c r="C188" s="1">
        <v>42714</v>
      </c>
      <c r="D188" t="s">
        <v>22</v>
      </c>
      <c r="E188" t="s">
        <v>13</v>
      </c>
      <c r="F188" s="2">
        <v>88</v>
      </c>
      <c r="G188" t="s">
        <v>12</v>
      </c>
      <c r="H188" s="3">
        <v>36053.199999999997</v>
      </c>
      <c r="I188" s="3">
        <v>955515</v>
      </c>
      <c r="J188" s="3">
        <v>764412</v>
      </c>
      <c r="K188" s="3">
        <v>155049.79999999999</v>
      </c>
      <c r="L188" t="s">
        <v>18</v>
      </c>
      <c r="M188">
        <v>3.7</v>
      </c>
    </row>
    <row r="189" spans="1:13" x14ac:dyDescent="0.25">
      <c r="A189">
        <v>188</v>
      </c>
      <c r="B189" s="1">
        <v>42445</v>
      </c>
      <c r="C189" s="1">
        <v>42774</v>
      </c>
      <c r="D189" t="s">
        <v>20</v>
      </c>
      <c r="E189" t="s">
        <v>24</v>
      </c>
      <c r="F189" s="2">
        <v>56</v>
      </c>
      <c r="G189" t="s">
        <v>11</v>
      </c>
      <c r="H189" s="3">
        <v>20284.560000000001</v>
      </c>
      <c r="I189" s="3">
        <v>573749</v>
      </c>
      <c r="J189" s="3">
        <v>458999.2</v>
      </c>
      <c r="K189" s="3">
        <v>94465.239999999991</v>
      </c>
      <c r="L189" t="s">
        <v>14</v>
      </c>
      <c r="M189">
        <v>4</v>
      </c>
    </row>
    <row r="190" spans="1:13" x14ac:dyDescent="0.25">
      <c r="A190">
        <v>189</v>
      </c>
      <c r="B190" s="1">
        <v>42446</v>
      </c>
      <c r="C190" s="1">
        <v>42668</v>
      </c>
      <c r="D190" t="s">
        <v>21</v>
      </c>
      <c r="E190" t="s">
        <v>27</v>
      </c>
      <c r="F190" s="2">
        <v>157</v>
      </c>
      <c r="G190" t="s">
        <v>12</v>
      </c>
      <c r="H190" s="3">
        <v>49724</v>
      </c>
      <c r="I190" s="3">
        <v>1298085</v>
      </c>
      <c r="J190" s="3">
        <v>1038468</v>
      </c>
      <c r="K190" s="3">
        <v>209893</v>
      </c>
      <c r="L190" t="s">
        <v>17</v>
      </c>
      <c r="M190">
        <v>4.2</v>
      </c>
    </row>
    <row r="191" spans="1:13" x14ac:dyDescent="0.25">
      <c r="A191">
        <v>190</v>
      </c>
      <c r="B191" s="1">
        <v>42446</v>
      </c>
      <c r="C191" s="1">
        <v>42668</v>
      </c>
      <c r="D191" t="s">
        <v>21</v>
      </c>
      <c r="E191" t="s">
        <v>13</v>
      </c>
      <c r="F191" s="2">
        <v>92</v>
      </c>
      <c r="G191" t="s">
        <v>11</v>
      </c>
      <c r="H191" s="3">
        <v>16877.400000000001</v>
      </c>
      <c r="I191" s="3">
        <v>484695</v>
      </c>
      <c r="J191" s="3">
        <v>387756</v>
      </c>
      <c r="K191" s="3">
        <v>80061.600000000006</v>
      </c>
      <c r="L191" t="s">
        <v>15</v>
      </c>
      <c r="M191">
        <v>4.5</v>
      </c>
    </row>
    <row r="192" spans="1:13" x14ac:dyDescent="0.25">
      <c r="A192">
        <v>191</v>
      </c>
      <c r="B192" s="1">
        <v>42447</v>
      </c>
      <c r="C192" s="1">
        <v>42574</v>
      </c>
      <c r="D192" t="s">
        <v>23</v>
      </c>
      <c r="E192" t="s">
        <v>27</v>
      </c>
      <c r="F192" s="2">
        <v>64</v>
      </c>
      <c r="G192" t="s">
        <v>11</v>
      </c>
      <c r="H192" s="3">
        <v>16313</v>
      </c>
      <c r="I192" s="3">
        <v>467810</v>
      </c>
      <c r="J192" s="3">
        <v>374248</v>
      </c>
      <c r="K192" s="3">
        <v>77249</v>
      </c>
      <c r="L192" t="s">
        <v>14</v>
      </c>
      <c r="M192">
        <v>5</v>
      </c>
    </row>
    <row r="193" spans="1:13" x14ac:dyDescent="0.25">
      <c r="A193">
        <v>192</v>
      </c>
      <c r="B193" s="1">
        <v>42447</v>
      </c>
      <c r="C193" s="1">
        <v>42803</v>
      </c>
      <c r="D193" t="s">
        <v>20</v>
      </c>
      <c r="E193" t="s">
        <v>26</v>
      </c>
      <c r="F193" s="2">
        <v>50</v>
      </c>
      <c r="G193" t="s">
        <v>11</v>
      </c>
      <c r="H193" s="3">
        <v>21216.639999999999</v>
      </c>
      <c r="I193" s="3">
        <v>590101</v>
      </c>
      <c r="J193" s="3">
        <v>472080.8</v>
      </c>
      <c r="K193" s="3">
        <v>96803.560000000012</v>
      </c>
      <c r="L193" t="s">
        <v>15</v>
      </c>
      <c r="M193">
        <v>4.4000000000000004</v>
      </c>
    </row>
    <row r="194" spans="1:13" x14ac:dyDescent="0.25">
      <c r="A194">
        <v>193</v>
      </c>
      <c r="B194" s="1">
        <v>42447</v>
      </c>
      <c r="C194" s="1">
        <v>42650</v>
      </c>
      <c r="D194" t="s">
        <v>21</v>
      </c>
      <c r="E194" t="s">
        <v>26</v>
      </c>
      <c r="F194" s="2">
        <v>52</v>
      </c>
      <c r="G194" t="s">
        <v>11</v>
      </c>
      <c r="H194" s="3">
        <v>17442.04</v>
      </c>
      <c r="I194" s="3">
        <v>490136</v>
      </c>
      <c r="J194" s="3">
        <v>392108.79999999999</v>
      </c>
      <c r="K194" s="3">
        <v>80585.16</v>
      </c>
      <c r="L194" t="s">
        <v>18</v>
      </c>
      <c r="M194">
        <v>4.4000000000000004</v>
      </c>
    </row>
    <row r="195" spans="1:13" x14ac:dyDescent="0.25">
      <c r="A195">
        <v>194</v>
      </c>
      <c r="B195" s="1">
        <v>42448</v>
      </c>
      <c r="C195" s="1">
        <v>42627</v>
      </c>
      <c r="D195" t="s">
        <v>23</v>
      </c>
      <c r="E195" t="s">
        <v>27</v>
      </c>
      <c r="F195" s="2">
        <v>111</v>
      </c>
      <c r="G195" t="s">
        <v>12</v>
      </c>
      <c r="H195" s="3">
        <v>38886.800000000003</v>
      </c>
      <c r="I195" s="3">
        <v>1023380</v>
      </c>
      <c r="J195" s="3">
        <v>818704</v>
      </c>
      <c r="K195" s="3">
        <v>165789.20000000001</v>
      </c>
      <c r="L195" t="s">
        <v>15</v>
      </c>
      <c r="M195">
        <v>5</v>
      </c>
    </row>
    <row r="196" spans="1:13" x14ac:dyDescent="0.25">
      <c r="A196">
        <v>195</v>
      </c>
      <c r="B196" s="1">
        <v>42448</v>
      </c>
      <c r="C196" s="1">
        <v>42572</v>
      </c>
      <c r="D196" t="s">
        <v>20</v>
      </c>
      <c r="E196" t="s">
        <v>24</v>
      </c>
      <c r="F196" s="2">
        <v>58</v>
      </c>
      <c r="G196" t="s">
        <v>11</v>
      </c>
      <c r="H196" s="3">
        <v>8896.08</v>
      </c>
      <c r="I196" s="3">
        <v>287337</v>
      </c>
      <c r="J196" s="3">
        <v>229869.6</v>
      </c>
      <c r="K196" s="3">
        <v>48571.319999999992</v>
      </c>
      <c r="L196" t="s">
        <v>14</v>
      </c>
      <c r="M196">
        <v>4.9000000000000004</v>
      </c>
    </row>
    <row r="197" spans="1:13" x14ac:dyDescent="0.25">
      <c r="A197">
        <v>196</v>
      </c>
      <c r="B197" s="1">
        <v>42449</v>
      </c>
      <c r="C197" s="1">
        <v>42684</v>
      </c>
      <c r="D197" t="s">
        <v>23</v>
      </c>
      <c r="E197" t="s">
        <v>29</v>
      </c>
      <c r="F197" s="2">
        <v>278</v>
      </c>
      <c r="G197" t="s">
        <v>12</v>
      </c>
      <c r="H197" s="3">
        <v>52863.68</v>
      </c>
      <c r="I197" s="3">
        <v>1373202</v>
      </c>
      <c r="J197" s="3">
        <v>1098561.6000000001</v>
      </c>
      <c r="K197" s="3">
        <v>221776.71999999991</v>
      </c>
      <c r="L197" t="s">
        <v>14</v>
      </c>
      <c r="M197">
        <v>4.9000000000000004</v>
      </c>
    </row>
    <row r="198" spans="1:13" x14ac:dyDescent="0.25">
      <c r="A198">
        <v>197</v>
      </c>
      <c r="B198" s="1">
        <v>42449</v>
      </c>
      <c r="C198" s="1">
        <v>42748</v>
      </c>
      <c r="D198" t="s">
        <v>20</v>
      </c>
      <c r="E198" t="s">
        <v>28</v>
      </c>
      <c r="F198" s="2">
        <v>81</v>
      </c>
      <c r="G198" t="s">
        <v>11</v>
      </c>
      <c r="H198" s="3">
        <v>19989.52</v>
      </c>
      <c r="I198" s="3">
        <v>556223</v>
      </c>
      <c r="J198" s="3">
        <v>444978.4</v>
      </c>
      <c r="K198" s="3">
        <v>91255.079999999973</v>
      </c>
      <c r="L198" t="s">
        <v>14</v>
      </c>
      <c r="M198">
        <v>4</v>
      </c>
    </row>
    <row r="199" spans="1:13" x14ac:dyDescent="0.25">
      <c r="A199">
        <v>198</v>
      </c>
      <c r="B199" s="1">
        <v>42450</v>
      </c>
      <c r="C199" s="1">
        <v>42596</v>
      </c>
      <c r="D199" t="s">
        <v>23</v>
      </c>
      <c r="E199" t="s">
        <v>25</v>
      </c>
      <c r="F199" s="2">
        <v>171</v>
      </c>
      <c r="G199" t="s">
        <v>11</v>
      </c>
      <c r="H199" s="3">
        <v>27653.279999999999</v>
      </c>
      <c r="I199" s="3">
        <v>757367</v>
      </c>
      <c r="J199" s="3">
        <v>605893.6</v>
      </c>
      <c r="K199" s="3">
        <v>123820.12000000002</v>
      </c>
      <c r="L199" t="s">
        <v>15</v>
      </c>
      <c r="M199">
        <v>4.8</v>
      </c>
    </row>
    <row r="200" spans="1:13" x14ac:dyDescent="0.25">
      <c r="A200">
        <v>199</v>
      </c>
      <c r="B200" s="1">
        <v>42450</v>
      </c>
      <c r="C200" s="1">
        <v>42804</v>
      </c>
      <c r="D200" t="s">
        <v>21</v>
      </c>
      <c r="E200" t="s">
        <v>13</v>
      </c>
      <c r="F200" s="2">
        <v>172</v>
      </c>
      <c r="G200" t="s">
        <v>12</v>
      </c>
      <c r="H200" s="3">
        <v>32520.720000000001</v>
      </c>
      <c r="I200" s="3">
        <v>878828</v>
      </c>
      <c r="J200" s="3">
        <v>703062.4</v>
      </c>
      <c r="K200" s="3">
        <v>143244.87999999998</v>
      </c>
      <c r="L200" t="s">
        <v>18</v>
      </c>
      <c r="M200">
        <v>4.7</v>
      </c>
    </row>
    <row r="201" spans="1:13" x14ac:dyDescent="0.25">
      <c r="A201">
        <v>200</v>
      </c>
      <c r="B201" s="1">
        <v>42451</v>
      </c>
      <c r="C201" s="1">
        <v>42639</v>
      </c>
      <c r="D201" t="s">
        <v>20</v>
      </c>
      <c r="E201" t="s">
        <v>26</v>
      </c>
      <c r="F201" s="2">
        <v>278</v>
      </c>
      <c r="G201" t="s">
        <v>12</v>
      </c>
      <c r="H201" s="3">
        <v>83143.72</v>
      </c>
      <c r="I201" s="3">
        <v>2144828</v>
      </c>
      <c r="J201" s="3">
        <v>1715862.4</v>
      </c>
      <c r="K201" s="3">
        <v>345821.88000000012</v>
      </c>
      <c r="L201" t="s">
        <v>15</v>
      </c>
      <c r="M201">
        <v>4.2</v>
      </c>
    </row>
    <row r="202" spans="1:13" x14ac:dyDescent="0.25">
      <c r="A202">
        <v>201</v>
      </c>
      <c r="B202" s="1">
        <v>42451</v>
      </c>
      <c r="C202" s="1">
        <v>42683</v>
      </c>
      <c r="D202" t="s">
        <v>23</v>
      </c>
      <c r="E202" t="s">
        <v>24</v>
      </c>
      <c r="F202" s="2">
        <v>240</v>
      </c>
      <c r="G202" t="s">
        <v>12</v>
      </c>
      <c r="H202" s="3">
        <v>41292.400000000001</v>
      </c>
      <c r="I202" s="3">
        <v>1087470</v>
      </c>
      <c r="J202" s="3">
        <v>869976</v>
      </c>
      <c r="K202" s="3">
        <v>176201.60000000001</v>
      </c>
      <c r="L202" t="s">
        <v>15</v>
      </c>
      <c r="M202">
        <v>4.3</v>
      </c>
    </row>
    <row r="203" spans="1:13" x14ac:dyDescent="0.25">
      <c r="A203">
        <v>202</v>
      </c>
      <c r="B203" s="1">
        <v>42451</v>
      </c>
      <c r="C203" s="1">
        <v>42595</v>
      </c>
      <c r="D203" t="s">
        <v>20</v>
      </c>
      <c r="E203" t="s">
        <v>26</v>
      </c>
      <c r="F203" s="2">
        <v>49</v>
      </c>
      <c r="G203" t="s">
        <v>11</v>
      </c>
      <c r="H203" s="3">
        <v>10953.88</v>
      </c>
      <c r="I203" s="3">
        <v>334757</v>
      </c>
      <c r="J203" s="3">
        <v>267805.59999999998</v>
      </c>
      <c r="K203" s="3">
        <v>55997.520000000026</v>
      </c>
      <c r="L203" t="s">
        <v>18</v>
      </c>
      <c r="M203">
        <v>5</v>
      </c>
    </row>
    <row r="204" spans="1:13" x14ac:dyDescent="0.25">
      <c r="A204">
        <v>203</v>
      </c>
      <c r="B204" s="1">
        <v>42451</v>
      </c>
      <c r="C204" s="1">
        <v>42567</v>
      </c>
      <c r="D204" t="s">
        <v>23</v>
      </c>
      <c r="E204" t="s">
        <v>25</v>
      </c>
      <c r="F204" s="2">
        <v>164</v>
      </c>
      <c r="G204" t="s">
        <v>12</v>
      </c>
      <c r="H204" s="3">
        <v>35372.92</v>
      </c>
      <c r="I204" s="3">
        <v>939283</v>
      </c>
      <c r="J204" s="3">
        <v>751426.4</v>
      </c>
      <c r="K204" s="3">
        <v>152483.68</v>
      </c>
      <c r="L204" t="s">
        <v>19</v>
      </c>
      <c r="M204">
        <v>4.3</v>
      </c>
    </row>
    <row r="205" spans="1:13" x14ac:dyDescent="0.25">
      <c r="A205">
        <v>204</v>
      </c>
      <c r="B205" s="1">
        <v>42452</v>
      </c>
      <c r="C205" s="1">
        <v>42683</v>
      </c>
      <c r="D205" t="s">
        <v>21</v>
      </c>
      <c r="E205" t="s">
        <v>29</v>
      </c>
      <c r="F205" s="2">
        <v>100</v>
      </c>
      <c r="G205" t="s">
        <v>11</v>
      </c>
      <c r="H205" s="3">
        <v>26783.200000000001</v>
      </c>
      <c r="I205" s="3">
        <v>728665</v>
      </c>
      <c r="J205" s="3">
        <v>582932</v>
      </c>
      <c r="K205" s="3">
        <v>118949.8</v>
      </c>
      <c r="L205" t="s">
        <v>19</v>
      </c>
      <c r="M205">
        <v>4</v>
      </c>
    </row>
    <row r="206" spans="1:13" x14ac:dyDescent="0.25">
      <c r="A206">
        <v>205</v>
      </c>
      <c r="B206" s="1">
        <v>42452</v>
      </c>
      <c r="C206" s="1">
        <v>42708</v>
      </c>
      <c r="D206" t="s">
        <v>20</v>
      </c>
      <c r="E206" t="s">
        <v>28</v>
      </c>
      <c r="F206" s="2">
        <v>269</v>
      </c>
      <c r="G206" t="s">
        <v>12</v>
      </c>
      <c r="H206" s="3">
        <v>78979.679999999993</v>
      </c>
      <c r="I206" s="3">
        <v>2038877</v>
      </c>
      <c r="J206" s="3">
        <v>1631101.6</v>
      </c>
      <c r="K206" s="3">
        <v>328795.71999999991</v>
      </c>
      <c r="L206" t="s">
        <v>19</v>
      </c>
      <c r="M206">
        <v>4.3</v>
      </c>
    </row>
    <row r="207" spans="1:13" x14ac:dyDescent="0.25">
      <c r="A207">
        <v>206</v>
      </c>
      <c r="B207" s="1">
        <v>42452</v>
      </c>
      <c r="C207" s="1">
        <v>42787</v>
      </c>
      <c r="D207" t="s">
        <v>21</v>
      </c>
      <c r="E207" t="s">
        <v>26</v>
      </c>
      <c r="F207" s="2">
        <v>246</v>
      </c>
      <c r="G207" t="s">
        <v>12</v>
      </c>
      <c r="H207" s="3">
        <v>89129</v>
      </c>
      <c r="I207" s="3">
        <v>2289985</v>
      </c>
      <c r="J207" s="3">
        <v>1831988</v>
      </c>
      <c r="K207" s="3">
        <v>368868</v>
      </c>
      <c r="L207" t="s">
        <v>16</v>
      </c>
      <c r="M207">
        <v>4.2</v>
      </c>
    </row>
    <row r="208" spans="1:13" x14ac:dyDescent="0.25">
      <c r="A208">
        <v>207</v>
      </c>
      <c r="B208" s="1">
        <v>42452</v>
      </c>
      <c r="C208" s="1">
        <v>42601</v>
      </c>
      <c r="D208" t="s">
        <v>20</v>
      </c>
      <c r="E208" t="s">
        <v>25</v>
      </c>
      <c r="F208" s="2">
        <v>127</v>
      </c>
      <c r="G208" t="s">
        <v>12</v>
      </c>
      <c r="H208" s="3">
        <v>52697.96</v>
      </c>
      <c r="I208" s="3">
        <v>1374609</v>
      </c>
      <c r="J208" s="3">
        <v>1099687.2</v>
      </c>
      <c r="K208" s="3">
        <v>222223.84000000005</v>
      </c>
      <c r="L208" t="s">
        <v>19</v>
      </c>
      <c r="M208">
        <v>3.7</v>
      </c>
    </row>
    <row r="209" spans="1:13" x14ac:dyDescent="0.25">
      <c r="A209">
        <v>208</v>
      </c>
      <c r="B209" s="1">
        <v>42452</v>
      </c>
      <c r="C209" s="1">
        <v>42640</v>
      </c>
      <c r="D209" t="s">
        <v>20</v>
      </c>
      <c r="E209" t="s">
        <v>27</v>
      </c>
      <c r="F209" s="2">
        <v>150</v>
      </c>
      <c r="G209" t="s">
        <v>12</v>
      </c>
      <c r="H209" s="3">
        <v>53758.2</v>
      </c>
      <c r="I209" s="3">
        <v>1406165</v>
      </c>
      <c r="J209" s="3">
        <v>1124932</v>
      </c>
      <c r="K209" s="3">
        <v>227474.8</v>
      </c>
      <c r="L209" t="s">
        <v>15</v>
      </c>
      <c r="M209">
        <v>4.4000000000000004</v>
      </c>
    </row>
    <row r="210" spans="1:13" x14ac:dyDescent="0.25">
      <c r="A210">
        <v>209</v>
      </c>
      <c r="B210" s="1">
        <v>42453</v>
      </c>
      <c r="C210" s="1">
        <v>42634</v>
      </c>
      <c r="D210" t="s">
        <v>21</v>
      </c>
      <c r="E210" t="s">
        <v>26</v>
      </c>
      <c r="F210" s="2">
        <v>164</v>
      </c>
      <c r="G210" t="s">
        <v>12</v>
      </c>
      <c r="H210" s="3">
        <v>64956.92</v>
      </c>
      <c r="I210" s="3">
        <v>1680433</v>
      </c>
      <c r="J210" s="3">
        <v>1344346.4</v>
      </c>
      <c r="K210" s="3">
        <v>271129.68000000011</v>
      </c>
      <c r="L210" t="s">
        <v>18</v>
      </c>
      <c r="M210">
        <v>3.6</v>
      </c>
    </row>
    <row r="211" spans="1:13" x14ac:dyDescent="0.25">
      <c r="A211">
        <v>210</v>
      </c>
      <c r="B211" s="1">
        <v>42453</v>
      </c>
      <c r="C211" s="1">
        <v>42797</v>
      </c>
      <c r="D211" t="s">
        <v>21</v>
      </c>
      <c r="E211" t="s">
        <v>24</v>
      </c>
      <c r="F211" s="2">
        <v>199</v>
      </c>
      <c r="G211" t="s">
        <v>12</v>
      </c>
      <c r="H211" s="3">
        <v>50673.760000000002</v>
      </c>
      <c r="I211" s="3">
        <v>1334079</v>
      </c>
      <c r="J211" s="3">
        <v>1067263.2</v>
      </c>
      <c r="K211" s="3">
        <v>216142.04000000004</v>
      </c>
      <c r="L211" t="s">
        <v>14</v>
      </c>
      <c r="M211">
        <v>4.4000000000000004</v>
      </c>
    </row>
    <row r="212" spans="1:13" x14ac:dyDescent="0.25">
      <c r="A212">
        <v>211</v>
      </c>
      <c r="B212" s="1">
        <v>42454</v>
      </c>
      <c r="C212" s="1">
        <v>42593</v>
      </c>
      <c r="D212" t="s">
        <v>23</v>
      </c>
      <c r="E212" t="s">
        <v>29</v>
      </c>
      <c r="F212" s="2">
        <v>266</v>
      </c>
      <c r="G212" t="s">
        <v>12</v>
      </c>
      <c r="H212" s="3">
        <v>84361.84</v>
      </c>
      <c r="I212" s="3">
        <v>2170731</v>
      </c>
      <c r="J212" s="3">
        <v>1736584.8</v>
      </c>
      <c r="K212" s="3">
        <v>349784.36</v>
      </c>
      <c r="L212" t="s">
        <v>14</v>
      </c>
      <c r="M212">
        <v>4.2</v>
      </c>
    </row>
    <row r="213" spans="1:13" x14ac:dyDescent="0.25">
      <c r="A213">
        <v>212</v>
      </c>
      <c r="B213" s="1">
        <v>42454</v>
      </c>
      <c r="C213" s="1">
        <v>42668</v>
      </c>
      <c r="D213" t="s">
        <v>21</v>
      </c>
      <c r="E213" t="s">
        <v>28</v>
      </c>
      <c r="F213" s="2">
        <v>57</v>
      </c>
      <c r="G213" t="s">
        <v>11</v>
      </c>
      <c r="H213" s="3">
        <v>18483.240000000002</v>
      </c>
      <c r="I213" s="3">
        <v>528641</v>
      </c>
      <c r="J213" s="3">
        <v>422912.8</v>
      </c>
      <c r="K213" s="3">
        <v>87244.96</v>
      </c>
      <c r="L213" t="s">
        <v>14</v>
      </c>
      <c r="M213">
        <v>4.2</v>
      </c>
    </row>
    <row r="214" spans="1:13" x14ac:dyDescent="0.25">
      <c r="A214">
        <v>213</v>
      </c>
      <c r="B214" s="1">
        <v>42455</v>
      </c>
      <c r="C214" s="1">
        <v>42754</v>
      </c>
      <c r="D214" t="s">
        <v>23</v>
      </c>
      <c r="E214" t="s">
        <v>25</v>
      </c>
      <c r="F214" s="2">
        <v>218</v>
      </c>
      <c r="G214" t="s">
        <v>12</v>
      </c>
      <c r="H214" s="3">
        <v>76186.720000000001</v>
      </c>
      <c r="I214" s="3">
        <v>1969003</v>
      </c>
      <c r="J214" s="3">
        <v>1575202.4</v>
      </c>
      <c r="K214" s="3">
        <v>317613.88000000012</v>
      </c>
      <c r="L214" t="s">
        <v>15</v>
      </c>
      <c r="M214">
        <v>4</v>
      </c>
    </row>
    <row r="215" spans="1:13" x14ac:dyDescent="0.25">
      <c r="A215">
        <v>214</v>
      </c>
      <c r="B215" s="1">
        <v>42455</v>
      </c>
      <c r="C215" s="1">
        <v>42608</v>
      </c>
      <c r="D215" t="s">
        <v>23</v>
      </c>
      <c r="E215" t="s">
        <v>29</v>
      </c>
      <c r="F215" s="2">
        <v>156</v>
      </c>
      <c r="G215" t="s">
        <v>12</v>
      </c>
      <c r="H215" s="3">
        <v>54527.44</v>
      </c>
      <c r="I215" s="3">
        <v>1421496</v>
      </c>
      <c r="J215" s="3">
        <v>1137196.8</v>
      </c>
      <c r="K215" s="3">
        <v>229771.75999999995</v>
      </c>
      <c r="L215" t="s">
        <v>14</v>
      </c>
      <c r="M215">
        <v>4.5</v>
      </c>
    </row>
    <row r="216" spans="1:13" x14ac:dyDescent="0.25">
      <c r="A216">
        <v>215</v>
      </c>
      <c r="B216" s="1">
        <v>42456</v>
      </c>
      <c r="C216" s="1">
        <v>42564</v>
      </c>
      <c r="D216" t="s">
        <v>23</v>
      </c>
      <c r="E216" t="s">
        <v>24</v>
      </c>
      <c r="F216" s="2">
        <v>211</v>
      </c>
      <c r="G216" t="s">
        <v>12</v>
      </c>
      <c r="H216" s="3">
        <v>47852.32</v>
      </c>
      <c r="I216" s="3">
        <v>1255643</v>
      </c>
      <c r="J216" s="3">
        <v>1004514.4</v>
      </c>
      <c r="K216" s="3">
        <v>203276.27999999997</v>
      </c>
      <c r="L216" t="s">
        <v>15</v>
      </c>
      <c r="M216">
        <v>4.3</v>
      </c>
    </row>
    <row r="217" spans="1:13" x14ac:dyDescent="0.25">
      <c r="A217">
        <v>216</v>
      </c>
      <c r="B217" s="1">
        <v>42456</v>
      </c>
      <c r="C217" s="1">
        <v>42768</v>
      </c>
      <c r="D217" t="s">
        <v>23</v>
      </c>
      <c r="E217" t="s">
        <v>29</v>
      </c>
      <c r="F217" s="2">
        <v>258</v>
      </c>
      <c r="G217" t="s">
        <v>12</v>
      </c>
      <c r="H217" s="3">
        <v>58742.68</v>
      </c>
      <c r="I217" s="3">
        <v>1531377</v>
      </c>
      <c r="J217" s="3">
        <v>1225101.6000000001</v>
      </c>
      <c r="K217" s="3">
        <v>247532.71999999991</v>
      </c>
      <c r="L217" t="s">
        <v>18</v>
      </c>
      <c r="M217">
        <v>4.0999999999999996</v>
      </c>
    </row>
    <row r="218" spans="1:13" x14ac:dyDescent="0.25">
      <c r="A218">
        <v>217</v>
      </c>
      <c r="B218" s="1">
        <v>42457</v>
      </c>
      <c r="C218" s="1">
        <v>42677</v>
      </c>
      <c r="D218" t="s">
        <v>22</v>
      </c>
      <c r="E218" t="s">
        <v>24</v>
      </c>
      <c r="F218" s="2">
        <v>212</v>
      </c>
      <c r="G218" t="s">
        <v>12</v>
      </c>
      <c r="H218" s="3">
        <v>54946</v>
      </c>
      <c r="I218" s="3">
        <v>1435085</v>
      </c>
      <c r="J218" s="3">
        <v>1148068</v>
      </c>
      <c r="K218" s="3">
        <v>232071</v>
      </c>
      <c r="L218" t="s">
        <v>19</v>
      </c>
      <c r="M218">
        <v>4.2</v>
      </c>
    </row>
    <row r="219" spans="1:13" x14ac:dyDescent="0.25">
      <c r="A219">
        <v>218</v>
      </c>
      <c r="B219" s="1">
        <v>42458</v>
      </c>
      <c r="C219" s="1">
        <v>42735</v>
      </c>
      <c r="D219" t="s">
        <v>21</v>
      </c>
      <c r="E219" t="s">
        <v>28</v>
      </c>
      <c r="F219" s="2">
        <v>60</v>
      </c>
      <c r="G219" t="s">
        <v>11</v>
      </c>
      <c r="H219" s="3">
        <v>17354.400000000001</v>
      </c>
      <c r="I219" s="3">
        <v>497920</v>
      </c>
      <c r="J219" s="3">
        <v>398336</v>
      </c>
      <c r="K219" s="3">
        <v>82229.600000000006</v>
      </c>
      <c r="L219" t="s">
        <v>14</v>
      </c>
      <c r="M219">
        <v>4.5999999999999996</v>
      </c>
    </row>
    <row r="220" spans="1:13" x14ac:dyDescent="0.25">
      <c r="A220">
        <v>219</v>
      </c>
      <c r="B220" s="1">
        <v>42458</v>
      </c>
      <c r="C220" s="1">
        <v>42822</v>
      </c>
      <c r="D220" t="s">
        <v>21</v>
      </c>
      <c r="E220" t="s">
        <v>28</v>
      </c>
      <c r="F220" s="2">
        <v>43</v>
      </c>
      <c r="G220" t="s">
        <v>11</v>
      </c>
      <c r="H220" s="3">
        <v>12957.24</v>
      </c>
      <c r="I220" s="3">
        <v>387741</v>
      </c>
      <c r="J220" s="3">
        <v>310192.8</v>
      </c>
      <c r="K220" s="3">
        <v>64590.960000000014</v>
      </c>
      <c r="L220" t="s">
        <v>19</v>
      </c>
      <c r="M220">
        <v>3.8</v>
      </c>
    </row>
    <row r="221" spans="1:13" x14ac:dyDescent="0.25">
      <c r="A221">
        <v>220</v>
      </c>
      <c r="B221" s="1">
        <v>42459</v>
      </c>
      <c r="C221" s="1">
        <v>42630</v>
      </c>
      <c r="D221" t="s">
        <v>20</v>
      </c>
      <c r="E221" t="s">
        <v>26</v>
      </c>
      <c r="F221" s="2">
        <v>204</v>
      </c>
      <c r="G221" t="s">
        <v>12</v>
      </c>
      <c r="H221" s="3">
        <v>41001.32</v>
      </c>
      <c r="I221" s="3">
        <v>1078768</v>
      </c>
      <c r="J221" s="3">
        <v>863014.40000000002</v>
      </c>
      <c r="K221" s="3">
        <v>174752.27999999997</v>
      </c>
      <c r="L221" t="s">
        <v>17</v>
      </c>
      <c r="M221">
        <v>4.3</v>
      </c>
    </row>
    <row r="222" spans="1:13" x14ac:dyDescent="0.25">
      <c r="A222">
        <v>221</v>
      </c>
      <c r="B222" s="1">
        <v>42459</v>
      </c>
      <c r="C222" s="1">
        <v>42609</v>
      </c>
      <c r="D222" t="s">
        <v>21</v>
      </c>
      <c r="E222" t="s">
        <v>27</v>
      </c>
      <c r="F222" s="2">
        <v>49</v>
      </c>
      <c r="G222" t="s">
        <v>11</v>
      </c>
      <c r="H222" s="3">
        <v>18215</v>
      </c>
      <c r="I222" s="3">
        <v>511085</v>
      </c>
      <c r="J222" s="3">
        <v>408868</v>
      </c>
      <c r="K222" s="3">
        <v>84002</v>
      </c>
      <c r="L222" t="s">
        <v>15</v>
      </c>
      <c r="M222">
        <v>4.2</v>
      </c>
    </row>
    <row r="223" spans="1:13" x14ac:dyDescent="0.25">
      <c r="A223">
        <v>222</v>
      </c>
      <c r="B223" s="1">
        <v>42459</v>
      </c>
      <c r="C223" s="1">
        <v>42645</v>
      </c>
      <c r="D223" t="s">
        <v>23</v>
      </c>
      <c r="E223" t="s">
        <v>26</v>
      </c>
      <c r="F223" s="2">
        <v>79</v>
      </c>
      <c r="G223" t="s">
        <v>11</v>
      </c>
      <c r="H223" s="3">
        <v>15896.4</v>
      </c>
      <c r="I223" s="3">
        <v>457145</v>
      </c>
      <c r="J223" s="3">
        <v>365716</v>
      </c>
      <c r="K223" s="3">
        <v>75532.600000000006</v>
      </c>
      <c r="L223" t="s">
        <v>18</v>
      </c>
      <c r="M223">
        <v>3.6</v>
      </c>
    </row>
    <row r="224" spans="1:13" x14ac:dyDescent="0.25">
      <c r="A224">
        <v>223</v>
      </c>
      <c r="B224" s="1">
        <v>42460</v>
      </c>
      <c r="C224" s="1">
        <v>42622</v>
      </c>
      <c r="D224" t="s">
        <v>22</v>
      </c>
      <c r="E224" t="s">
        <v>25</v>
      </c>
      <c r="F224" s="2">
        <v>57</v>
      </c>
      <c r="G224" t="s">
        <v>11</v>
      </c>
      <c r="H224" s="3">
        <v>18892.96</v>
      </c>
      <c r="I224" s="3">
        <v>526409</v>
      </c>
      <c r="J224" s="3">
        <v>421127.2</v>
      </c>
      <c r="K224" s="3">
        <v>86388.84</v>
      </c>
      <c r="L224" t="s">
        <v>19</v>
      </c>
      <c r="M224">
        <v>4.2</v>
      </c>
    </row>
    <row r="225" spans="1:13" x14ac:dyDescent="0.25">
      <c r="A225">
        <v>224</v>
      </c>
      <c r="B225" s="1">
        <v>42460</v>
      </c>
      <c r="C225" s="1">
        <v>42603</v>
      </c>
      <c r="D225" t="s">
        <v>20</v>
      </c>
      <c r="E225" t="s">
        <v>28</v>
      </c>
      <c r="F225" s="2">
        <v>185</v>
      </c>
      <c r="G225" t="s">
        <v>12</v>
      </c>
      <c r="H225" s="3">
        <v>40467</v>
      </c>
      <c r="I225" s="3">
        <v>1068485</v>
      </c>
      <c r="J225" s="3">
        <v>854788</v>
      </c>
      <c r="K225" s="3">
        <v>173230</v>
      </c>
      <c r="L225" t="s">
        <v>19</v>
      </c>
      <c r="M225">
        <v>4.3</v>
      </c>
    </row>
    <row r="226" spans="1:13" x14ac:dyDescent="0.25">
      <c r="A226">
        <v>225</v>
      </c>
      <c r="B226" s="1">
        <v>42461</v>
      </c>
      <c r="C226" s="1">
        <v>42719</v>
      </c>
      <c r="D226" t="s">
        <v>21</v>
      </c>
      <c r="E226" t="s">
        <v>29</v>
      </c>
      <c r="F226" s="2">
        <v>149</v>
      </c>
      <c r="G226" t="s">
        <v>12</v>
      </c>
      <c r="H226" s="3">
        <v>41786.800000000003</v>
      </c>
      <c r="I226" s="3">
        <v>1105805</v>
      </c>
      <c r="J226" s="3">
        <v>884644</v>
      </c>
      <c r="K226" s="3">
        <v>179374.2</v>
      </c>
      <c r="L226" t="s">
        <v>17</v>
      </c>
      <c r="M226">
        <v>4.4000000000000004</v>
      </c>
    </row>
    <row r="227" spans="1:13" x14ac:dyDescent="0.25">
      <c r="A227">
        <v>226</v>
      </c>
      <c r="B227" s="1">
        <v>42461</v>
      </c>
      <c r="C227" s="1">
        <v>42611</v>
      </c>
      <c r="D227" t="s">
        <v>23</v>
      </c>
      <c r="E227" t="s">
        <v>29</v>
      </c>
      <c r="F227" s="2">
        <v>177</v>
      </c>
      <c r="G227" t="s">
        <v>12</v>
      </c>
      <c r="H227" s="3">
        <v>44181.279999999999</v>
      </c>
      <c r="I227" s="3">
        <v>1169617</v>
      </c>
      <c r="J227" s="3">
        <v>935693.6</v>
      </c>
      <c r="K227" s="3">
        <v>189742.12000000002</v>
      </c>
      <c r="L227" t="s">
        <v>16</v>
      </c>
      <c r="M227">
        <v>4.4000000000000004</v>
      </c>
    </row>
    <row r="228" spans="1:13" x14ac:dyDescent="0.25">
      <c r="A228">
        <v>227</v>
      </c>
      <c r="B228" s="1">
        <v>42461</v>
      </c>
      <c r="C228" s="1">
        <v>42622</v>
      </c>
      <c r="D228" t="s">
        <v>23</v>
      </c>
      <c r="E228" t="s">
        <v>26</v>
      </c>
      <c r="F228" s="2">
        <v>173</v>
      </c>
      <c r="G228" t="s">
        <v>12</v>
      </c>
      <c r="H228" s="3">
        <v>66100.600000000006</v>
      </c>
      <c r="I228" s="3">
        <v>1707450</v>
      </c>
      <c r="J228" s="3">
        <v>1365960</v>
      </c>
      <c r="K228" s="3">
        <v>275389.40000000002</v>
      </c>
      <c r="L228" t="s">
        <v>19</v>
      </c>
      <c r="M228">
        <v>4</v>
      </c>
    </row>
    <row r="229" spans="1:13" x14ac:dyDescent="0.25">
      <c r="A229">
        <v>228</v>
      </c>
      <c r="B229" s="1">
        <v>42461</v>
      </c>
      <c r="C229" s="1">
        <v>42686</v>
      </c>
      <c r="D229" t="s">
        <v>21</v>
      </c>
      <c r="E229" t="s">
        <v>26</v>
      </c>
      <c r="F229" s="2">
        <v>204</v>
      </c>
      <c r="G229" t="s">
        <v>12</v>
      </c>
      <c r="H229" s="3">
        <v>79750.759999999995</v>
      </c>
      <c r="I229" s="3">
        <v>2047104</v>
      </c>
      <c r="J229" s="3">
        <v>1637683.2</v>
      </c>
      <c r="K229" s="3">
        <v>329670.04000000004</v>
      </c>
      <c r="L229" t="s">
        <v>17</v>
      </c>
      <c r="M229">
        <v>3.8</v>
      </c>
    </row>
    <row r="230" spans="1:13" x14ac:dyDescent="0.25">
      <c r="A230">
        <v>229</v>
      </c>
      <c r="B230" s="1">
        <v>42461</v>
      </c>
      <c r="C230" s="1">
        <v>42760</v>
      </c>
      <c r="D230" t="s">
        <v>21</v>
      </c>
      <c r="E230" t="s">
        <v>28</v>
      </c>
      <c r="F230" s="2">
        <v>114</v>
      </c>
      <c r="G230" t="s">
        <v>11</v>
      </c>
      <c r="H230" s="3">
        <v>28784.240000000002</v>
      </c>
      <c r="I230" s="3">
        <v>775691</v>
      </c>
      <c r="J230" s="3">
        <v>620552.80000000005</v>
      </c>
      <c r="K230" s="3">
        <v>126353.95999999995</v>
      </c>
      <c r="L230" t="s">
        <v>14</v>
      </c>
      <c r="M230">
        <v>4.4000000000000004</v>
      </c>
    </row>
    <row r="231" spans="1:13" x14ac:dyDescent="0.25">
      <c r="A231">
        <v>230</v>
      </c>
      <c r="B231" s="1">
        <v>42462</v>
      </c>
      <c r="C231" s="1">
        <v>42795</v>
      </c>
      <c r="D231" t="s">
        <v>23</v>
      </c>
      <c r="E231" t="s">
        <v>27</v>
      </c>
      <c r="F231" s="2">
        <v>182</v>
      </c>
      <c r="G231" t="s">
        <v>12</v>
      </c>
      <c r="H231" s="3">
        <v>54325.64</v>
      </c>
      <c r="I231" s="3">
        <v>1418651</v>
      </c>
      <c r="J231" s="3">
        <v>1134920.8</v>
      </c>
      <c r="K231" s="3">
        <v>229404.55999999994</v>
      </c>
      <c r="L231" t="s">
        <v>15</v>
      </c>
      <c r="M231">
        <v>4.9000000000000004</v>
      </c>
    </row>
    <row r="232" spans="1:13" x14ac:dyDescent="0.25">
      <c r="A232">
        <v>231</v>
      </c>
      <c r="B232" s="1">
        <v>42463</v>
      </c>
      <c r="C232" s="1">
        <v>42784</v>
      </c>
      <c r="D232" t="s">
        <v>20</v>
      </c>
      <c r="E232" t="s">
        <v>25</v>
      </c>
      <c r="F232" s="2">
        <v>140</v>
      </c>
      <c r="G232" t="s">
        <v>11</v>
      </c>
      <c r="H232" s="3">
        <v>26005.040000000001</v>
      </c>
      <c r="I232" s="3">
        <v>702436</v>
      </c>
      <c r="J232" s="3">
        <v>561948.80000000005</v>
      </c>
      <c r="K232" s="3">
        <v>114482.15999999995</v>
      </c>
      <c r="L232" t="s">
        <v>15</v>
      </c>
      <c r="M232">
        <v>5</v>
      </c>
    </row>
    <row r="233" spans="1:13" x14ac:dyDescent="0.25">
      <c r="A233">
        <v>232</v>
      </c>
      <c r="B233" s="1">
        <v>42463</v>
      </c>
      <c r="C233" s="1">
        <v>42677</v>
      </c>
      <c r="D233" t="s">
        <v>20</v>
      </c>
      <c r="E233" t="s">
        <v>26</v>
      </c>
      <c r="F233" s="2">
        <v>208</v>
      </c>
      <c r="G233" t="s">
        <v>12</v>
      </c>
      <c r="H233" s="3">
        <v>58200.92</v>
      </c>
      <c r="I233" s="3">
        <v>1516033</v>
      </c>
      <c r="J233" s="3">
        <v>1212826.3999999999</v>
      </c>
      <c r="K233" s="3">
        <v>245005.68000000011</v>
      </c>
      <c r="L233" t="s">
        <v>18</v>
      </c>
      <c r="M233">
        <v>4.2</v>
      </c>
    </row>
    <row r="234" spans="1:13" x14ac:dyDescent="0.25">
      <c r="A234">
        <v>233</v>
      </c>
      <c r="B234" s="1">
        <v>42463</v>
      </c>
      <c r="C234" s="1">
        <v>42648</v>
      </c>
      <c r="D234" t="s">
        <v>20</v>
      </c>
      <c r="E234" t="s">
        <v>25</v>
      </c>
      <c r="F234" s="2">
        <v>239</v>
      </c>
      <c r="G234" t="s">
        <v>12</v>
      </c>
      <c r="H234" s="3">
        <v>53278.92</v>
      </c>
      <c r="I234" s="3">
        <v>1398833</v>
      </c>
      <c r="J234" s="3">
        <v>1119066.3999999999</v>
      </c>
      <c r="K234" s="3">
        <v>226487.68000000011</v>
      </c>
      <c r="L234" t="s">
        <v>16</v>
      </c>
      <c r="M234">
        <v>5</v>
      </c>
    </row>
    <row r="235" spans="1:13" x14ac:dyDescent="0.25">
      <c r="A235">
        <v>234</v>
      </c>
      <c r="B235" s="1">
        <v>42463</v>
      </c>
      <c r="C235" s="1">
        <v>42820</v>
      </c>
      <c r="D235" t="s">
        <v>23</v>
      </c>
      <c r="E235" t="s">
        <v>29</v>
      </c>
      <c r="F235" s="2">
        <v>226</v>
      </c>
      <c r="G235" t="s">
        <v>12</v>
      </c>
      <c r="H235" s="3">
        <v>67818</v>
      </c>
      <c r="I235" s="3">
        <v>1759185</v>
      </c>
      <c r="J235" s="3">
        <v>1407348</v>
      </c>
      <c r="K235" s="3">
        <v>284019</v>
      </c>
      <c r="L235" t="s">
        <v>14</v>
      </c>
      <c r="M235">
        <v>5</v>
      </c>
    </row>
    <row r="236" spans="1:13" x14ac:dyDescent="0.25">
      <c r="A236">
        <v>235</v>
      </c>
      <c r="B236" s="1">
        <v>42463</v>
      </c>
      <c r="C236" s="1">
        <v>42676</v>
      </c>
      <c r="D236" t="s">
        <v>22</v>
      </c>
      <c r="E236" t="s">
        <v>29</v>
      </c>
      <c r="F236" s="2">
        <v>120</v>
      </c>
      <c r="G236" t="s">
        <v>12</v>
      </c>
      <c r="H236" s="3">
        <v>32747.32</v>
      </c>
      <c r="I236" s="3">
        <v>884843</v>
      </c>
      <c r="J236" s="3">
        <v>707874.4</v>
      </c>
      <c r="K236" s="3">
        <v>144221.27999999997</v>
      </c>
      <c r="L236" t="s">
        <v>15</v>
      </c>
      <c r="M236">
        <v>4.5</v>
      </c>
    </row>
    <row r="237" spans="1:13" x14ac:dyDescent="0.25">
      <c r="A237">
        <v>236</v>
      </c>
      <c r="B237" s="1">
        <v>42463</v>
      </c>
      <c r="C237" s="1">
        <v>42608</v>
      </c>
      <c r="D237" t="s">
        <v>23</v>
      </c>
      <c r="E237" t="s">
        <v>24</v>
      </c>
      <c r="F237" s="2">
        <v>223</v>
      </c>
      <c r="G237" t="s">
        <v>12</v>
      </c>
      <c r="H237" s="3">
        <v>83489.440000000002</v>
      </c>
      <c r="I237" s="3">
        <v>2140771</v>
      </c>
      <c r="J237" s="3">
        <v>1712616.8</v>
      </c>
      <c r="K237" s="3">
        <v>344664.75999999995</v>
      </c>
      <c r="L237" t="s">
        <v>14</v>
      </c>
      <c r="M237">
        <v>4</v>
      </c>
    </row>
    <row r="238" spans="1:13" x14ac:dyDescent="0.25">
      <c r="A238">
        <v>237</v>
      </c>
      <c r="B238" s="1">
        <v>42465</v>
      </c>
      <c r="C238" s="1">
        <v>42650</v>
      </c>
      <c r="D238" t="s">
        <v>22</v>
      </c>
      <c r="E238" t="s">
        <v>13</v>
      </c>
      <c r="F238" s="2">
        <v>259</v>
      </c>
      <c r="G238" t="s">
        <v>12</v>
      </c>
      <c r="H238" s="3">
        <v>69196</v>
      </c>
      <c r="I238" s="3">
        <v>1785335</v>
      </c>
      <c r="J238" s="3">
        <v>1428268</v>
      </c>
      <c r="K238" s="3">
        <v>287871</v>
      </c>
      <c r="L238" t="s">
        <v>15</v>
      </c>
      <c r="M238">
        <v>5</v>
      </c>
    </row>
    <row r="239" spans="1:13" x14ac:dyDescent="0.25">
      <c r="A239">
        <v>238</v>
      </c>
      <c r="B239" s="1">
        <v>42465</v>
      </c>
      <c r="C239" s="1">
        <v>42767</v>
      </c>
      <c r="D239" t="s">
        <v>23</v>
      </c>
      <c r="E239" t="s">
        <v>25</v>
      </c>
      <c r="F239" s="2">
        <v>166</v>
      </c>
      <c r="G239" t="s">
        <v>12</v>
      </c>
      <c r="H239" s="3">
        <v>38803.800000000003</v>
      </c>
      <c r="I239" s="3">
        <v>1032005</v>
      </c>
      <c r="J239" s="3">
        <v>825604</v>
      </c>
      <c r="K239" s="3">
        <v>167597.20000000001</v>
      </c>
      <c r="L239" t="s">
        <v>17</v>
      </c>
      <c r="M239">
        <v>4.8</v>
      </c>
    </row>
    <row r="240" spans="1:13" x14ac:dyDescent="0.25">
      <c r="A240">
        <v>239</v>
      </c>
      <c r="B240" s="1">
        <v>42465</v>
      </c>
      <c r="C240" s="1">
        <v>42737</v>
      </c>
      <c r="D240" t="s">
        <v>21</v>
      </c>
      <c r="E240" t="s">
        <v>24</v>
      </c>
      <c r="F240" s="2">
        <v>262</v>
      </c>
      <c r="G240" t="s">
        <v>12</v>
      </c>
      <c r="H240" s="3">
        <v>92697.279999999999</v>
      </c>
      <c r="I240" s="3">
        <v>2374517</v>
      </c>
      <c r="J240" s="3">
        <v>1899613.6</v>
      </c>
      <c r="K240" s="3">
        <v>382206.11999999988</v>
      </c>
      <c r="L240" t="s">
        <v>15</v>
      </c>
      <c r="M240">
        <v>4.7</v>
      </c>
    </row>
    <row r="241" spans="1:13" x14ac:dyDescent="0.25">
      <c r="A241">
        <v>240</v>
      </c>
      <c r="B241" s="1">
        <v>42466</v>
      </c>
      <c r="C241" s="1">
        <v>42707</v>
      </c>
      <c r="D241" t="s">
        <v>21</v>
      </c>
      <c r="E241" t="s">
        <v>29</v>
      </c>
      <c r="F241" s="2">
        <v>158</v>
      </c>
      <c r="G241" t="s">
        <v>12</v>
      </c>
      <c r="H241" s="3">
        <v>51263.64</v>
      </c>
      <c r="I241" s="3">
        <v>1335201</v>
      </c>
      <c r="J241" s="3">
        <v>1068160.8</v>
      </c>
      <c r="K241" s="3">
        <v>215776.55999999994</v>
      </c>
      <c r="L241" t="s">
        <v>19</v>
      </c>
      <c r="M241">
        <v>4.7</v>
      </c>
    </row>
    <row r="242" spans="1:13" x14ac:dyDescent="0.25">
      <c r="A242">
        <v>241</v>
      </c>
      <c r="B242" s="1">
        <v>42466</v>
      </c>
      <c r="C242" s="1">
        <v>42577</v>
      </c>
      <c r="D242" t="s">
        <v>20</v>
      </c>
      <c r="E242" t="s">
        <v>24</v>
      </c>
      <c r="F242" s="2">
        <v>256</v>
      </c>
      <c r="G242" t="s">
        <v>12</v>
      </c>
      <c r="H242" s="3">
        <v>80904.399999999994</v>
      </c>
      <c r="I242" s="3">
        <v>2075145</v>
      </c>
      <c r="J242" s="3">
        <v>1660116</v>
      </c>
      <c r="K242" s="3">
        <v>334124.59999999998</v>
      </c>
      <c r="L242" t="s">
        <v>14</v>
      </c>
      <c r="M242">
        <v>4.5999999999999996</v>
      </c>
    </row>
    <row r="243" spans="1:13" x14ac:dyDescent="0.25">
      <c r="A243">
        <v>242</v>
      </c>
      <c r="B243" s="1">
        <v>42467</v>
      </c>
      <c r="C243" s="1">
        <v>42598</v>
      </c>
      <c r="D243" t="s">
        <v>22</v>
      </c>
      <c r="E243" t="s">
        <v>13</v>
      </c>
      <c r="F243" s="2">
        <v>63</v>
      </c>
      <c r="G243" t="s">
        <v>11</v>
      </c>
      <c r="H243" s="3">
        <v>25640.400000000001</v>
      </c>
      <c r="I243" s="3">
        <v>693020</v>
      </c>
      <c r="J243" s="3">
        <v>554416</v>
      </c>
      <c r="K243" s="3">
        <v>112963.6</v>
      </c>
      <c r="L243" t="s">
        <v>17</v>
      </c>
      <c r="M243">
        <v>5</v>
      </c>
    </row>
    <row r="244" spans="1:13" x14ac:dyDescent="0.25">
      <c r="A244">
        <v>243</v>
      </c>
      <c r="B244" s="1">
        <v>42467</v>
      </c>
      <c r="C244" s="1">
        <v>42825</v>
      </c>
      <c r="D244" t="s">
        <v>22</v>
      </c>
      <c r="E244" t="s">
        <v>28</v>
      </c>
      <c r="F244" s="2">
        <v>294</v>
      </c>
      <c r="G244" t="s">
        <v>12</v>
      </c>
      <c r="H244" s="3">
        <v>73978.84</v>
      </c>
      <c r="I244" s="3">
        <v>1907031</v>
      </c>
      <c r="J244" s="3">
        <v>1525624.8</v>
      </c>
      <c r="K244" s="3">
        <v>307427.36</v>
      </c>
      <c r="L244" t="s">
        <v>19</v>
      </c>
      <c r="M244">
        <v>3.6</v>
      </c>
    </row>
    <row r="245" spans="1:13" x14ac:dyDescent="0.25">
      <c r="A245">
        <v>244</v>
      </c>
      <c r="B245" s="1">
        <v>42467</v>
      </c>
      <c r="C245" s="1">
        <v>42726</v>
      </c>
      <c r="D245" t="s">
        <v>20</v>
      </c>
      <c r="E245" t="s">
        <v>28</v>
      </c>
      <c r="F245" s="2">
        <v>278</v>
      </c>
      <c r="G245" t="s">
        <v>12</v>
      </c>
      <c r="H245" s="3">
        <v>56228.04</v>
      </c>
      <c r="I245" s="3">
        <v>1467561</v>
      </c>
      <c r="J245" s="3">
        <v>1174048.8</v>
      </c>
      <c r="K245" s="3">
        <v>237284.15999999995</v>
      </c>
      <c r="L245" t="s">
        <v>18</v>
      </c>
      <c r="M245">
        <v>4.5999999999999996</v>
      </c>
    </row>
    <row r="246" spans="1:13" x14ac:dyDescent="0.25">
      <c r="A246">
        <v>245</v>
      </c>
      <c r="B246" s="1">
        <v>42468</v>
      </c>
      <c r="C246" s="1">
        <v>42558</v>
      </c>
      <c r="D246" t="s">
        <v>21</v>
      </c>
      <c r="E246" t="s">
        <v>13</v>
      </c>
      <c r="F246" s="2">
        <v>233</v>
      </c>
      <c r="G246" t="s">
        <v>12</v>
      </c>
      <c r="H246" s="3">
        <v>46211.88</v>
      </c>
      <c r="I246" s="3">
        <v>1213082</v>
      </c>
      <c r="J246" s="3">
        <v>970465.6</v>
      </c>
      <c r="K246" s="3">
        <v>196404.52000000002</v>
      </c>
      <c r="L246" t="s">
        <v>16</v>
      </c>
      <c r="M246">
        <v>4.3</v>
      </c>
    </row>
    <row r="247" spans="1:13" x14ac:dyDescent="0.25">
      <c r="A247">
        <v>246</v>
      </c>
      <c r="B247" s="1">
        <v>42469</v>
      </c>
      <c r="C247" s="1">
        <v>42833</v>
      </c>
      <c r="D247" t="s">
        <v>20</v>
      </c>
      <c r="E247" t="s">
        <v>13</v>
      </c>
      <c r="F247" s="2">
        <v>284</v>
      </c>
      <c r="G247" t="s">
        <v>12</v>
      </c>
      <c r="H247" s="3">
        <v>76267.08</v>
      </c>
      <c r="I247" s="3">
        <v>1972587</v>
      </c>
      <c r="J247" s="3">
        <v>1578069.6</v>
      </c>
      <c r="K247" s="3">
        <v>318250.31999999989</v>
      </c>
      <c r="L247" t="s">
        <v>17</v>
      </c>
      <c r="M247">
        <v>5</v>
      </c>
    </row>
    <row r="248" spans="1:13" x14ac:dyDescent="0.25">
      <c r="A248">
        <v>247</v>
      </c>
      <c r="B248" s="1">
        <v>42469</v>
      </c>
      <c r="C248" s="1">
        <v>42713</v>
      </c>
      <c r="D248" t="s">
        <v>23</v>
      </c>
      <c r="E248" t="s">
        <v>29</v>
      </c>
      <c r="F248" s="2">
        <v>154</v>
      </c>
      <c r="G248" t="s">
        <v>12</v>
      </c>
      <c r="H248" s="3">
        <v>62586.080000000002</v>
      </c>
      <c r="I248" s="3">
        <v>1619012</v>
      </c>
      <c r="J248" s="3">
        <v>1295209.6000000001</v>
      </c>
      <c r="K248" s="3">
        <v>261216.31999999989</v>
      </c>
      <c r="L248" t="s">
        <v>17</v>
      </c>
      <c r="M248">
        <v>4</v>
      </c>
    </row>
    <row r="249" spans="1:13" x14ac:dyDescent="0.25">
      <c r="A249">
        <v>248</v>
      </c>
      <c r="B249" s="1">
        <v>42469</v>
      </c>
      <c r="C249" s="1">
        <v>42730</v>
      </c>
      <c r="D249" t="s">
        <v>20</v>
      </c>
      <c r="E249" t="s">
        <v>24</v>
      </c>
      <c r="F249" s="2">
        <v>131</v>
      </c>
      <c r="G249" t="s">
        <v>12</v>
      </c>
      <c r="H249" s="3">
        <v>33712.800000000003</v>
      </c>
      <c r="I249" s="3">
        <v>909605</v>
      </c>
      <c r="J249" s="3">
        <v>727684</v>
      </c>
      <c r="K249" s="3">
        <v>148208.20000000001</v>
      </c>
      <c r="L249" t="s">
        <v>15</v>
      </c>
      <c r="M249">
        <v>4.7</v>
      </c>
    </row>
    <row r="250" spans="1:13" x14ac:dyDescent="0.25">
      <c r="A250">
        <v>249</v>
      </c>
      <c r="B250" s="1">
        <v>42469</v>
      </c>
      <c r="C250" s="1">
        <v>42717</v>
      </c>
      <c r="D250" t="s">
        <v>23</v>
      </c>
      <c r="E250" t="s">
        <v>29</v>
      </c>
      <c r="F250" s="2">
        <v>218</v>
      </c>
      <c r="G250" t="s">
        <v>12</v>
      </c>
      <c r="H250" s="3">
        <v>80057.039999999994</v>
      </c>
      <c r="I250" s="3">
        <v>2062886</v>
      </c>
      <c r="J250" s="3">
        <v>1650308.8</v>
      </c>
      <c r="K250" s="3">
        <v>332520.15999999997</v>
      </c>
      <c r="L250" t="s">
        <v>16</v>
      </c>
      <c r="M250">
        <v>5</v>
      </c>
    </row>
    <row r="251" spans="1:13" x14ac:dyDescent="0.25">
      <c r="A251">
        <v>250</v>
      </c>
      <c r="B251" s="1">
        <v>42469</v>
      </c>
      <c r="C251" s="1">
        <v>42767</v>
      </c>
      <c r="D251" t="s">
        <v>20</v>
      </c>
      <c r="E251" t="s">
        <v>28</v>
      </c>
      <c r="F251" s="2">
        <v>169</v>
      </c>
      <c r="G251" t="s">
        <v>11</v>
      </c>
      <c r="H251" s="3">
        <v>29269</v>
      </c>
      <c r="I251" s="3">
        <v>783560</v>
      </c>
      <c r="J251" s="3">
        <v>626848</v>
      </c>
      <c r="K251" s="3">
        <v>127443</v>
      </c>
      <c r="L251" t="s">
        <v>15</v>
      </c>
      <c r="M251">
        <v>4.7</v>
      </c>
    </row>
    <row r="252" spans="1:13" x14ac:dyDescent="0.25">
      <c r="A252">
        <v>251</v>
      </c>
      <c r="B252" s="1">
        <v>42469</v>
      </c>
      <c r="C252" s="1">
        <v>42757</v>
      </c>
      <c r="D252" t="s">
        <v>22</v>
      </c>
      <c r="E252" t="s">
        <v>24</v>
      </c>
      <c r="F252" s="2">
        <v>118</v>
      </c>
      <c r="G252" t="s">
        <v>12</v>
      </c>
      <c r="H252" s="3">
        <v>44468.28</v>
      </c>
      <c r="I252" s="3">
        <v>1167117</v>
      </c>
      <c r="J252" s="3">
        <v>933693.6</v>
      </c>
      <c r="K252" s="3">
        <v>188955.12000000002</v>
      </c>
      <c r="L252" t="s">
        <v>15</v>
      </c>
      <c r="M252">
        <v>4.7</v>
      </c>
    </row>
    <row r="253" spans="1:13" x14ac:dyDescent="0.25">
      <c r="A253">
        <v>252</v>
      </c>
      <c r="B253" s="1">
        <v>42469</v>
      </c>
      <c r="C253" s="1">
        <v>42658</v>
      </c>
      <c r="D253" t="s">
        <v>22</v>
      </c>
      <c r="E253" t="s">
        <v>24</v>
      </c>
      <c r="F253" s="2">
        <v>164</v>
      </c>
      <c r="G253" t="s">
        <v>12</v>
      </c>
      <c r="H253" s="3">
        <v>64193.599999999999</v>
      </c>
      <c r="I253" s="3">
        <v>1658525</v>
      </c>
      <c r="J253" s="3">
        <v>1326820</v>
      </c>
      <c r="K253" s="3">
        <v>267511.40000000002</v>
      </c>
      <c r="L253" t="s">
        <v>18</v>
      </c>
      <c r="M253">
        <v>4.5999999999999996</v>
      </c>
    </row>
    <row r="254" spans="1:13" x14ac:dyDescent="0.25">
      <c r="A254">
        <v>253</v>
      </c>
      <c r="B254" s="1">
        <v>42470</v>
      </c>
      <c r="C254" s="1">
        <v>42590</v>
      </c>
      <c r="D254" t="s">
        <v>21</v>
      </c>
      <c r="E254" t="s">
        <v>29</v>
      </c>
      <c r="F254" s="2">
        <v>99</v>
      </c>
      <c r="G254" t="s">
        <v>11</v>
      </c>
      <c r="H254" s="3">
        <v>21671.24</v>
      </c>
      <c r="I254" s="3">
        <v>603691</v>
      </c>
      <c r="J254" s="3">
        <v>482952.8</v>
      </c>
      <c r="K254" s="3">
        <v>99066.96</v>
      </c>
      <c r="L254" t="s">
        <v>18</v>
      </c>
      <c r="M254">
        <v>4.3</v>
      </c>
    </row>
    <row r="255" spans="1:13" x14ac:dyDescent="0.25">
      <c r="A255">
        <v>254</v>
      </c>
      <c r="B255" s="1">
        <v>42470</v>
      </c>
      <c r="C255" s="1">
        <v>42672</v>
      </c>
      <c r="D255" t="s">
        <v>20</v>
      </c>
      <c r="E255" t="s">
        <v>29</v>
      </c>
      <c r="F255" s="2">
        <v>62</v>
      </c>
      <c r="G255" t="s">
        <v>11</v>
      </c>
      <c r="H255" s="3">
        <v>14284.56</v>
      </c>
      <c r="I255" s="3">
        <v>416174</v>
      </c>
      <c r="J255" s="3">
        <v>332939.2</v>
      </c>
      <c r="K255" s="3">
        <v>68950.239999999991</v>
      </c>
      <c r="L255" t="s">
        <v>15</v>
      </c>
      <c r="M255">
        <v>3.8</v>
      </c>
    </row>
    <row r="256" spans="1:13" x14ac:dyDescent="0.25">
      <c r="A256">
        <v>255</v>
      </c>
      <c r="B256" s="1">
        <v>42470</v>
      </c>
      <c r="C256" s="1">
        <v>42798</v>
      </c>
      <c r="D256" t="s">
        <v>22</v>
      </c>
      <c r="E256" t="s">
        <v>26</v>
      </c>
      <c r="F256" s="2">
        <v>43</v>
      </c>
      <c r="G256" t="s">
        <v>11</v>
      </c>
      <c r="H256" s="3">
        <v>16273.44</v>
      </c>
      <c r="I256" s="3">
        <v>461021</v>
      </c>
      <c r="J256" s="3">
        <v>368816.8</v>
      </c>
      <c r="K256" s="3">
        <v>75930.760000000009</v>
      </c>
      <c r="L256" t="s">
        <v>15</v>
      </c>
      <c r="M256">
        <v>4.4000000000000004</v>
      </c>
    </row>
    <row r="257" spans="1:13" x14ac:dyDescent="0.25">
      <c r="A257">
        <v>256</v>
      </c>
      <c r="B257" s="1">
        <v>42470</v>
      </c>
      <c r="C257" s="1">
        <v>42648</v>
      </c>
      <c r="D257" t="s">
        <v>22</v>
      </c>
      <c r="E257" t="s">
        <v>13</v>
      </c>
      <c r="F257" s="2">
        <v>233</v>
      </c>
      <c r="G257" t="s">
        <v>12</v>
      </c>
      <c r="H257" s="3">
        <v>63975.16</v>
      </c>
      <c r="I257" s="3">
        <v>1656789</v>
      </c>
      <c r="J257" s="3">
        <v>1325431.2</v>
      </c>
      <c r="K257" s="3">
        <v>267382.64</v>
      </c>
      <c r="L257" t="s">
        <v>14</v>
      </c>
      <c r="M257">
        <v>4</v>
      </c>
    </row>
    <row r="258" spans="1:13" x14ac:dyDescent="0.25">
      <c r="A258">
        <v>257</v>
      </c>
      <c r="B258" s="1">
        <v>42471</v>
      </c>
      <c r="C258" s="1">
        <v>42775</v>
      </c>
      <c r="D258" t="s">
        <v>23</v>
      </c>
      <c r="E258" t="s">
        <v>29</v>
      </c>
      <c r="F258" s="2">
        <v>256</v>
      </c>
      <c r="G258" t="s">
        <v>12</v>
      </c>
      <c r="H258" s="3">
        <v>48147.88</v>
      </c>
      <c r="I258" s="3">
        <v>1257182</v>
      </c>
      <c r="J258" s="3">
        <v>1005745.6</v>
      </c>
      <c r="K258" s="3">
        <v>203288.52000000002</v>
      </c>
      <c r="L258" t="s">
        <v>14</v>
      </c>
      <c r="M258">
        <v>4.5</v>
      </c>
    </row>
    <row r="259" spans="1:13" x14ac:dyDescent="0.25">
      <c r="A259">
        <v>258</v>
      </c>
      <c r="B259" s="1">
        <v>42471</v>
      </c>
      <c r="C259" s="1">
        <v>42779</v>
      </c>
      <c r="D259" t="s">
        <v>22</v>
      </c>
      <c r="E259" t="s">
        <v>29</v>
      </c>
      <c r="F259" s="2">
        <v>235</v>
      </c>
      <c r="G259" t="s">
        <v>12</v>
      </c>
      <c r="H259" s="3">
        <v>43189.919999999998</v>
      </c>
      <c r="I259" s="3">
        <v>1136133</v>
      </c>
      <c r="J259" s="3">
        <v>908906.4</v>
      </c>
      <c r="K259" s="3">
        <v>184036.68</v>
      </c>
      <c r="L259" t="s">
        <v>18</v>
      </c>
      <c r="M259">
        <v>4.9000000000000004</v>
      </c>
    </row>
    <row r="260" spans="1:13" x14ac:dyDescent="0.25">
      <c r="A260">
        <v>259</v>
      </c>
      <c r="B260" s="1">
        <v>42471</v>
      </c>
      <c r="C260" s="1">
        <v>42792</v>
      </c>
      <c r="D260" t="s">
        <v>20</v>
      </c>
      <c r="E260" t="s">
        <v>25</v>
      </c>
      <c r="F260" s="2">
        <v>135</v>
      </c>
      <c r="G260" t="s">
        <v>12</v>
      </c>
      <c r="H260" s="3">
        <v>46707.48</v>
      </c>
      <c r="I260" s="3">
        <v>1219697</v>
      </c>
      <c r="J260" s="3">
        <v>975757.6</v>
      </c>
      <c r="K260" s="3">
        <v>197231.92</v>
      </c>
      <c r="L260" t="s">
        <v>19</v>
      </c>
      <c r="M260">
        <v>5</v>
      </c>
    </row>
    <row r="261" spans="1:13" x14ac:dyDescent="0.25">
      <c r="A261">
        <v>260</v>
      </c>
      <c r="B261" s="1">
        <v>42472</v>
      </c>
      <c r="C261" s="1">
        <v>42713</v>
      </c>
      <c r="D261" t="s">
        <v>23</v>
      </c>
      <c r="E261" t="s">
        <v>29</v>
      </c>
      <c r="F261" s="2">
        <v>253</v>
      </c>
      <c r="G261" t="s">
        <v>12</v>
      </c>
      <c r="H261" s="3">
        <v>68978.559999999998</v>
      </c>
      <c r="I261" s="3">
        <v>1786499</v>
      </c>
      <c r="J261" s="3">
        <v>1429199.2</v>
      </c>
      <c r="K261" s="3">
        <v>288321.24000000005</v>
      </c>
      <c r="L261" t="s">
        <v>19</v>
      </c>
      <c r="M261">
        <v>4.5</v>
      </c>
    </row>
    <row r="262" spans="1:13" x14ac:dyDescent="0.25">
      <c r="A262">
        <v>261</v>
      </c>
      <c r="B262" s="1">
        <v>42472</v>
      </c>
      <c r="C262" s="1">
        <v>42832</v>
      </c>
      <c r="D262" t="s">
        <v>23</v>
      </c>
      <c r="E262" t="s">
        <v>29</v>
      </c>
      <c r="F262" s="2">
        <v>196</v>
      </c>
      <c r="G262" t="s">
        <v>12</v>
      </c>
      <c r="H262" s="3">
        <v>43106.32</v>
      </c>
      <c r="I262" s="3">
        <v>1143593</v>
      </c>
      <c r="J262" s="3">
        <v>914874.4</v>
      </c>
      <c r="K262" s="3">
        <v>185612.27999999997</v>
      </c>
      <c r="L262" t="s">
        <v>16</v>
      </c>
      <c r="M262">
        <v>4.9000000000000004</v>
      </c>
    </row>
    <row r="263" spans="1:13" x14ac:dyDescent="0.25">
      <c r="A263">
        <v>262</v>
      </c>
      <c r="B263" s="1">
        <v>42472</v>
      </c>
      <c r="C263" s="1">
        <v>42627</v>
      </c>
      <c r="D263" t="s">
        <v>20</v>
      </c>
      <c r="E263" t="s">
        <v>27</v>
      </c>
      <c r="F263" s="2">
        <v>175</v>
      </c>
      <c r="G263" t="s">
        <v>12</v>
      </c>
      <c r="H263" s="3">
        <v>57078.16</v>
      </c>
      <c r="I263" s="3">
        <v>1486114</v>
      </c>
      <c r="J263" s="3">
        <v>1188891.2</v>
      </c>
      <c r="K263" s="3">
        <v>240144.64000000004</v>
      </c>
      <c r="L263" t="s">
        <v>19</v>
      </c>
      <c r="M263">
        <v>4.4000000000000004</v>
      </c>
    </row>
    <row r="264" spans="1:13" x14ac:dyDescent="0.25">
      <c r="A264">
        <v>263</v>
      </c>
      <c r="B264" s="1">
        <v>42473</v>
      </c>
      <c r="C264" s="1">
        <v>42588</v>
      </c>
      <c r="D264" t="s">
        <v>22</v>
      </c>
      <c r="E264" t="s">
        <v>28</v>
      </c>
      <c r="F264" s="2">
        <v>237</v>
      </c>
      <c r="G264" t="s">
        <v>12</v>
      </c>
      <c r="H264" s="3">
        <v>39442.519999999997</v>
      </c>
      <c r="I264" s="3">
        <v>1043473</v>
      </c>
      <c r="J264" s="3">
        <v>834778.4</v>
      </c>
      <c r="K264" s="3">
        <v>169252.08</v>
      </c>
      <c r="L264" t="s">
        <v>18</v>
      </c>
      <c r="M264">
        <v>4.5</v>
      </c>
    </row>
    <row r="265" spans="1:13" x14ac:dyDescent="0.25">
      <c r="A265">
        <v>264</v>
      </c>
      <c r="B265" s="1">
        <v>42474</v>
      </c>
      <c r="C265" s="1">
        <v>42796</v>
      </c>
      <c r="D265" t="s">
        <v>21</v>
      </c>
      <c r="E265" t="s">
        <v>13</v>
      </c>
      <c r="F265" s="2">
        <v>253</v>
      </c>
      <c r="G265" t="s">
        <v>12</v>
      </c>
      <c r="H265" s="3">
        <v>69716.479999999996</v>
      </c>
      <c r="I265" s="3">
        <v>1807397</v>
      </c>
      <c r="J265" s="3">
        <v>1445917.6</v>
      </c>
      <c r="K265" s="3">
        <v>291762.91999999993</v>
      </c>
      <c r="L265" t="s">
        <v>17</v>
      </c>
      <c r="M265">
        <v>4</v>
      </c>
    </row>
    <row r="266" spans="1:13" x14ac:dyDescent="0.25">
      <c r="A266">
        <v>265</v>
      </c>
      <c r="B266" s="1">
        <v>42474</v>
      </c>
      <c r="C266" s="1">
        <v>42695</v>
      </c>
      <c r="D266" t="s">
        <v>20</v>
      </c>
      <c r="E266" t="s">
        <v>13</v>
      </c>
      <c r="F266" s="2">
        <v>102</v>
      </c>
      <c r="G266" t="s">
        <v>12</v>
      </c>
      <c r="H266" s="3">
        <v>35880.199999999997</v>
      </c>
      <c r="I266" s="3">
        <v>963740</v>
      </c>
      <c r="J266" s="3">
        <v>770992</v>
      </c>
      <c r="K266" s="3">
        <v>156867.79999999999</v>
      </c>
      <c r="L266" t="s">
        <v>19</v>
      </c>
      <c r="M266">
        <v>4.4000000000000004</v>
      </c>
    </row>
    <row r="267" spans="1:13" x14ac:dyDescent="0.25">
      <c r="A267">
        <v>266</v>
      </c>
      <c r="B267" s="1">
        <v>42474</v>
      </c>
      <c r="C267" s="1">
        <v>42629</v>
      </c>
      <c r="D267" t="s">
        <v>22</v>
      </c>
      <c r="E267" t="s">
        <v>13</v>
      </c>
      <c r="F267" s="2">
        <v>209</v>
      </c>
      <c r="G267" t="s">
        <v>12</v>
      </c>
      <c r="H267" s="3">
        <v>44217.68</v>
      </c>
      <c r="I267" s="3">
        <v>1162277</v>
      </c>
      <c r="J267" s="3">
        <v>929821.6</v>
      </c>
      <c r="K267" s="3">
        <v>188237.72000000003</v>
      </c>
      <c r="L267" t="s">
        <v>17</v>
      </c>
      <c r="M267">
        <v>4.8</v>
      </c>
    </row>
    <row r="268" spans="1:13" x14ac:dyDescent="0.25">
      <c r="A268">
        <v>267</v>
      </c>
      <c r="B268" s="1">
        <v>42474</v>
      </c>
      <c r="C268" s="1">
        <v>42640</v>
      </c>
      <c r="D268" t="s">
        <v>21</v>
      </c>
      <c r="E268" t="s">
        <v>27</v>
      </c>
      <c r="F268" s="2">
        <v>199</v>
      </c>
      <c r="G268" t="s">
        <v>12</v>
      </c>
      <c r="H268" s="3">
        <v>50679.64</v>
      </c>
      <c r="I268" s="3">
        <v>1327601</v>
      </c>
      <c r="J268" s="3">
        <v>1062080.8</v>
      </c>
      <c r="K268" s="3">
        <v>214840.55999999994</v>
      </c>
      <c r="L268" t="s">
        <v>14</v>
      </c>
      <c r="M268">
        <v>4.3</v>
      </c>
    </row>
    <row r="269" spans="1:13" x14ac:dyDescent="0.25">
      <c r="A269">
        <v>268</v>
      </c>
      <c r="B269" s="1">
        <v>42475</v>
      </c>
      <c r="C269" s="1">
        <v>42781</v>
      </c>
      <c r="D269" t="s">
        <v>22</v>
      </c>
      <c r="E269" t="s">
        <v>28</v>
      </c>
      <c r="F269" s="2">
        <v>146</v>
      </c>
      <c r="G269" t="s">
        <v>12</v>
      </c>
      <c r="H269" s="3">
        <v>38041</v>
      </c>
      <c r="I269" s="3">
        <v>1004735</v>
      </c>
      <c r="J269" s="3">
        <v>803788</v>
      </c>
      <c r="K269" s="3">
        <v>162906</v>
      </c>
      <c r="L269" t="s">
        <v>18</v>
      </c>
      <c r="M269">
        <v>4.4000000000000004</v>
      </c>
    </row>
    <row r="270" spans="1:13" x14ac:dyDescent="0.25">
      <c r="A270">
        <v>269</v>
      </c>
      <c r="B270" s="1">
        <v>42475</v>
      </c>
      <c r="C270" s="1">
        <v>42614</v>
      </c>
      <c r="D270" t="s">
        <v>22</v>
      </c>
      <c r="E270" t="s">
        <v>26</v>
      </c>
      <c r="F270" s="2">
        <v>49</v>
      </c>
      <c r="G270" t="s">
        <v>11</v>
      </c>
      <c r="H270" s="3">
        <v>17219.52</v>
      </c>
      <c r="I270" s="3">
        <v>483373</v>
      </c>
      <c r="J270" s="3">
        <v>386698.4</v>
      </c>
      <c r="K270" s="3">
        <v>79455.079999999973</v>
      </c>
      <c r="L270" t="s">
        <v>18</v>
      </c>
      <c r="M270">
        <v>4.7</v>
      </c>
    </row>
    <row r="271" spans="1:13" x14ac:dyDescent="0.25">
      <c r="A271">
        <v>270</v>
      </c>
      <c r="B271" s="1">
        <v>42475</v>
      </c>
      <c r="C271" s="1">
        <v>42674</v>
      </c>
      <c r="D271" t="s">
        <v>20</v>
      </c>
      <c r="E271" t="s">
        <v>28</v>
      </c>
      <c r="F271" s="2">
        <v>220</v>
      </c>
      <c r="G271" t="s">
        <v>12</v>
      </c>
      <c r="H271" s="3">
        <v>53099.24</v>
      </c>
      <c r="I271" s="3">
        <v>1379391</v>
      </c>
      <c r="J271" s="3">
        <v>1103512.8</v>
      </c>
      <c r="K271" s="3">
        <v>222778.95999999996</v>
      </c>
      <c r="L271" t="s">
        <v>16</v>
      </c>
      <c r="M271">
        <v>4</v>
      </c>
    </row>
    <row r="272" spans="1:13" x14ac:dyDescent="0.25">
      <c r="A272">
        <v>271</v>
      </c>
      <c r="B272" s="1">
        <v>42475</v>
      </c>
      <c r="C272" s="1">
        <v>42737</v>
      </c>
      <c r="D272" t="s">
        <v>22</v>
      </c>
      <c r="E272" t="s">
        <v>29</v>
      </c>
      <c r="F272" s="2">
        <v>233</v>
      </c>
      <c r="G272" t="s">
        <v>12</v>
      </c>
      <c r="H272" s="3">
        <v>42665.24</v>
      </c>
      <c r="I272" s="3">
        <v>1129766</v>
      </c>
      <c r="J272" s="3">
        <v>903812.8</v>
      </c>
      <c r="K272" s="3">
        <v>183287.95999999996</v>
      </c>
      <c r="L272" t="s">
        <v>17</v>
      </c>
      <c r="M272">
        <v>3.8</v>
      </c>
    </row>
    <row r="273" spans="1:13" x14ac:dyDescent="0.25">
      <c r="A273">
        <v>272</v>
      </c>
      <c r="B273" s="1">
        <v>42475</v>
      </c>
      <c r="C273" s="1">
        <v>42616</v>
      </c>
      <c r="D273" t="s">
        <v>20</v>
      </c>
      <c r="E273" t="s">
        <v>24</v>
      </c>
      <c r="F273" s="2">
        <v>267</v>
      </c>
      <c r="G273" t="s">
        <v>12</v>
      </c>
      <c r="H273" s="3">
        <v>95272.4</v>
      </c>
      <c r="I273" s="3">
        <v>2445695</v>
      </c>
      <c r="J273" s="3">
        <v>1956556</v>
      </c>
      <c r="K273" s="3">
        <v>393866.6</v>
      </c>
      <c r="L273" t="s">
        <v>14</v>
      </c>
      <c r="M273">
        <v>4.0999999999999996</v>
      </c>
    </row>
    <row r="274" spans="1:13" x14ac:dyDescent="0.25">
      <c r="A274">
        <v>273</v>
      </c>
      <c r="B274" s="1">
        <v>42475</v>
      </c>
      <c r="C274" s="1">
        <v>42780</v>
      </c>
      <c r="D274" t="s">
        <v>22</v>
      </c>
      <c r="E274" t="s">
        <v>29</v>
      </c>
      <c r="F274" s="2">
        <v>115</v>
      </c>
      <c r="G274" t="s">
        <v>11</v>
      </c>
      <c r="H274" s="3">
        <v>28180.2</v>
      </c>
      <c r="I274" s="3">
        <v>759365</v>
      </c>
      <c r="J274" s="3">
        <v>607492</v>
      </c>
      <c r="K274" s="3">
        <v>123692.8</v>
      </c>
      <c r="L274" t="s">
        <v>16</v>
      </c>
      <c r="M274">
        <v>3.9</v>
      </c>
    </row>
    <row r="275" spans="1:13" x14ac:dyDescent="0.25">
      <c r="A275">
        <v>274</v>
      </c>
      <c r="B275" s="1">
        <v>42475</v>
      </c>
      <c r="C275" s="1">
        <v>42811</v>
      </c>
      <c r="D275" t="s">
        <v>22</v>
      </c>
      <c r="E275" t="s">
        <v>24</v>
      </c>
      <c r="F275" s="2">
        <v>110</v>
      </c>
      <c r="G275" t="s">
        <v>12</v>
      </c>
      <c r="H275" s="3">
        <v>43113.2</v>
      </c>
      <c r="I275" s="3">
        <v>1139365</v>
      </c>
      <c r="J275" s="3">
        <v>911492</v>
      </c>
      <c r="K275" s="3">
        <v>184759.8</v>
      </c>
      <c r="L275" t="s">
        <v>17</v>
      </c>
      <c r="M275">
        <v>4.8</v>
      </c>
    </row>
    <row r="276" spans="1:13" x14ac:dyDescent="0.25">
      <c r="A276">
        <v>275</v>
      </c>
      <c r="B276" s="1">
        <v>42476</v>
      </c>
      <c r="C276" s="1">
        <v>42694</v>
      </c>
      <c r="D276" t="s">
        <v>22</v>
      </c>
      <c r="E276" t="s">
        <v>27</v>
      </c>
      <c r="F276" s="2">
        <v>189</v>
      </c>
      <c r="G276" t="s">
        <v>12</v>
      </c>
      <c r="H276" s="3">
        <v>42112.959999999999</v>
      </c>
      <c r="I276" s="3">
        <v>1115934</v>
      </c>
      <c r="J276" s="3">
        <v>892747.2</v>
      </c>
      <c r="K276" s="3">
        <v>181073.84000000005</v>
      </c>
      <c r="L276" t="s">
        <v>15</v>
      </c>
      <c r="M276">
        <v>4.5999999999999996</v>
      </c>
    </row>
    <row r="277" spans="1:13" x14ac:dyDescent="0.25">
      <c r="A277">
        <v>276</v>
      </c>
      <c r="B277" s="1">
        <v>42477</v>
      </c>
      <c r="C277" s="1">
        <v>42691</v>
      </c>
      <c r="D277" t="s">
        <v>21</v>
      </c>
      <c r="E277" t="s">
        <v>29</v>
      </c>
      <c r="F277" s="2">
        <v>106</v>
      </c>
      <c r="G277" t="s">
        <v>12</v>
      </c>
      <c r="H277" s="3">
        <v>40527</v>
      </c>
      <c r="I277" s="3">
        <v>1075985</v>
      </c>
      <c r="J277" s="3">
        <v>860788</v>
      </c>
      <c r="K277" s="3">
        <v>174670</v>
      </c>
      <c r="L277" t="s">
        <v>15</v>
      </c>
      <c r="M277">
        <v>4.2</v>
      </c>
    </row>
    <row r="278" spans="1:13" x14ac:dyDescent="0.25">
      <c r="A278">
        <v>277</v>
      </c>
      <c r="B278" s="1">
        <v>42477</v>
      </c>
      <c r="C278" s="1">
        <v>42741</v>
      </c>
      <c r="D278" t="s">
        <v>22</v>
      </c>
      <c r="E278" t="s">
        <v>27</v>
      </c>
      <c r="F278" s="2">
        <v>206</v>
      </c>
      <c r="G278" t="s">
        <v>12</v>
      </c>
      <c r="H278" s="3">
        <v>80651.44</v>
      </c>
      <c r="I278" s="3">
        <v>2075071</v>
      </c>
      <c r="J278" s="3">
        <v>1660056.8</v>
      </c>
      <c r="K278" s="3">
        <v>334362.75999999995</v>
      </c>
      <c r="L278" t="s">
        <v>17</v>
      </c>
      <c r="M278">
        <v>5</v>
      </c>
    </row>
    <row r="279" spans="1:13" x14ac:dyDescent="0.25">
      <c r="A279">
        <v>278</v>
      </c>
      <c r="B279" s="1">
        <v>42477</v>
      </c>
      <c r="C279" s="1">
        <v>42607</v>
      </c>
      <c r="D279" t="s">
        <v>23</v>
      </c>
      <c r="E279" t="s">
        <v>28</v>
      </c>
      <c r="F279" s="2">
        <v>118</v>
      </c>
      <c r="G279" t="s">
        <v>12</v>
      </c>
      <c r="H279" s="3">
        <v>32910</v>
      </c>
      <c r="I279" s="3">
        <v>890235</v>
      </c>
      <c r="J279" s="3">
        <v>712188</v>
      </c>
      <c r="K279" s="3">
        <v>145137</v>
      </c>
      <c r="L279" t="s">
        <v>14</v>
      </c>
      <c r="M279">
        <v>4.5</v>
      </c>
    </row>
    <row r="280" spans="1:13" x14ac:dyDescent="0.25">
      <c r="A280">
        <v>279</v>
      </c>
      <c r="B280" s="1">
        <v>42478</v>
      </c>
      <c r="C280" s="1">
        <v>42792</v>
      </c>
      <c r="D280" t="s">
        <v>23</v>
      </c>
      <c r="E280" t="s">
        <v>24</v>
      </c>
      <c r="F280" s="2">
        <v>240</v>
      </c>
      <c r="G280" t="s">
        <v>12</v>
      </c>
      <c r="H280" s="3">
        <v>55905.24</v>
      </c>
      <c r="I280" s="3">
        <v>1451441</v>
      </c>
      <c r="J280" s="3">
        <v>1161152.8</v>
      </c>
      <c r="K280" s="3">
        <v>234382.95999999996</v>
      </c>
      <c r="L280" t="s">
        <v>18</v>
      </c>
      <c r="M280">
        <v>4.5</v>
      </c>
    </row>
    <row r="281" spans="1:13" x14ac:dyDescent="0.25">
      <c r="A281">
        <v>280</v>
      </c>
      <c r="B281" s="1">
        <v>42478</v>
      </c>
      <c r="C281" s="1">
        <v>42607</v>
      </c>
      <c r="D281" t="s">
        <v>22</v>
      </c>
      <c r="E281" t="s">
        <v>28</v>
      </c>
      <c r="F281" s="2">
        <v>148</v>
      </c>
      <c r="G281" t="s">
        <v>12</v>
      </c>
      <c r="H281" s="3">
        <v>34629.160000000003</v>
      </c>
      <c r="I281" s="3">
        <v>918289</v>
      </c>
      <c r="J281" s="3">
        <v>734631.2</v>
      </c>
      <c r="K281" s="3">
        <v>149028.64000000004</v>
      </c>
      <c r="L281" t="s">
        <v>15</v>
      </c>
      <c r="M281">
        <v>4.8</v>
      </c>
    </row>
    <row r="282" spans="1:13" x14ac:dyDescent="0.25">
      <c r="A282">
        <v>281</v>
      </c>
      <c r="B282" s="1">
        <v>42478</v>
      </c>
      <c r="C282" s="1">
        <v>42838</v>
      </c>
      <c r="D282" t="s">
        <v>21</v>
      </c>
      <c r="E282" t="s">
        <v>27</v>
      </c>
      <c r="F282" s="2">
        <v>253</v>
      </c>
      <c r="G282" t="s">
        <v>12</v>
      </c>
      <c r="H282" s="3">
        <v>42255.12</v>
      </c>
      <c r="I282" s="3">
        <v>1117763</v>
      </c>
      <c r="J282" s="3">
        <v>894210.4</v>
      </c>
      <c r="K282" s="3">
        <v>181297.47999999998</v>
      </c>
      <c r="L282" t="s">
        <v>14</v>
      </c>
      <c r="M282">
        <v>4.3</v>
      </c>
    </row>
    <row r="283" spans="1:13" x14ac:dyDescent="0.25">
      <c r="A283">
        <v>282</v>
      </c>
      <c r="B283" s="1">
        <v>42478</v>
      </c>
      <c r="C283" s="1">
        <v>42732</v>
      </c>
      <c r="D283" t="s">
        <v>23</v>
      </c>
      <c r="E283" t="s">
        <v>29</v>
      </c>
      <c r="F283" s="2">
        <v>282</v>
      </c>
      <c r="G283" t="s">
        <v>12</v>
      </c>
      <c r="H283" s="3">
        <v>100710.2</v>
      </c>
      <c r="I283" s="3">
        <v>2570990</v>
      </c>
      <c r="J283" s="3">
        <v>2056792</v>
      </c>
      <c r="K283" s="3">
        <v>413487.8</v>
      </c>
      <c r="L283" t="s">
        <v>17</v>
      </c>
      <c r="M283">
        <v>4.9000000000000004</v>
      </c>
    </row>
    <row r="284" spans="1:13" x14ac:dyDescent="0.25">
      <c r="A284">
        <v>283</v>
      </c>
      <c r="B284" s="1">
        <v>42478</v>
      </c>
      <c r="C284" s="1">
        <v>42701</v>
      </c>
      <c r="D284" t="s">
        <v>22</v>
      </c>
      <c r="E284" t="s">
        <v>27</v>
      </c>
      <c r="F284" s="2">
        <v>130</v>
      </c>
      <c r="G284" t="s">
        <v>12</v>
      </c>
      <c r="H284" s="3">
        <v>52706.92</v>
      </c>
      <c r="I284" s="3">
        <v>1372783</v>
      </c>
      <c r="J284" s="3">
        <v>1098226.3999999999</v>
      </c>
      <c r="K284" s="3">
        <v>221849.68000000011</v>
      </c>
      <c r="L284" t="s">
        <v>15</v>
      </c>
      <c r="M284">
        <v>4.5999999999999996</v>
      </c>
    </row>
    <row r="285" spans="1:13" x14ac:dyDescent="0.25">
      <c r="A285">
        <v>284</v>
      </c>
      <c r="B285" s="1">
        <v>42479</v>
      </c>
      <c r="C285" s="1">
        <v>42663</v>
      </c>
      <c r="D285" t="s">
        <v>22</v>
      </c>
      <c r="E285" t="s">
        <v>28</v>
      </c>
      <c r="F285" s="2">
        <v>256</v>
      </c>
      <c r="G285" t="s">
        <v>12</v>
      </c>
      <c r="H285" s="3">
        <v>95465.919999999998</v>
      </c>
      <c r="I285" s="3">
        <v>2441383</v>
      </c>
      <c r="J285" s="3">
        <v>1953106.4</v>
      </c>
      <c r="K285" s="3">
        <v>392810.68000000011</v>
      </c>
      <c r="L285" t="s">
        <v>19</v>
      </c>
      <c r="M285">
        <v>3.6</v>
      </c>
    </row>
    <row r="286" spans="1:13" x14ac:dyDescent="0.25">
      <c r="A286">
        <v>285</v>
      </c>
      <c r="B286" s="1">
        <v>42479</v>
      </c>
      <c r="C286" s="1">
        <v>42745</v>
      </c>
      <c r="D286" t="s">
        <v>23</v>
      </c>
      <c r="E286" t="s">
        <v>26</v>
      </c>
      <c r="F286" s="2">
        <v>140</v>
      </c>
      <c r="G286" t="s">
        <v>11</v>
      </c>
      <c r="H286" s="3">
        <v>27432.48</v>
      </c>
      <c r="I286" s="3">
        <v>749197</v>
      </c>
      <c r="J286" s="3">
        <v>599357.6</v>
      </c>
      <c r="K286" s="3">
        <v>122406.92000000003</v>
      </c>
      <c r="L286" t="s">
        <v>17</v>
      </c>
      <c r="M286">
        <v>4.2</v>
      </c>
    </row>
    <row r="287" spans="1:13" x14ac:dyDescent="0.25">
      <c r="A287">
        <v>286</v>
      </c>
      <c r="B287" s="1">
        <v>42479</v>
      </c>
      <c r="C287" s="1">
        <v>42759</v>
      </c>
      <c r="D287" t="s">
        <v>23</v>
      </c>
      <c r="E287" t="s">
        <v>24</v>
      </c>
      <c r="F287" s="2">
        <v>59</v>
      </c>
      <c r="G287" t="s">
        <v>11</v>
      </c>
      <c r="H287" s="3">
        <v>19808.8</v>
      </c>
      <c r="I287" s="3">
        <v>560255</v>
      </c>
      <c r="J287" s="3">
        <v>448204</v>
      </c>
      <c r="K287" s="3">
        <v>92242.2</v>
      </c>
      <c r="L287" t="s">
        <v>17</v>
      </c>
      <c r="M287">
        <v>4.0999999999999996</v>
      </c>
    </row>
    <row r="288" spans="1:13" x14ac:dyDescent="0.25">
      <c r="A288">
        <v>287</v>
      </c>
      <c r="B288" s="1">
        <v>42479</v>
      </c>
      <c r="C288" s="1">
        <v>42573</v>
      </c>
      <c r="D288" t="s">
        <v>20</v>
      </c>
      <c r="E288" t="s">
        <v>25</v>
      </c>
      <c r="F288" s="2">
        <v>220</v>
      </c>
      <c r="G288" t="s">
        <v>12</v>
      </c>
      <c r="H288" s="3">
        <v>53345</v>
      </c>
      <c r="I288" s="3">
        <v>1397285</v>
      </c>
      <c r="J288" s="3">
        <v>1117828</v>
      </c>
      <c r="K288" s="3">
        <v>226112</v>
      </c>
      <c r="L288" t="s">
        <v>17</v>
      </c>
      <c r="M288">
        <v>4.4000000000000004</v>
      </c>
    </row>
    <row r="289" spans="1:13" x14ac:dyDescent="0.25">
      <c r="A289">
        <v>288</v>
      </c>
      <c r="B289" s="1">
        <v>42479</v>
      </c>
      <c r="C289" s="1">
        <v>42754</v>
      </c>
      <c r="D289" t="s">
        <v>21</v>
      </c>
      <c r="E289" t="s">
        <v>26</v>
      </c>
      <c r="F289" s="2">
        <v>173</v>
      </c>
      <c r="G289" t="s">
        <v>12</v>
      </c>
      <c r="H289" s="3">
        <v>35733.760000000002</v>
      </c>
      <c r="I289" s="3">
        <v>960779</v>
      </c>
      <c r="J289" s="3">
        <v>768623.2</v>
      </c>
      <c r="K289" s="3">
        <v>156422.04000000004</v>
      </c>
      <c r="L289" t="s">
        <v>19</v>
      </c>
      <c r="M289">
        <v>4.9000000000000004</v>
      </c>
    </row>
    <row r="290" spans="1:13" x14ac:dyDescent="0.25">
      <c r="A290">
        <v>289</v>
      </c>
      <c r="B290" s="1">
        <v>42480</v>
      </c>
      <c r="C290" s="1">
        <v>42783</v>
      </c>
      <c r="D290" t="s">
        <v>20</v>
      </c>
      <c r="E290" t="s">
        <v>24</v>
      </c>
      <c r="F290" s="2">
        <v>157</v>
      </c>
      <c r="G290" t="s">
        <v>12</v>
      </c>
      <c r="H290" s="3">
        <v>34682.36</v>
      </c>
      <c r="I290" s="3">
        <v>931844</v>
      </c>
      <c r="J290" s="3">
        <v>745475.2</v>
      </c>
      <c r="K290" s="3">
        <v>151686.44000000006</v>
      </c>
      <c r="L290" t="s">
        <v>15</v>
      </c>
      <c r="M290">
        <v>4.8</v>
      </c>
    </row>
    <row r="291" spans="1:13" x14ac:dyDescent="0.25">
      <c r="A291">
        <v>290</v>
      </c>
      <c r="B291" s="1">
        <v>42480</v>
      </c>
      <c r="C291" s="1">
        <v>42821</v>
      </c>
      <c r="D291" t="s">
        <v>22</v>
      </c>
      <c r="E291" t="s">
        <v>13</v>
      </c>
      <c r="F291" s="2">
        <v>223</v>
      </c>
      <c r="G291" t="s">
        <v>12</v>
      </c>
      <c r="H291" s="3">
        <v>56584.72</v>
      </c>
      <c r="I291" s="3">
        <v>1474303</v>
      </c>
      <c r="J291" s="3">
        <v>1179442.3999999999</v>
      </c>
      <c r="K291" s="3">
        <v>238275.88000000009</v>
      </c>
      <c r="L291" t="s">
        <v>17</v>
      </c>
      <c r="M291">
        <v>3.9</v>
      </c>
    </row>
    <row r="292" spans="1:13" x14ac:dyDescent="0.25">
      <c r="A292">
        <v>291</v>
      </c>
      <c r="B292" s="1">
        <v>42481</v>
      </c>
      <c r="C292" s="1">
        <v>42624</v>
      </c>
      <c r="D292" t="s">
        <v>22</v>
      </c>
      <c r="E292" t="s">
        <v>13</v>
      </c>
      <c r="F292" s="2">
        <v>292</v>
      </c>
      <c r="G292" t="s">
        <v>12</v>
      </c>
      <c r="H292" s="3">
        <v>74018</v>
      </c>
      <c r="I292" s="3">
        <v>1914160</v>
      </c>
      <c r="J292" s="3">
        <v>1531328</v>
      </c>
      <c r="K292" s="3">
        <v>308814</v>
      </c>
      <c r="L292" t="s">
        <v>15</v>
      </c>
      <c r="M292">
        <v>4.7</v>
      </c>
    </row>
    <row r="293" spans="1:13" x14ac:dyDescent="0.25">
      <c r="A293">
        <v>292</v>
      </c>
      <c r="B293" s="1">
        <v>42481</v>
      </c>
      <c r="C293" s="1">
        <v>42802</v>
      </c>
      <c r="D293" t="s">
        <v>20</v>
      </c>
      <c r="E293" t="s">
        <v>29</v>
      </c>
      <c r="F293" s="2">
        <v>51</v>
      </c>
      <c r="G293" t="s">
        <v>11</v>
      </c>
      <c r="H293" s="3">
        <v>9206.76</v>
      </c>
      <c r="I293" s="3">
        <v>294929</v>
      </c>
      <c r="J293" s="3">
        <v>235943.2</v>
      </c>
      <c r="K293" s="3">
        <v>49779.039999999986</v>
      </c>
      <c r="L293" t="s">
        <v>15</v>
      </c>
      <c r="M293">
        <v>4.2</v>
      </c>
    </row>
    <row r="294" spans="1:13" x14ac:dyDescent="0.25">
      <c r="A294">
        <v>293</v>
      </c>
      <c r="B294" s="1">
        <v>42482</v>
      </c>
      <c r="C294" s="1">
        <v>42775</v>
      </c>
      <c r="D294" t="s">
        <v>23</v>
      </c>
      <c r="E294" t="s">
        <v>25</v>
      </c>
      <c r="F294" s="2">
        <v>79</v>
      </c>
      <c r="G294" t="s">
        <v>11</v>
      </c>
      <c r="H294" s="3">
        <v>16184.72</v>
      </c>
      <c r="I294" s="3">
        <v>466903</v>
      </c>
      <c r="J294" s="3">
        <v>373522.4</v>
      </c>
      <c r="K294" s="3">
        <v>77195.879999999976</v>
      </c>
      <c r="L294" t="s">
        <v>19</v>
      </c>
      <c r="M294">
        <v>4.7</v>
      </c>
    </row>
    <row r="295" spans="1:13" x14ac:dyDescent="0.25">
      <c r="A295">
        <v>294</v>
      </c>
      <c r="B295" s="1">
        <v>42482</v>
      </c>
      <c r="C295" s="1">
        <v>42812</v>
      </c>
      <c r="D295" t="s">
        <v>20</v>
      </c>
      <c r="E295" t="s">
        <v>29</v>
      </c>
      <c r="F295" s="2">
        <v>82</v>
      </c>
      <c r="G295" t="s">
        <v>11</v>
      </c>
      <c r="H295" s="3">
        <v>22570.400000000001</v>
      </c>
      <c r="I295" s="3">
        <v>626445</v>
      </c>
      <c r="J295" s="3">
        <v>501156</v>
      </c>
      <c r="K295" s="3">
        <v>102718.6</v>
      </c>
      <c r="L295" t="s">
        <v>14</v>
      </c>
      <c r="M295">
        <v>4.4000000000000004</v>
      </c>
    </row>
    <row r="296" spans="1:13" x14ac:dyDescent="0.25">
      <c r="A296">
        <v>295</v>
      </c>
      <c r="B296" s="1">
        <v>42482</v>
      </c>
      <c r="C296" s="1">
        <v>42695</v>
      </c>
      <c r="D296" t="s">
        <v>22</v>
      </c>
      <c r="E296" t="s">
        <v>24</v>
      </c>
      <c r="F296" s="2">
        <v>127</v>
      </c>
      <c r="G296" t="s">
        <v>12</v>
      </c>
      <c r="H296" s="3">
        <v>30256.799999999999</v>
      </c>
      <c r="I296" s="3">
        <v>823180</v>
      </c>
      <c r="J296" s="3">
        <v>658544</v>
      </c>
      <c r="K296" s="3">
        <v>134379.20000000001</v>
      </c>
      <c r="L296" t="s">
        <v>19</v>
      </c>
      <c r="M296">
        <v>4.8</v>
      </c>
    </row>
    <row r="297" spans="1:13" x14ac:dyDescent="0.25">
      <c r="A297">
        <v>296</v>
      </c>
      <c r="B297" s="1">
        <v>42482</v>
      </c>
      <c r="C297" s="1">
        <v>42822</v>
      </c>
      <c r="D297" t="s">
        <v>22</v>
      </c>
      <c r="E297" t="s">
        <v>27</v>
      </c>
      <c r="F297" s="2">
        <v>232</v>
      </c>
      <c r="G297" t="s">
        <v>12</v>
      </c>
      <c r="H297" s="3">
        <v>69849.2</v>
      </c>
      <c r="I297" s="3">
        <v>1810265</v>
      </c>
      <c r="J297" s="3">
        <v>1448212</v>
      </c>
      <c r="K297" s="3">
        <v>292203.8</v>
      </c>
      <c r="L297" t="s">
        <v>15</v>
      </c>
      <c r="M297">
        <v>4.0999999999999996</v>
      </c>
    </row>
    <row r="298" spans="1:13" x14ac:dyDescent="0.25">
      <c r="A298">
        <v>297</v>
      </c>
      <c r="B298" s="1">
        <v>42483</v>
      </c>
      <c r="C298" s="1">
        <v>42579</v>
      </c>
      <c r="D298" t="s">
        <v>21</v>
      </c>
      <c r="E298" t="s">
        <v>28</v>
      </c>
      <c r="F298" s="2">
        <v>281</v>
      </c>
      <c r="G298" t="s">
        <v>12</v>
      </c>
      <c r="H298" s="3">
        <v>107234.44</v>
      </c>
      <c r="I298" s="3">
        <v>2735621</v>
      </c>
      <c r="J298" s="3">
        <v>2188496.7999999998</v>
      </c>
      <c r="K298" s="3">
        <v>439889.76000000018</v>
      </c>
      <c r="L298" t="s">
        <v>15</v>
      </c>
      <c r="M298">
        <v>4.5</v>
      </c>
    </row>
    <row r="299" spans="1:13" x14ac:dyDescent="0.25">
      <c r="A299">
        <v>298</v>
      </c>
      <c r="B299" s="1">
        <v>42483</v>
      </c>
      <c r="C299" s="1">
        <v>42697</v>
      </c>
      <c r="D299" t="s">
        <v>22</v>
      </c>
      <c r="E299" t="s">
        <v>27</v>
      </c>
      <c r="F299" s="2">
        <v>101</v>
      </c>
      <c r="G299" t="s">
        <v>11</v>
      </c>
      <c r="H299" s="3">
        <v>23240.84</v>
      </c>
      <c r="I299" s="3">
        <v>637081</v>
      </c>
      <c r="J299" s="3">
        <v>509664.8</v>
      </c>
      <c r="K299" s="3">
        <v>104175.36000000002</v>
      </c>
      <c r="L299" t="s">
        <v>19</v>
      </c>
      <c r="M299">
        <v>3.6</v>
      </c>
    </row>
    <row r="300" spans="1:13" x14ac:dyDescent="0.25">
      <c r="A300">
        <v>299</v>
      </c>
      <c r="B300" s="1">
        <v>42483</v>
      </c>
      <c r="C300" s="1">
        <v>42841</v>
      </c>
      <c r="D300" t="s">
        <v>20</v>
      </c>
      <c r="E300" t="s">
        <v>29</v>
      </c>
      <c r="F300" s="2">
        <v>42</v>
      </c>
      <c r="G300" t="s">
        <v>11</v>
      </c>
      <c r="H300" s="3">
        <v>11188.8</v>
      </c>
      <c r="I300" s="3">
        <v>343655</v>
      </c>
      <c r="J300" s="3">
        <v>274924</v>
      </c>
      <c r="K300" s="3">
        <v>57542.2</v>
      </c>
      <c r="L300" t="s">
        <v>16</v>
      </c>
      <c r="M300">
        <v>4</v>
      </c>
    </row>
    <row r="301" spans="1:13" x14ac:dyDescent="0.25">
      <c r="A301">
        <v>300</v>
      </c>
      <c r="B301" s="1">
        <v>42483</v>
      </c>
      <c r="C301" s="1">
        <v>42772</v>
      </c>
      <c r="D301" t="s">
        <v>22</v>
      </c>
      <c r="E301" t="s">
        <v>29</v>
      </c>
      <c r="F301" s="2">
        <v>79</v>
      </c>
      <c r="G301" t="s">
        <v>11</v>
      </c>
      <c r="H301" s="3">
        <v>26615.200000000001</v>
      </c>
      <c r="I301" s="3">
        <v>719715</v>
      </c>
      <c r="J301" s="3">
        <v>575772</v>
      </c>
      <c r="K301" s="3">
        <v>117327.8</v>
      </c>
      <c r="L301" t="s">
        <v>14</v>
      </c>
      <c r="M301">
        <v>4.7</v>
      </c>
    </row>
    <row r="302" spans="1:13" x14ac:dyDescent="0.25">
      <c r="A302">
        <v>301</v>
      </c>
      <c r="B302" s="1">
        <v>42484</v>
      </c>
      <c r="C302" s="1">
        <v>42778</v>
      </c>
      <c r="D302" t="s">
        <v>20</v>
      </c>
      <c r="E302" t="s">
        <v>24</v>
      </c>
      <c r="F302" s="2">
        <v>172</v>
      </c>
      <c r="G302" t="s">
        <v>12</v>
      </c>
      <c r="H302" s="3">
        <v>57277.04</v>
      </c>
      <c r="I302" s="3">
        <v>1494661</v>
      </c>
      <c r="J302" s="3">
        <v>1195728.8</v>
      </c>
      <c r="K302" s="3">
        <v>241655.15999999995</v>
      </c>
      <c r="L302" t="s">
        <v>14</v>
      </c>
      <c r="M302">
        <v>4</v>
      </c>
    </row>
    <row r="303" spans="1:13" x14ac:dyDescent="0.25">
      <c r="A303">
        <v>302</v>
      </c>
      <c r="B303" s="1">
        <v>42484</v>
      </c>
      <c r="C303" s="1">
        <v>42816</v>
      </c>
      <c r="D303" t="s">
        <v>23</v>
      </c>
      <c r="E303" t="s">
        <v>13</v>
      </c>
      <c r="F303" s="2">
        <v>207</v>
      </c>
      <c r="G303" t="s">
        <v>12</v>
      </c>
      <c r="H303" s="3">
        <v>46078.76</v>
      </c>
      <c r="I303" s="3">
        <v>1208379</v>
      </c>
      <c r="J303" s="3">
        <v>966703.2</v>
      </c>
      <c r="K303" s="3">
        <v>195597.04000000004</v>
      </c>
      <c r="L303" t="s">
        <v>15</v>
      </c>
      <c r="M303">
        <v>3.6</v>
      </c>
    </row>
    <row r="304" spans="1:13" x14ac:dyDescent="0.25">
      <c r="A304">
        <v>303</v>
      </c>
      <c r="B304" s="1">
        <v>42485</v>
      </c>
      <c r="C304" s="1">
        <v>42612</v>
      </c>
      <c r="D304" t="s">
        <v>21</v>
      </c>
      <c r="E304" t="s">
        <v>13</v>
      </c>
      <c r="F304" s="2">
        <v>203</v>
      </c>
      <c r="G304" t="s">
        <v>12</v>
      </c>
      <c r="H304" s="3">
        <v>68116.84</v>
      </c>
      <c r="I304" s="3">
        <v>1764706</v>
      </c>
      <c r="J304" s="3">
        <v>1411764.8</v>
      </c>
      <c r="K304" s="3">
        <v>284824.36</v>
      </c>
      <c r="L304" t="s">
        <v>14</v>
      </c>
      <c r="M304">
        <v>4.9000000000000004</v>
      </c>
    </row>
    <row r="305" spans="1:13" x14ac:dyDescent="0.25">
      <c r="A305">
        <v>304</v>
      </c>
      <c r="B305" s="1">
        <v>42486</v>
      </c>
      <c r="C305" s="1">
        <v>42782</v>
      </c>
      <c r="D305" t="s">
        <v>22</v>
      </c>
      <c r="E305" t="s">
        <v>28</v>
      </c>
      <c r="F305" s="2">
        <v>292</v>
      </c>
      <c r="G305" t="s">
        <v>12</v>
      </c>
      <c r="H305" s="3">
        <v>103592.64</v>
      </c>
      <c r="I305" s="3">
        <v>2649051</v>
      </c>
      <c r="J305" s="3">
        <v>2119240.7999999998</v>
      </c>
      <c r="K305" s="3">
        <v>426217.56000000017</v>
      </c>
      <c r="L305" t="s">
        <v>15</v>
      </c>
      <c r="M305">
        <v>3.8</v>
      </c>
    </row>
    <row r="306" spans="1:13" x14ac:dyDescent="0.25">
      <c r="A306">
        <v>305</v>
      </c>
      <c r="B306" s="1">
        <v>42487</v>
      </c>
      <c r="C306" s="1">
        <v>42692</v>
      </c>
      <c r="D306" t="s">
        <v>23</v>
      </c>
      <c r="E306" t="s">
        <v>26</v>
      </c>
      <c r="F306" s="2">
        <v>245</v>
      </c>
      <c r="G306" t="s">
        <v>12</v>
      </c>
      <c r="H306" s="3">
        <v>45120.2</v>
      </c>
      <c r="I306" s="3">
        <v>1186865</v>
      </c>
      <c r="J306" s="3">
        <v>949492</v>
      </c>
      <c r="K306" s="3">
        <v>192252.79999999999</v>
      </c>
      <c r="L306" t="s">
        <v>16</v>
      </c>
      <c r="M306">
        <v>3.7</v>
      </c>
    </row>
    <row r="307" spans="1:13" x14ac:dyDescent="0.25">
      <c r="A307">
        <v>306</v>
      </c>
      <c r="B307" s="1">
        <v>42487</v>
      </c>
      <c r="C307" s="1">
        <v>42641</v>
      </c>
      <c r="D307" t="s">
        <v>23</v>
      </c>
      <c r="E307" t="s">
        <v>28</v>
      </c>
      <c r="F307" s="2">
        <v>137</v>
      </c>
      <c r="G307" t="s">
        <v>12</v>
      </c>
      <c r="H307" s="3">
        <v>41165.480000000003</v>
      </c>
      <c r="I307" s="3">
        <v>1092397</v>
      </c>
      <c r="J307" s="3">
        <v>873917.6</v>
      </c>
      <c r="K307" s="3">
        <v>177313.92000000001</v>
      </c>
      <c r="L307" t="s">
        <v>17</v>
      </c>
      <c r="M307">
        <v>4.9000000000000004</v>
      </c>
    </row>
    <row r="308" spans="1:13" x14ac:dyDescent="0.25">
      <c r="A308">
        <v>307</v>
      </c>
      <c r="B308" s="1">
        <v>42487</v>
      </c>
      <c r="C308" s="1">
        <v>42839</v>
      </c>
      <c r="D308" t="s">
        <v>23</v>
      </c>
      <c r="E308" t="s">
        <v>27</v>
      </c>
      <c r="F308" s="2">
        <v>193</v>
      </c>
      <c r="G308" t="s">
        <v>12</v>
      </c>
      <c r="H308" s="3">
        <v>65192.639999999999</v>
      </c>
      <c r="I308" s="3">
        <v>1682101</v>
      </c>
      <c r="J308" s="3">
        <v>1345680.8</v>
      </c>
      <c r="K308" s="3">
        <v>271227.55999999994</v>
      </c>
      <c r="L308" t="s">
        <v>14</v>
      </c>
      <c r="M308">
        <v>5</v>
      </c>
    </row>
    <row r="309" spans="1:13" x14ac:dyDescent="0.25">
      <c r="A309">
        <v>308</v>
      </c>
      <c r="B309" s="1">
        <v>42488</v>
      </c>
      <c r="C309" s="1">
        <v>42810</v>
      </c>
      <c r="D309" t="s">
        <v>20</v>
      </c>
      <c r="E309" t="s">
        <v>27</v>
      </c>
      <c r="F309" s="2">
        <v>221</v>
      </c>
      <c r="G309" t="s">
        <v>12</v>
      </c>
      <c r="H309" s="3">
        <v>59640.639999999999</v>
      </c>
      <c r="I309" s="3">
        <v>1557701</v>
      </c>
      <c r="J309" s="3">
        <v>1246160.8</v>
      </c>
      <c r="K309" s="3">
        <v>251899.55999999994</v>
      </c>
      <c r="L309" t="s">
        <v>14</v>
      </c>
      <c r="M309">
        <v>3.8</v>
      </c>
    </row>
    <row r="310" spans="1:13" x14ac:dyDescent="0.25">
      <c r="A310">
        <v>309</v>
      </c>
      <c r="B310" s="1">
        <v>42488</v>
      </c>
      <c r="C310" s="1">
        <v>42619</v>
      </c>
      <c r="D310" t="s">
        <v>21</v>
      </c>
      <c r="E310" t="s">
        <v>29</v>
      </c>
      <c r="F310" s="2">
        <v>232</v>
      </c>
      <c r="G310" t="s">
        <v>12</v>
      </c>
      <c r="H310" s="3">
        <v>69823.679999999993</v>
      </c>
      <c r="I310" s="3">
        <v>1800002</v>
      </c>
      <c r="J310" s="3">
        <v>1440001.6</v>
      </c>
      <c r="K310" s="3">
        <v>290176.71999999991</v>
      </c>
      <c r="L310" t="s">
        <v>19</v>
      </c>
      <c r="M310">
        <v>3.8</v>
      </c>
    </row>
    <row r="311" spans="1:13" x14ac:dyDescent="0.25">
      <c r="A311">
        <v>310</v>
      </c>
      <c r="B311" s="1">
        <v>42488</v>
      </c>
      <c r="C311" s="1">
        <v>42636</v>
      </c>
      <c r="D311" t="s">
        <v>20</v>
      </c>
      <c r="E311" t="s">
        <v>28</v>
      </c>
      <c r="F311" s="2">
        <v>117</v>
      </c>
      <c r="G311" t="s">
        <v>12</v>
      </c>
      <c r="H311" s="3">
        <v>30612.68</v>
      </c>
      <c r="I311" s="3">
        <v>829277</v>
      </c>
      <c r="J311" s="3">
        <v>663421.6</v>
      </c>
      <c r="K311" s="3">
        <v>135242.72000000003</v>
      </c>
      <c r="L311" t="s">
        <v>15</v>
      </c>
      <c r="M311">
        <v>4.5999999999999996</v>
      </c>
    </row>
    <row r="312" spans="1:13" x14ac:dyDescent="0.25">
      <c r="A312">
        <v>311</v>
      </c>
      <c r="B312" s="1">
        <v>42488</v>
      </c>
      <c r="C312" s="1">
        <v>42733</v>
      </c>
      <c r="D312" t="s">
        <v>20</v>
      </c>
      <c r="E312" t="s">
        <v>29</v>
      </c>
      <c r="F312" s="2">
        <v>58</v>
      </c>
      <c r="G312" t="s">
        <v>11</v>
      </c>
      <c r="H312" s="3">
        <v>23214</v>
      </c>
      <c r="I312" s="3">
        <v>641910</v>
      </c>
      <c r="J312" s="3">
        <v>513528</v>
      </c>
      <c r="K312" s="3">
        <v>105168</v>
      </c>
      <c r="L312" t="s">
        <v>14</v>
      </c>
      <c r="M312">
        <v>4.7</v>
      </c>
    </row>
    <row r="313" spans="1:13" x14ac:dyDescent="0.25">
      <c r="A313">
        <v>312</v>
      </c>
      <c r="B313" s="1">
        <v>42489</v>
      </c>
      <c r="C313" s="1">
        <v>42742</v>
      </c>
      <c r="D313" t="s">
        <v>21</v>
      </c>
      <c r="E313" t="s">
        <v>27</v>
      </c>
      <c r="F313" s="2">
        <v>186</v>
      </c>
      <c r="G313" t="s">
        <v>12</v>
      </c>
      <c r="H313" s="3">
        <v>62262.36</v>
      </c>
      <c r="I313" s="3">
        <v>1615769</v>
      </c>
      <c r="J313" s="3">
        <v>1292615.2</v>
      </c>
      <c r="K313" s="3">
        <v>260891.44000000006</v>
      </c>
      <c r="L313" t="s">
        <v>19</v>
      </c>
      <c r="M313">
        <v>4.0999999999999996</v>
      </c>
    </row>
    <row r="314" spans="1:13" x14ac:dyDescent="0.25">
      <c r="A314">
        <v>313</v>
      </c>
      <c r="B314" s="1">
        <v>42490</v>
      </c>
      <c r="C314" s="1">
        <v>42779</v>
      </c>
      <c r="D314" t="s">
        <v>20</v>
      </c>
      <c r="E314" t="s">
        <v>24</v>
      </c>
      <c r="F314" s="2">
        <v>87</v>
      </c>
      <c r="G314" t="s">
        <v>11</v>
      </c>
      <c r="H314" s="3">
        <v>15044.64</v>
      </c>
      <c r="I314" s="3">
        <v>427876</v>
      </c>
      <c r="J314" s="3">
        <v>342300.8</v>
      </c>
      <c r="K314" s="3">
        <v>70530.560000000012</v>
      </c>
      <c r="L314" t="s">
        <v>19</v>
      </c>
      <c r="M314">
        <v>3.6</v>
      </c>
    </row>
    <row r="315" spans="1:13" x14ac:dyDescent="0.25">
      <c r="A315">
        <v>314</v>
      </c>
      <c r="B315" s="1">
        <v>42490</v>
      </c>
      <c r="C315" s="1">
        <v>42815</v>
      </c>
      <c r="D315" t="s">
        <v>20</v>
      </c>
      <c r="E315" t="s">
        <v>13</v>
      </c>
      <c r="F315" s="2">
        <v>226</v>
      </c>
      <c r="G315" t="s">
        <v>12</v>
      </c>
      <c r="H315" s="3">
        <v>54317</v>
      </c>
      <c r="I315" s="3">
        <v>1423385</v>
      </c>
      <c r="J315" s="3">
        <v>1138708</v>
      </c>
      <c r="K315" s="3">
        <v>230360</v>
      </c>
      <c r="L315" t="s">
        <v>16</v>
      </c>
      <c r="M315">
        <v>4.7</v>
      </c>
    </row>
    <row r="316" spans="1:13" x14ac:dyDescent="0.25">
      <c r="A316">
        <v>315</v>
      </c>
      <c r="B316" s="1">
        <v>42491</v>
      </c>
      <c r="C316" s="1">
        <v>42780</v>
      </c>
      <c r="D316" t="s">
        <v>20</v>
      </c>
      <c r="E316" t="s">
        <v>28</v>
      </c>
      <c r="F316" s="2">
        <v>244</v>
      </c>
      <c r="G316" t="s">
        <v>12</v>
      </c>
      <c r="H316" s="3">
        <v>96946.84</v>
      </c>
      <c r="I316" s="3">
        <v>2476456</v>
      </c>
      <c r="J316" s="3">
        <v>1981164.8</v>
      </c>
      <c r="K316" s="3">
        <v>398344.36</v>
      </c>
      <c r="L316" t="s">
        <v>16</v>
      </c>
      <c r="M316">
        <v>3.7</v>
      </c>
    </row>
    <row r="317" spans="1:13" x14ac:dyDescent="0.25">
      <c r="A317">
        <v>316</v>
      </c>
      <c r="B317" s="1">
        <v>42492</v>
      </c>
      <c r="C317" s="1">
        <v>42773</v>
      </c>
      <c r="D317" t="s">
        <v>21</v>
      </c>
      <c r="E317" t="s">
        <v>29</v>
      </c>
      <c r="F317" s="2">
        <v>258</v>
      </c>
      <c r="G317" t="s">
        <v>12</v>
      </c>
      <c r="H317" s="3">
        <v>101872.44</v>
      </c>
      <c r="I317" s="3">
        <v>2607596</v>
      </c>
      <c r="J317" s="3">
        <v>2086076.8</v>
      </c>
      <c r="K317" s="3">
        <v>419646.75999999995</v>
      </c>
      <c r="L317" t="s">
        <v>14</v>
      </c>
      <c r="M317">
        <v>4.9000000000000004</v>
      </c>
    </row>
    <row r="318" spans="1:13" x14ac:dyDescent="0.25">
      <c r="A318">
        <v>317</v>
      </c>
      <c r="B318" s="1">
        <v>42492</v>
      </c>
      <c r="C318" s="1">
        <v>42608</v>
      </c>
      <c r="D318" t="s">
        <v>21</v>
      </c>
      <c r="E318" t="s">
        <v>26</v>
      </c>
      <c r="F318" s="2">
        <v>246</v>
      </c>
      <c r="G318" t="s">
        <v>12</v>
      </c>
      <c r="H318" s="3">
        <v>69014.679999999993</v>
      </c>
      <c r="I318" s="3">
        <v>1791477</v>
      </c>
      <c r="J318" s="3">
        <v>1433181.6</v>
      </c>
      <c r="K318" s="3">
        <v>289280.71999999991</v>
      </c>
      <c r="L318" t="s">
        <v>17</v>
      </c>
      <c r="M318">
        <v>3.6</v>
      </c>
    </row>
    <row r="319" spans="1:13" x14ac:dyDescent="0.25">
      <c r="A319">
        <v>318</v>
      </c>
      <c r="B319" s="1">
        <v>42492</v>
      </c>
      <c r="C319" s="1">
        <v>42691</v>
      </c>
      <c r="D319" t="s">
        <v>22</v>
      </c>
      <c r="E319" t="s">
        <v>13</v>
      </c>
      <c r="F319" s="2">
        <v>39</v>
      </c>
      <c r="G319" t="s">
        <v>11</v>
      </c>
      <c r="H319" s="3">
        <v>16658.88</v>
      </c>
      <c r="I319" s="3">
        <v>477257</v>
      </c>
      <c r="J319" s="3">
        <v>381805.6</v>
      </c>
      <c r="K319" s="3">
        <v>78792.520000000019</v>
      </c>
      <c r="L319" t="s">
        <v>17</v>
      </c>
      <c r="M319">
        <v>4.0999999999999996</v>
      </c>
    </row>
    <row r="320" spans="1:13" x14ac:dyDescent="0.25">
      <c r="A320">
        <v>319</v>
      </c>
      <c r="B320" s="1">
        <v>42492</v>
      </c>
      <c r="C320" s="1">
        <v>42617</v>
      </c>
      <c r="D320" t="s">
        <v>22</v>
      </c>
      <c r="E320" t="s">
        <v>26</v>
      </c>
      <c r="F320" s="2">
        <v>118</v>
      </c>
      <c r="G320" t="s">
        <v>12</v>
      </c>
      <c r="H320" s="3">
        <v>37749.72</v>
      </c>
      <c r="I320" s="3">
        <v>997853</v>
      </c>
      <c r="J320" s="3">
        <v>798282.4</v>
      </c>
      <c r="K320" s="3">
        <v>161820.87999999998</v>
      </c>
      <c r="L320" t="s">
        <v>19</v>
      </c>
      <c r="M320">
        <v>4.3</v>
      </c>
    </row>
    <row r="321" spans="1:13" x14ac:dyDescent="0.25">
      <c r="A321">
        <v>320</v>
      </c>
      <c r="B321" s="1">
        <v>42492</v>
      </c>
      <c r="C321" s="1">
        <v>42586</v>
      </c>
      <c r="D321" t="s">
        <v>21</v>
      </c>
      <c r="E321" t="s">
        <v>24</v>
      </c>
      <c r="F321" s="2">
        <v>273</v>
      </c>
      <c r="G321" t="s">
        <v>12</v>
      </c>
      <c r="H321" s="3">
        <v>97060.36</v>
      </c>
      <c r="I321" s="3">
        <v>2492644</v>
      </c>
      <c r="J321" s="3">
        <v>1994115.2</v>
      </c>
      <c r="K321" s="3">
        <v>401468.44000000006</v>
      </c>
      <c r="L321" t="s">
        <v>18</v>
      </c>
      <c r="M321">
        <v>4.9000000000000004</v>
      </c>
    </row>
    <row r="322" spans="1:13" x14ac:dyDescent="0.25">
      <c r="A322">
        <v>321</v>
      </c>
      <c r="B322" s="1">
        <v>42493</v>
      </c>
      <c r="C322" s="1">
        <v>42594</v>
      </c>
      <c r="D322" t="s">
        <v>21</v>
      </c>
      <c r="E322" t="s">
        <v>25</v>
      </c>
      <c r="F322" s="2">
        <v>187</v>
      </c>
      <c r="G322" t="s">
        <v>12</v>
      </c>
      <c r="H322" s="3">
        <v>38121.599999999999</v>
      </c>
      <c r="I322" s="3">
        <v>1014225</v>
      </c>
      <c r="J322" s="3">
        <v>811380</v>
      </c>
      <c r="K322" s="3">
        <v>164723.4</v>
      </c>
      <c r="L322" t="s">
        <v>15</v>
      </c>
      <c r="M322">
        <v>3.6</v>
      </c>
    </row>
    <row r="323" spans="1:13" x14ac:dyDescent="0.25">
      <c r="A323">
        <v>322</v>
      </c>
      <c r="B323" s="1">
        <v>42493</v>
      </c>
      <c r="C323" s="1">
        <v>42683</v>
      </c>
      <c r="D323" t="s">
        <v>22</v>
      </c>
      <c r="E323" t="s">
        <v>13</v>
      </c>
      <c r="F323" s="2">
        <v>35</v>
      </c>
      <c r="G323" t="s">
        <v>11</v>
      </c>
      <c r="H323" s="3">
        <v>9131.24</v>
      </c>
      <c r="I323" s="3">
        <v>292391</v>
      </c>
      <c r="J323" s="3">
        <v>233912.8</v>
      </c>
      <c r="K323" s="3">
        <v>49346.960000000014</v>
      </c>
      <c r="L323" t="s">
        <v>18</v>
      </c>
      <c r="M323">
        <v>3.9</v>
      </c>
    </row>
    <row r="324" spans="1:13" x14ac:dyDescent="0.25">
      <c r="A324">
        <v>323</v>
      </c>
      <c r="B324" s="1">
        <v>42493</v>
      </c>
      <c r="C324" s="1">
        <v>42658</v>
      </c>
      <c r="D324" t="s">
        <v>20</v>
      </c>
      <c r="E324" t="s">
        <v>13</v>
      </c>
      <c r="F324" s="2">
        <v>232</v>
      </c>
      <c r="G324" t="s">
        <v>12</v>
      </c>
      <c r="H324" s="3">
        <v>62610.64</v>
      </c>
      <c r="I324" s="3">
        <v>1628651</v>
      </c>
      <c r="J324" s="3">
        <v>1302920.8</v>
      </c>
      <c r="K324" s="3">
        <v>263119.55999999994</v>
      </c>
      <c r="L324" t="s">
        <v>18</v>
      </c>
      <c r="M324">
        <v>4.7</v>
      </c>
    </row>
    <row r="325" spans="1:13" x14ac:dyDescent="0.25">
      <c r="A325">
        <v>324</v>
      </c>
      <c r="B325" s="1">
        <v>42494</v>
      </c>
      <c r="C325" s="1">
        <v>42735</v>
      </c>
      <c r="D325" t="s">
        <v>22</v>
      </c>
      <c r="E325" t="s">
        <v>29</v>
      </c>
      <c r="F325" s="2">
        <v>150</v>
      </c>
      <c r="G325" t="s">
        <v>12</v>
      </c>
      <c r="H325" s="3">
        <v>34262.400000000001</v>
      </c>
      <c r="I325" s="3">
        <v>912545</v>
      </c>
      <c r="J325" s="3">
        <v>730036</v>
      </c>
      <c r="K325" s="3">
        <v>148246.6</v>
      </c>
      <c r="L325" t="s">
        <v>14</v>
      </c>
      <c r="M325">
        <v>3.6</v>
      </c>
    </row>
    <row r="326" spans="1:13" x14ac:dyDescent="0.25">
      <c r="A326">
        <v>325</v>
      </c>
      <c r="B326" s="1">
        <v>42494</v>
      </c>
      <c r="C326" s="1">
        <v>42612</v>
      </c>
      <c r="D326" t="s">
        <v>20</v>
      </c>
      <c r="E326" t="s">
        <v>25</v>
      </c>
      <c r="F326" s="2">
        <v>53</v>
      </c>
      <c r="G326" t="s">
        <v>11</v>
      </c>
      <c r="H326" s="3">
        <v>12299</v>
      </c>
      <c r="I326" s="3">
        <v>368885</v>
      </c>
      <c r="J326" s="3">
        <v>295108</v>
      </c>
      <c r="K326" s="3">
        <v>61478</v>
      </c>
      <c r="L326" t="s">
        <v>16</v>
      </c>
      <c r="M326">
        <v>4.8</v>
      </c>
    </row>
    <row r="327" spans="1:13" x14ac:dyDescent="0.25">
      <c r="A327">
        <v>326</v>
      </c>
      <c r="B327" s="1">
        <v>42494</v>
      </c>
      <c r="C327" s="1">
        <v>42651</v>
      </c>
      <c r="D327" t="s">
        <v>20</v>
      </c>
      <c r="E327" t="s">
        <v>24</v>
      </c>
      <c r="F327" s="2">
        <v>176</v>
      </c>
      <c r="G327" t="s">
        <v>12</v>
      </c>
      <c r="H327" s="3">
        <v>47968.959999999999</v>
      </c>
      <c r="I327" s="3">
        <v>1263709</v>
      </c>
      <c r="J327" s="3">
        <v>1010967.2</v>
      </c>
      <c r="K327" s="3">
        <v>204772.84000000005</v>
      </c>
      <c r="L327" t="s">
        <v>19</v>
      </c>
      <c r="M327">
        <v>3.9</v>
      </c>
    </row>
    <row r="328" spans="1:13" x14ac:dyDescent="0.25">
      <c r="A328">
        <v>327</v>
      </c>
      <c r="B328" s="1">
        <v>42494</v>
      </c>
      <c r="C328" s="1">
        <v>42822</v>
      </c>
      <c r="D328" t="s">
        <v>22</v>
      </c>
      <c r="E328" t="s">
        <v>29</v>
      </c>
      <c r="F328" s="2">
        <v>176</v>
      </c>
      <c r="G328" t="s">
        <v>12</v>
      </c>
      <c r="H328" s="3">
        <v>40004.6</v>
      </c>
      <c r="I328" s="3">
        <v>1058525</v>
      </c>
      <c r="J328" s="3">
        <v>846820</v>
      </c>
      <c r="K328" s="3">
        <v>171700.4</v>
      </c>
      <c r="L328" t="s">
        <v>17</v>
      </c>
      <c r="M328">
        <v>4.9000000000000004</v>
      </c>
    </row>
    <row r="329" spans="1:13" x14ac:dyDescent="0.25">
      <c r="A329">
        <v>328</v>
      </c>
      <c r="B329" s="1">
        <v>42494</v>
      </c>
      <c r="C329" s="1">
        <v>42842</v>
      </c>
      <c r="D329" t="s">
        <v>21</v>
      </c>
      <c r="E329" t="s">
        <v>25</v>
      </c>
      <c r="F329" s="2">
        <v>268</v>
      </c>
      <c r="G329" t="s">
        <v>12</v>
      </c>
      <c r="H329" s="3">
        <v>54076.72</v>
      </c>
      <c r="I329" s="3">
        <v>1405853</v>
      </c>
      <c r="J329" s="3">
        <v>1124682.3999999999</v>
      </c>
      <c r="K329" s="3">
        <v>227093.88000000009</v>
      </c>
      <c r="L329" t="s">
        <v>17</v>
      </c>
      <c r="M329">
        <v>3.9</v>
      </c>
    </row>
    <row r="330" spans="1:13" x14ac:dyDescent="0.25">
      <c r="A330">
        <v>329</v>
      </c>
      <c r="B330" s="1">
        <v>42494</v>
      </c>
      <c r="C330" s="1">
        <v>42685</v>
      </c>
      <c r="D330" t="s">
        <v>22</v>
      </c>
      <c r="E330" t="s">
        <v>24</v>
      </c>
      <c r="F330" s="2">
        <v>281</v>
      </c>
      <c r="G330" t="s">
        <v>12</v>
      </c>
      <c r="H330" s="3">
        <v>75709</v>
      </c>
      <c r="I330" s="3">
        <v>1958810</v>
      </c>
      <c r="J330" s="3">
        <v>1567048</v>
      </c>
      <c r="K330" s="3">
        <v>316053</v>
      </c>
      <c r="L330" t="s">
        <v>18</v>
      </c>
      <c r="M330">
        <v>4.0999999999999996</v>
      </c>
    </row>
    <row r="331" spans="1:13" x14ac:dyDescent="0.25">
      <c r="A331">
        <v>330</v>
      </c>
      <c r="B331" s="1">
        <v>42495</v>
      </c>
      <c r="C331" s="1">
        <v>42669</v>
      </c>
      <c r="D331" t="s">
        <v>21</v>
      </c>
      <c r="E331" t="s">
        <v>27</v>
      </c>
      <c r="F331" s="2">
        <v>122</v>
      </c>
      <c r="G331" t="s">
        <v>12</v>
      </c>
      <c r="H331" s="3">
        <v>46847</v>
      </c>
      <c r="I331" s="3">
        <v>1225735</v>
      </c>
      <c r="J331" s="3">
        <v>980588</v>
      </c>
      <c r="K331" s="3">
        <v>198300</v>
      </c>
      <c r="L331" t="s">
        <v>15</v>
      </c>
      <c r="M331">
        <v>3.8</v>
      </c>
    </row>
    <row r="332" spans="1:13" x14ac:dyDescent="0.25">
      <c r="A332">
        <v>331</v>
      </c>
      <c r="B332" s="1">
        <v>42495</v>
      </c>
      <c r="C332" s="1">
        <v>42712</v>
      </c>
      <c r="D332" t="s">
        <v>22</v>
      </c>
      <c r="E332" t="s">
        <v>29</v>
      </c>
      <c r="F332" s="2">
        <v>201</v>
      </c>
      <c r="G332" t="s">
        <v>12</v>
      </c>
      <c r="H332" s="3">
        <v>38520.199999999997</v>
      </c>
      <c r="I332" s="3">
        <v>1026840</v>
      </c>
      <c r="J332" s="3">
        <v>821472</v>
      </c>
      <c r="K332" s="3">
        <v>166847.79999999999</v>
      </c>
      <c r="L332" t="s">
        <v>19</v>
      </c>
      <c r="M332">
        <v>3.9</v>
      </c>
    </row>
    <row r="333" spans="1:13" x14ac:dyDescent="0.25">
      <c r="A333">
        <v>332</v>
      </c>
      <c r="B333" s="1">
        <v>42496</v>
      </c>
      <c r="C333" s="1">
        <v>42825</v>
      </c>
      <c r="D333" t="s">
        <v>20</v>
      </c>
      <c r="E333" t="s">
        <v>13</v>
      </c>
      <c r="F333" s="2">
        <v>135</v>
      </c>
      <c r="G333" t="s">
        <v>12</v>
      </c>
      <c r="H333" s="3">
        <v>34013.199999999997</v>
      </c>
      <c r="I333" s="3">
        <v>914165</v>
      </c>
      <c r="J333" s="3">
        <v>731332</v>
      </c>
      <c r="K333" s="3">
        <v>148819.79999999999</v>
      </c>
      <c r="L333" t="s">
        <v>19</v>
      </c>
      <c r="M333">
        <v>4.4000000000000004</v>
      </c>
    </row>
    <row r="334" spans="1:13" x14ac:dyDescent="0.25">
      <c r="A334">
        <v>333</v>
      </c>
      <c r="B334" s="1">
        <v>42496</v>
      </c>
      <c r="C334" s="1">
        <v>42607</v>
      </c>
      <c r="D334" t="s">
        <v>23</v>
      </c>
      <c r="E334" t="s">
        <v>29</v>
      </c>
      <c r="F334" s="2">
        <v>105</v>
      </c>
      <c r="G334" t="s">
        <v>12</v>
      </c>
      <c r="H334" s="3">
        <v>31403</v>
      </c>
      <c r="I334" s="3">
        <v>839485</v>
      </c>
      <c r="J334" s="3">
        <v>671588</v>
      </c>
      <c r="K334" s="3">
        <v>136494</v>
      </c>
      <c r="L334" t="s">
        <v>17</v>
      </c>
      <c r="M334">
        <v>4.7</v>
      </c>
    </row>
    <row r="335" spans="1:13" x14ac:dyDescent="0.25">
      <c r="A335">
        <v>334</v>
      </c>
      <c r="B335" s="1">
        <v>42497</v>
      </c>
      <c r="C335" s="1">
        <v>42757</v>
      </c>
      <c r="D335" t="s">
        <v>23</v>
      </c>
      <c r="E335" t="s">
        <v>27</v>
      </c>
      <c r="F335" s="2">
        <v>236</v>
      </c>
      <c r="G335" t="s">
        <v>12</v>
      </c>
      <c r="H335" s="3">
        <v>83781.64</v>
      </c>
      <c r="I335" s="3">
        <v>2147451</v>
      </c>
      <c r="J335" s="3">
        <v>1717960.8</v>
      </c>
      <c r="K335" s="3">
        <v>345708.55999999994</v>
      </c>
      <c r="L335" t="s">
        <v>15</v>
      </c>
      <c r="M335">
        <v>4.5</v>
      </c>
    </row>
    <row r="336" spans="1:13" x14ac:dyDescent="0.25">
      <c r="A336">
        <v>335</v>
      </c>
      <c r="B336" s="1">
        <v>42497</v>
      </c>
      <c r="C336" s="1">
        <v>42852</v>
      </c>
      <c r="D336" t="s">
        <v>21</v>
      </c>
      <c r="E336" t="s">
        <v>27</v>
      </c>
      <c r="F336" s="2">
        <v>142</v>
      </c>
      <c r="G336" t="s">
        <v>11</v>
      </c>
      <c r="H336" s="3">
        <v>24269.8</v>
      </c>
      <c r="I336" s="3">
        <v>671405</v>
      </c>
      <c r="J336" s="3">
        <v>537124</v>
      </c>
      <c r="K336" s="3">
        <v>110011.2</v>
      </c>
      <c r="L336" t="s">
        <v>16</v>
      </c>
      <c r="M336">
        <v>3.6</v>
      </c>
    </row>
    <row r="337" spans="1:13" x14ac:dyDescent="0.25">
      <c r="A337">
        <v>336</v>
      </c>
      <c r="B337" s="1">
        <v>42497</v>
      </c>
      <c r="C337" s="1">
        <v>42763</v>
      </c>
      <c r="D337" t="s">
        <v>20</v>
      </c>
      <c r="E337" t="s">
        <v>28</v>
      </c>
      <c r="F337" s="2">
        <v>221</v>
      </c>
      <c r="G337" t="s">
        <v>12</v>
      </c>
      <c r="H337" s="3">
        <v>54704.44</v>
      </c>
      <c r="I337" s="3">
        <v>1430946</v>
      </c>
      <c r="J337" s="3">
        <v>1144756.8</v>
      </c>
      <c r="K337" s="3">
        <v>231484.75999999995</v>
      </c>
      <c r="L337" t="s">
        <v>18</v>
      </c>
      <c r="M337">
        <v>4.5999999999999996</v>
      </c>
    </row>
    <row r="338" spans="1:13" x14ac:dyDescent="0.25">
      <c r="A338">
        <v>337</v>
      </c>
      <c r="B338" s="1">
        <v>42498</v>
      </c>
      <c r="C338" s="1">
        <v>42628</v>
      </c>
      <c r="D338" t="s">
        <v>21</v>
      </c>
      <c r="E338" t="s">
        <v>26</v>
      </c>
      <c r="F338" s="2">
        <v>99</v>
      </c>
      <c r="G338" t="s">
        <v>11</v>
      </c>
      <c r="H338" s="3">
        <v>15480.4</v>
      </c>
      <c r="I338" s="3">
        <v>450095</v>
      </c>
      <c r="J338" s="3">
        <v>360076</v>
      </c>
      <c r="K338" s="3">
        <v>74538.600000000006</v>
      </c>
      <c r="L338" t="s">
        <v>15</v>
      </c>
      <c r="M338">
        <v>4.8</v>
      </c>
    </row>
    <row r="339" spans="1:13" x14ac:dyDescent="0.25">
      <c r="A339">
        <v>338</v>
      </c>
      <c r="B339" s="1">
        <v>42498</v>
      </c>
      <c r="C339" s="1">
        <v>42763</v>
      </c>
      <c r="D339" t="s">
        <v>21</v>
      </c>
      <c r="E339" t="s">
        <v>27</v>
      </c>
      <c r="F339" s="2">
        <v>37</v>
      </c>
      <c r="G339" t="s">
        <v>11</v>
      </c>
      <c r="H339" s="3">
        <v>13541.44</v>
      </c>
      <c r="I339" s="3">
        <v>398146</v>
      </c>
      <c r="J339" s="3">
        <v>318516.8</v>
      </c>
      <c r="K339" s="3">
        <v>66087.760000000009</v>
      </c>
      <c r="L339" t="s">
        <v>14</v>
      </c>
      <c r="M339">
        <v>4.0999999999999996</v>
      </c>
    </row>
    <row r="340" spans="1:13" x14ac:dyDescent="0.25">
      <c r="A340">
        <v>339</v>
      </c>
      <c r="B340" s="1">
        <v>42499</v>
      </c>
      <c r="C340" s="1">
        <v>42617</v>
      </c>
      <c r="D340" t="s">
        <v>23</v>
      </c>
      <c r="E340" t="s">
        <v>25</v>
      </c>
      <c r="F340" s="2">
        <v>68</v>
      </c>
      <c r="G340" t="s">
        <v>11</v>
      </c>
      <c r="H340" s="3">
        <v>26363</v>
      </c>
      <c r="I340" s="3">
        <v>719660</v>
      </c>
      <c r="J340" s="3">
        <v>575728</v>
      </c>
      <c r="K340" s="3">
        <v>117569</v>
      </c>
      <c r="L340" t="s">
        <v>16</v>
      </c>
      <c r="M340">
        <v>4.5</v>
      </c>
    </row>
    <row r="341" spans="1:13" x14ac:dyDescent="0.25">
      <c r="A341">
        <v>340</v>
      </c>
      <c r="B341" s="1">
        <v>42500</v>
      </c>
      <c r="C341" s="1">
        <v>42705</v>
      </c>
      <c r="D341" t="s">
        <v>22</v>
      </c>
      <c r="E341" t="s">
        <v>26</v>
      </c>
      <c r="F341" s="2">
        <v>93</v>
      </c>
      <c r="G341" t="s">
        <v>12</v>
      </c>
      <c r="H341" s="3">
        <v>30447.32</v>
      </c>
      <c r="I341" s="3">
        <v>820268</v>
      </c>
      <c r="J341" s="3">
        <v>656214.4</v>
      </c>
      <c r="K341" s="3">
        <v>133606.27999999997</v>
      </c>
      <c r="L341" t="s">
        <v>17</v>
      </c>
      <c r="M341">
        <v>4</v>
      </c>
    </row>
    <row r="342" spans="1:13" x14ac:dyDescent="0.25">
      <c r="A342">
        <v>341</v>
      </c>
      <c r="B342" s="1">
        <v>42500</v>
      </c>
      <c r="C342" s="1">
        <v>42676</v>
      </c>
      <c r="D342" t="s">
        <v>22</v>
      </c>
      <c r="E342" t="s">
        <v>29</v>
      </c>
      <c r="F342" s="2">
        <v>225</v>
      </c>
      <c r="G342" t="s">
        <v>12</v>
      </c>
      <c r="H342" s="3">
        <v>79040.88</v>
      </c>
      <c r="I342" s="3">
        <v>2027182</v>
      </c>
      <c r="J342" s="3">
        <v>1621745.6</v>
      </c>
      <c r="K342" s="3">
        <v>326395.5199999999</v>
      </c>
      <c r="L342" t="s">
        <v>15</v>
      </c>
      <c r="M342">
        <v>4.2</v>
      </c>
    </row>
    <row r="343" spans="1:13" x14ac:dyDescent="0.25">
      <c r="A343">
        <v>342</v>
      </c>
      <c r="B343" s="1">
        <v>42500</v>
      </c>
      <c r="C343" s="1">
        <v>42725</v>
      </c>
      <c r="D343" t="s">
        <v>22</v>
      </c>
      <c r="E343" t="s">
        <v>25</v>
      </c>
      <c r="F343" s="2">
        <v>252</v>
      </c>
      <c r="G343" t="s">
        <v>12</v>
      </c>
      <c r="H343" s="3">
        <v>78608.12</v>
      </c>
      <c r="I343" s="3">
        <v>2028713</v>
      </c>
      <c r="J343" s="3">
        <v>1622970.4</v>
      </c>
      <c r="K343" s="3">
        <v>327134.4800000001</v>
      </c>
      <c r="L343" t="s">
        <v>15</v>
      </c>
      <c r="M343">
        <v>4</v>
      </c>
    </row>
    <row r="344" spans="1:13" x14ac:dyDescent="0.25">
      <c r="A344">
        <v>343</v>
      </c>
      <c r="B344" s="1">
        <v>42500</v>
      </c>
      <c r="C344" s="1">
        <v>42686</v>
      </c>
      <c r="D344" t="s">
        <v>23</v>
      </c>
      <c r="E344" t="s">
        <v>13</v>
      </c>
      <c r="F344" s="2">
        <v>172</v>
      </c>
      <c r="G344" t="s">
        <v>12</v>
      </c>
      <c r="H344" s="3">
        <v>46372</v>
      </c>
      <c r="I344" s="3">
        <v>1214585</v>
      </c>
      <c r="J344" s="3">
        <v>971668</v>
      </c>
      <c r="K344" s="3">
        <v>196545</v>
      </c>
      <c r="L344" t="s">
        <v>19</v>
      </c>
      <c r="M344">
        <v>4.5999999999999996</v>
      </c>
    </row>
    <row r="345" spans="1:13" x14ac:dyDescent="0.25">
      <c r="A345">
        <v>344</v>
      </c>
      <c r="B345" s="1">
        <v>42500</v>
      </c>
      <c r="C345" s="1">
        <v>42632</v>
      </c>
      <c r="D345" t="s">
        <v>22</v>
      </c>
      <c r="E345" t="s">
        <v>28</v>
      </c>
      <c r="F345" s="2">
        <v>139</v>
      </c>
      <c r="G345" t="s">
        <v>12</v>
      </c>
      <c r="H345" s="3">
        <v>42505.64</v>
      </c>
      <c r="I345" s="3">
        <v>1119951</v>
      </c>
      <c r="J345" s="3">
        <v>895960.8</v>
      </c>
      <c r="K345" s="3">
        <v>181484.55999999994</v>
      </c>
      <c r="L345" t="s">
        <v>17</v>
      </c>
      <c r="M345">
        <v>4.2</v>
      </c>
    </row>
    <row r="346" spans="1:13" x14ac:dyDescent="0.25">
      <c r="A346">
        <v>345</v>
      </c>
      <c r="B346" s="1">
        <v>42501</v>
      </c>
      <c r="C346" s="1">
        <v>42736</v>
      </c>
      <c r="D346" t="s">
        <v>23</v>
      </c>
      <c r="E346" t="s">
        <v>29</v>
      </c>
      <c r="F346" s="2">
        <v>124</v>
      </c>
      <c r="G346" t="s">
        <v>12</v>
      </c>
      <c r="H346" s="3">
        <v>49856.800000000003</v>
      </c>
      <c r="I346" s="3">
        <v>1299980</v>
      </c>
      <c r="J346" s="3">
        <v>1039984</v>
      </c>
      <c r="K346" s="3">
        <v>210139.2</v>
      </c>
      <c r="L346" t="s">
        <v>17</v>
      </c>
      <c r="M346">
        <v>4</v>
      </c>
    </row>
    <row r="347" spans="1:13" x14ac:dyDescent="0.25">
      <c r="A347">
        <v>346</v>
      </c>
      <c r="B347" s="1">
        <v>42501</v>
      </c>
      <c r="C347" s="1">
        <v>42727</v>
      </c>
      <c r="D347" t="s">
        <v>20</v>
      </c>
      <c r="E347" t="s">
        <v>26</v>
      </c>
      <c r="F347" s="2">
        <v>197</v>
      </c>
      <c r="G347" t="s">
        <v>12</v>
      </c>
      <c r="H347" s="3">
        <v>51596.04</v>
      </c>
      <c r="I347" s="3">
        <v>1357161</v>
      </c>
      <c r="J347" s="3">
        <v>1085728.8</v>
      </c>
      <c r="K347" s="3">
        <v>219836.15999999995</v>
      </c>
      <c r="L347" t="s">
        <v>15</v>
      </c>
      <c r="M347">
        <v>4.2</v>
      </c>
    </row>
    <row r="348" spans="1:13" x14ac:dyDescent="0.25">
      <c r="A348">
        <v>347</v>
      </c>
      <c r="B348" s="1">
        <v>42501</v>
      </c>
      <c r="C348" s="1">
        <v>42631</v>
      </c>
      <c r="D348" t="s">
        <v>22</v>
      </c>
      <c r="E348" t="s">
        <v>28</v>
      </c>
      <c r="F348" s="2">
        <v>166</v>
      </c>
      <c r="G348" t="s">
        <v>12</v>
      </c>
      <c r="H348" s="3">
        <v>33024.080000000002</v>
      </c>
      <c r="I348" s="3">
        <v>888337</v>
      </c>
      <c r="J348" s="3">
        <v>710669.6</v>
      </c>
      <c r="K348" s="3">
        <v>144643.32</v>
      </c>
      <c r="L348" t="s">
        <v>14</v>
      </c>
      <c r="M348">
        <v>3.8</v>
      </c>
    </row>
    <row r="349" spans="1:13" x14ac:dyDescent="0.25">
      <c r="A349">
        <v>348</v>
      </c>
      <c r="B349" s="1">
        <v>42501</v>
      </c>
      <c r="C349" s="1">
        <v>42820</v>
      </c>
      <c r="D349" t="s">
        <v>20</v>
      </c>
      <c r="E349" t="s">
        <v>28</v>
      </c>
      <c r="F349" s="2">
        <v>183</v>
      </c>
      <c r="G349" t="s">
        <v>12</v>
      </c>
      <c r="H349" s="3">
        <v>61246.559999999998</v>
      </c>
      <c r="I349" s="3">
        <v>1597374</v>
      </c>
      <c r="J349" s="3">
        <v>1277899.2</v>
      </c>
      <c r="K349" s="3">
        <v>258228.24000000005</v>
      </c>
      <c r="L349" t="s">
        <v>16</v>
      </c>
      <c r="M349">
        <v>3.7</v>
      </c>
    </row>
    <row r="350" spans="1:13" x14ac:dyDescent="0.25">
      <c r="A350">
        <v>349</v>
      </c>
      <c r="B350" s="1">
        <v>42502</v>
      </c>
      <c r="C350" s="1">
        <v>42675</v>
      </c>
      <c r="D350" t="s">
        <v>23</v>
      </c>
      <c r="E350" t="s">
        <v>29</v>
      </c>
      <c r="F350" s="2">
        <v>230</v>
      </c>
      <c r="G350" t="s">
        <v>12</v>
      </c>
      <c r="H350" s="3">
        <v>55004.08</v>
      </c>
      <c r="I350" s="3">
        <v>1435337</v>
      </c>
      <c r="J350" s="3">
        <v>1148269.6000000001</v>
      </c>
      <c r="K350" s="3">
        <v>232063.31999999989</v>
      </c>
      <c r="L350" t="s">
        <v>18</v>
      </c>
      <c r="M350">
        <v>4.7</v>
      </c>
    </row>
    <row r="351" spans="1:13" x14ac:dyDescent="0.25">
      <c r="A351">
        <v>350</v>
      </c>
      <c r="B351" s="1">
        <v>42503</v>
      </c>
      <c r="C351" s="1">
        <v>42634</v>
      </c>
      <c r="D351" t="s">
        <v>22</v>
      </c>
      <c r="E351" t="s">
        <v>29</v>
      </c>
      <c r="F351" s="2">
        <v>100</v>
      </c>
      <c r="G351" t="s">
        <v>11</v>
      </c>
      <c r="H351" s="3">
        <v>26309.200000000001</v>
      </c>
      <c r="I351" s="3">
        <v>717315</v>
      </c>
      <c r="J351" s="3">
        <v>573852</v>
      </c>
      <c r="K351" s="3">
        <v>117153.8</v>
      </c>
      <c r="L351" t="s">
        <v>18</v>
      </c>
      <c r="M351">
        <v>4.7</v>
      </c>
    </row>
    <row r="352" spans="1:13" x14ac:dyDescent="0.25">
      <c r="A352">
        <v>351</v>
      </c>
      <c r="B352" s="1">
        <v>42503</v>
      </c>
      <c r="C352" s="1">
        <v>42849</v>
      </c>
      <c r="D352" t="s">
        <v>20</v>
      </c>
      <c r="E352" t="s">
        <v>25</v>
      </c>
      <c r="F352" s="2">
        <v>70</v>
      </c>
      <c r="G352" t="s">
        <v>11</v>
      </c>
      <c r="H352" s="3">
        <v>15725</v>
      </c>
      <c r="I352" s="3">
        <v>455210</v>
      </c>
      <c r="J352" s="3">
        <v>364168</v>
      </c>
      <c r="K352" s="3">
        <v>75317</v>
      </c>
      <c r="L352" t="s">
        <v>15</v>
      </c>
      <c r="M352">
        <v>3.7</v>
      </c>
    </row>
    <row r="353" spans="1:13" x14ac:dyDescent="0.25">
      <c r="A353">
        <v>352</v>
      </c>
      <c r="B353" s="1">
        <v>42504</v>
      </c>
      <c r="C353" s="1">
        <v>42653</v>
      </c>
      <c r="D353" t="s">
        <v>21</v>
      </c>
      <c r="E353" t="s">
        <v>24</v>
      </c>
      <c r="F353" s="2">
        <v>237</v>
      </c>
      <c r="G353" t="s">
        <v>12</v>
      </c>
      <c r="H353" s="3">
        <v>81355</v>
      </c>
      <c r="I353" s="3">
        <v>2097035</v>
      </c>
      <c r="J353" s="3">
        <v>1677628</v>
      </c>
      <c r="K353" s="3">
        <v>338052</v>
      </c>
      <c r="L353" t="s">
        <v>19</v>
      </c>
      <c r="M353">
        <v>4.7</v>
      </c>
    </row>
    <row r="354" spans="1:13" x14ac:dyDescent="0.25">
      <c r="A354">
        <v>353</v>
      </c>
      <c r="B354" s="1">
        <v>42504</v>
      </c>
      <c r="C354" s="1">
        <v>42596</v>
      </c>
      <c r="D354" t="s">
        <v>22</v>
      </c>
      <c r="E354" t="s">
        <v>26</v>
      </c>
      <c r="F354" s="2">
        <v>253</v>
      </c>
      <c r="G354" t="s">
        <v>12</v>
      </c>
      <c r="H354" s="3">
        <v>78112.399999999994</v>
      </c>
      <c r="I354" s="3">
        <v>2016670</v>
      </c>
      <c r="J354" s="3">
        <v>1613336</v>
      </c>
      <c r="K354" s="3">
        <v>325221.59999999998</v>
      </c>
      <c r="L354" t="s">
        <v>14</v>
      </c>
      <c r="M354">
        <v>4.2</v>
      </c>
    </row>
    <row r="355" spans="1:13" x14ac:dyDescent="0.25">
      <c r="A355">
        <v>354</v>
      </c>
      <c r="B355" s="1">
        <v>42504</v>
      </c>
      <c r="C355" s="1">
        <v>42824</v>
      </c>
      <c r="D355" t="s">
        <v>20</v>
      </c>
      <c r="E355" t="s">
        <v>13</v>
      </c>
      <c r="F355" s="2">
        <v>117</v>
      </c>
      <c r="G355" t="s">
        <v>12</v>
      </c>
      <c r="H355" s="3">
        <v>34247.040000000001</v>
      </c>
      <c r="I355" s="3">
        <v>921961</v>
      </c>
      <c r="J355" s="3">
        <v>737568.8</v>
      </c>
      <c r="K355" s="3">
        <v>150145.15999999995</v>
      </c>
      <c r="L355" t="s">
        <v>14</v>
      </c>
      <c r="M355">
        <v>4.5999999999999996</v>
      </c>
    </row>
    <row r="356" spans="1:13" x14ac:dyDescent="0.25">
      <c r="A356">
        <v>355</v>
      </c>
      <c r="B356" s="1">
        <v>42504</v>
      </c>
      <c r="C356" s="1">
        <v>42658</v>
      </c>
      <c r="D356" t="s">
        <v>20</v>
      </c>
      <c r="E356" t="s">
        <v>27</v>
      </c>
      <c r="F356" s="2">
        <v>205</v>
      </c>
      <c r="G356" t="s">
        <v>12</v>
      </c>
      <c r="H356" s="3">
        <v>46466.44</v>
      </c>
      <c r="I356" s="3">
        <v>1218171</v>
      </c>
      <c r="J356" s="3">
        <v>974536.8</v>
      </c>
      <c r="K356" s="3">
        <v>197167.75999999995</v>
      </c>
      <c r="L356" t="s">
        <v>14</v>
      </c>
      <c r="M356">
        <v>4.9000000000000004</v>
      </c>
    </row>
    <row r="357" spans="1:13" x14ac:dyDescent="0.25">
      <c r="A357">
        <v>356</v>
      </c>
      <c r="B357" s="1">
        <v>42504</v>
      </c>
      <c r="C357" s="1">
        <v>42769</v>
      </c>
      <c r="D357" t="s">
        <v>21</v>
      </c>
      <c r="E357" t="s">
        <v>26</v>
      </c>
      <c r="F357" s="2">
        <v>150</v>
      </c>
      <c r="G357" t="s">
        <v>12</v>
      </c>
      <c r="H357" s="3">
        <v>32617.200000000001</v>
      </c>
      <c r="I357" s="3">
        <v>867315</v>
      </c>
      <c r="J357" s="3">
        <v>693852</v>
      </c>
      <c r="K357" s="3">
        <v>140845.79999999999</v>
      </c>
      <c r="L357" t="s">
        <v>19</v>
      </c>
      <c r="M357">
        <v>3.8</v>
      </c>
    </row>
    <row r="358" spans="1:13" x14ac:dyDescent="0.25">
      <c r="A358">
        <v>357</v>
      </c>
      <c r="B358" s="1">
        <v>42505</v>
      </c>
      <c r="C358" s="1">
        <v>42601</v>
      </c>
      <c r="D358" t="s">
        <v>21</v>
      </c>
      <c r="E358" t="s">
        <v>29</v>
      </c>
      <c r="F358" s="2">
        <v>193</v>
      </c>
      <c r="G358" t="s">
        <v>12</v>
      </c>
      <c r="H358" s="3">
        <v>67273.759999999995</v>
      </c>
      <c r="I358" s="3">
        <v>1744429</v>
      </c>
      <c r="J358" s="3">
        <v>1395543.2</v>
      </c>
      <c r="K358" s="3">
        <v>281612.04000000004</v>
      </c>
      <c r="L358" t="s">
        <v>15</v>
      </c>
      <c r="M358">
        <v>5</v>
      </c>
    </row>
    <row r="359" spans="1:13" x14ac:dyDescent="0.25">
      <c r="A359">
        <v>358</v>
      </c>
      <c r="B359" s="1">
        <v>42505</v>
      </c>
      <c r="C359" s="1">
        <v>42678</v>
      </c>
      <c r="D359" t="s">
        <v>20</v>
      </c>
      <c r="E359" t="s">
        <v>26</v>
      </c>
      <c r="F359" s="2">
        <v>124</v>
      </c>
      <c r="G359" t="s">
        <v>12</v>
      </c>
      <c r="H359" s="3">
        <v>46564.92</v>
      </c>
      <c r="I359" s="3">
        <v>1216533</v>
      </c>
      <c r="J359" s="3">
        <v>973226.4</v>
      </c>
      <c r="K359" s="3">
        <v>196741.68</v>
      </c>
      <c r="L359" t="s">
        <v>16</v>
      </c>
      <c r="M359">
        <v>3.9</v>
      </c>
    </row>
    <row r="360" spans="1:13" x14ac:dyDescent="0.25">
      <c r="A360">
        <v>359</v>
      </c>
      <c r="B360" s="1">
        <v>42505</v>
      </c>
      <c r="C360" s="1">
        <v>42812</v>
      </c>
      <c r="D360" t="s">
        <v>22</v>
      </c>
      <c r="E360" t="s">
        <v>26</v>
      </c>
      <c r="F360" s="2">
        <v>127</v>
      </c>
      <c r="G360" t="s">
        <v>12</v>
      </c>
      <c r="H360" s="3">
        <v>46107.199999999997</v>
      </c>
      <c r="I360" s="3">
        <v>1213115</v>
      </c>
      <c r="J360" s="3">
        <v>970492</v>
      </c>
      <c r="K360" s="3">
        <v>196515.8</v>
      </c>
      <c r="L360" t="s">
        <v>17</v>
      </c>
      <c r="M360">
        <v>3.6</v>
      </c>
    </row>
    <row r="361" spans="1:13" x14ac:dyDescent="0.25">
      <c r="A361">
        <v>360</v>
      </c>
      <c r="B361" s="1">
        <v>42506</v>
      </c>
      <c r="C361" s="1">
        <v>42813</v>
      </c>
      <c r="D361" t="s">
        <v>21</v>
      </c>
      <c r="E361" t="s">
        <v>26</v>
      </c>
      <c r="F361" s="2">
        <v>150</v>
      </c>
      <c r="G361" t="s">
        <v>12</v>
      </c>
      <c r="H361" s="3">
        <v>34876.800000000003</v>
      </c>
      <c r="I361" s="3">
        <v>932705</v>
      </c>
      <c r="J361" s="3">
        <v>746164</v>
      </c>
      <c r="K361" s="3">
        <v>151664.20000000001</v>
      </c>
      <c r="L361" t="s">
        <v>19</v>
      </c>
      <c r="M361">
        <v>4.7</v>
      </c>
    </row>
    <row r="362" spans="1:13" x14ac:dyDescent="0.25">
      <c r="A362">
        <v>361</v>
      </c>
      <c r="B362" s="1">
        <v>42507</v>
      </c>
      <c r="C362" s="1">
        <v>42804</v>
      </c>
      <c r="D362" t="s">
        <v>22</v>
      </c>
      <c r="E362" t="s">
        <v>27</v>
      </c>
      <c r="F362" s="2">
        <v>288</v>
      </c>
      <c r="G362" t="s">
        <v>12</v>
      </c>
      <c r="H362" s="3">
        <v>59438</v>
      </c>
      <c r="I362" s="3">
        <v>1542410</v>
      </c>
      <c r="J362" s="3">
        <v>1233928</v>
      </c>
      <c r="K362" s="3">
        <v>249044</v>
      </c>
      <c r="L362" t="s">
        <v>19</v>
      </c>
      <c r="M362">
        <v>3.9</v>
      </c>
    </row>
    <row r="363" spans="1:13" x14ac:dyDescent="0.25">
      <c r="A363">
        <v>362</v>
      </c>
      <c r="B363" s="1">
        <v>42508</v>
      </c>
      <c r="C363" s="1">
        <v>42706</v>
      </c>
      <c r="D363" t="s">
        <v>21</v>
      </c>
      <c r="E363" t="s">
        <v>28</v>
      </c>
      <c r="F363" s="2">
        <v>134</v>
      </c>
      <c r="G363" t="s">
        <v>11</v>
      </c>
      <c r="H363" s="3">
        <v>28314.799999999999</v>
      </c>
      <c r="I363" s="3">
        <v>768980</v>
      </c>
      <c r="J363" s="3">
        <v>615184</v>
      </c>
      <c r="K363" s="3">
        <v>125481.2</v>
      </c>
      <c r="L363" t="s">
        <v>19</v>
      </c>
      <c r="M363">
        <v>5</v>
      </c>
    </row>
    <row r="364" spans="1:13" x14ac:dyDescent="0.25">
      <c r="A364">
        <v>363</v>
      </c>
      <c r="B364" s="1">
        <v>42508</v>
      </c>
      <c r="C364" s="1">
        <v>42824</v>
      </c>
      <c r="D364" t="s">
        <v>22</v>
      </c>
      <c r="E364" t="s">
        <v>29</v>
      </c>
      <c r="F364" s="2">
        <v>62</v>
      </c>
      <c r="G364" t="s">
        <v>11</v>
      </c>
      <c r="H364" s="3">
        <v>14252.96</v>
      </c>
      <c r="I364" s="3">
        <v>415109</v>
      </c>
      <c r="J364" s="3">
        <v>332087.2</v>
      </c>
      <c r="K364" s="3">
        <v>68768.84</v>
      </c>
      <c r="L364" t="s">
        <v>14</v>
      </c>
      <c r="M364">
        <v>3.9</v>
      </c>
    </row>
    <row r="365" spans="1:13" x14ac:dyDescent="0.25">
      <c r="A365">
        <v>364</v>
      </c>
      <c r="B365" s="1">
        <v>42508</v>
      </c>
      <c r="C365" s="1">
        <v>42730</v>
      </c>
      <c r="D365" t="s">
        <v>20</v>
      </c>
      <c r="E365" t="s">
        <v>27</v>
      </c>
      <c r="F365" s="2">
        <v>261</v>
      </c>
      <c r="G365" t="s">
        <v>12</v>
      </c>
      <c r="H365" s="3">
        <v>49428.44</v>
      </c>
      <c r="I365" s="3">
        <v>1293521</v>
      </c>
      <c r="J365" s="3">
        <v>1034816.8</v>
      </c>
      <c r="K365" s="3">
        <v>209275.75999999995</v>
      </c>
      <c r="L365" t="s">
        <v>19</v>
      </c>
      <c r="M365">
        <v>4.0999999999999996</v>
      </c>
    </row>
    <row r="366" spans="1:13" x14ac:dyDescent="0.25">
      <c r="A366">
        <v>365</v>
      </c>
      <c r="B366" s="1">
        <v>42508</v>
      </c>
      <c r="C366" s="1">
        <v>42659</v>
      </c>
      <c r="D366" t="s">
        <v>20</v>
      </c>
      <c r="E366" t="s">
        <v>26</v>
      </c>
      <c r="F366" s="2">
        <v>132</v>
      </c>
      <c r="G366" t="s">
        <v>11</v>
      </c>
      <c r="H366" s="3">
        <v>25963.200000000001</v>
      </c>
      <c r="I366" s="3">
        <v>709840</v>
      </c>
      <c r="J366" s="3">
        <v>567872</v>
      </c>
      <c r="K366" s="3">
        <v>116004.8</v>
      </c>
      <c r="L366" t="s">
        <v>18</v>
      </c>
      <c r="M366">
        <v>4.2</v>
      </c>
    </row>
    <row r="367" spans="1:13" x14ac:dyDescent="0.25">
      <c r="A367">
        <v>366</v>
      </c>
      <c r="B367" s="1">
        <v>42508</v>
      </c>
      <c r="C367" s="1">
        <v>42865</v>
      </c>
      <c r="D367" t="s">
        <v>21</v>
      </c>
      <c r="E367" t="s">
        <v>25</v>
      </c>
      <c r="F367" s="2">
        <v>130</v>
      </c>
      <c r="G367" t="s">
        <v>12</v>
      </c>
      <c r="H367" s="3">
        <v>37526.68</v>
      </c>
      <c r="I367" s="3">
        <v>997677</v>
      </c>
      <c r="J367" s="3">
        <v>798141.6</v>
      </c>
      <c r="K367" s="3">
        <v>162008.72000000003</v>
      </c>
      <c r="L367" t="s">
        <v>17</v>
      </c>
      <c r="M367">
        <v>4.4000000000000004</v>
      </c>
    </row>
    <row r="368" spans="1:13" x14ac:dyDescent="0.25">
      <c r="A368">
        <v>367</v>
      </c>
      <c r="B368" s="1">
        <v>42508</v>
      </c>
      <c r="C368" s="1">
        <v>42818</v>
      </c>
      <c r="D368" t="s">
        <v>20</v>
      </c>
      <c r="E368" t="s">
        <v>26</v>
      </c>
      <c r="F368" s="2">
        <v>73</v>
      </c>
      <c r="G368" t="s">
        <v>11</v>
      </c>
      <c r="H368" s="3">
        <v>18942.8</v>
      </c>
      <c r="I368" s="3">
        <v>537705</v>
      </c>
      <c r="J368" s="3">
        <v>430164</v>
      </c>
      <c r="K368" s="3">
        <v>88598.2</v>
      </c>
      <c r="L368" t="s">
        <v>17</v>
      </c>
      <c r="M368">
        <v>4.7</v>
      </c>
    </row>
    <row r="369" spans="1:13" x14ac:dyDescent="0.25">
      <c r="A369">
        <v>368</v>
      </c>
      <c r="B369" s="1">
        <v>42508</v>
      </c>
      <c r="C369" s="1">
        <v>42661</v>
      </c>
      <c r="D369" t="s">
        <v>22</v>
      </c>
      <c r="E369" t="s">
        <v>29</v>
      </c>
      <c r="F369" s="2">
        <v>73</v>
      </c>
      <c r="G369" t="s">
        <v>11</v>
      </c>
      <c r="H369" s="3">
        <v>13481.8</v>
      </c>
      <c r="I369" s="3">
        <v>390805</v>
      </c>
      <c r="J369" s="3">
        <v>312644</v>
      </c>
      <c r="K369" s="3">
        <v>64679.199999999997</v>
      </c>
      <c r="L369" t="s">
        <v>14</v>
      </c>
      <c r="M369">
        <v>4.3</v>
      </c>
    </row>
    <row r="370" spans="1:13" x14ac:dyDescent="0.25">
      <c r="A370">
        <v>369</v>
      </c>
      <c r="B370" s="1">
        <v>42509</v>
      </c>
      <c r="C370" s="1">
        <v>42731</v>
      </c>
      <c r="D370" t="s">
        <v>22</v>
      </c>
      <c r="E370" t="s">
        <v>26</v>
      </c>
      <c r="F370" s="2">
        <v>142</v>
      </c>
      <c r="G370" t="s">
        <v>12</v>
      </c>
      <c r="H370" s="3">
        <v>48434.559999999998</v>
      </c>
      <c r="I370" s="3">
        <v>1274824</v>
      </c>
      <c r="J370" s="3">
        <v>1019859.2</v>
      </c>
      <c r="K370" s="3">
        <v>206530.24000000005</v>
      </c>
      <c r="L370" t="s">
        <v>19</v>
      </c>
      <c r="M370">
        <v>4.5</v>
      </c>
    </row>
    <row r="371" spans="1:13" x14ac:dyDescent="0.25">
      <c r="A371">
        <v>370</v>
      </c>
      <c r="B371" s="1">
        <v>42509</v>
      </c>
      <c r="C371" s="1">
        <v>42627</v>
      </c>
      <c r="D371" t="s">
        <v>21</v>
      </c>
      <c r="E371" t="s">
        <v>26</v>
      </c>
      <c r="F371" s="2">
        <v>278</v>
      </c>
      <c r="G371" t="s">
        <v>12</v>
      </c>
      <c r="H371" s="3">
        <v>54102</v>
      </c>
      <c r="I371" s="3">
        <v>1414460</v>
      </c>
      <c r="J371" s="3">
        <v>1131568</v>
      </c>
      <c r="K371" s="3">
        <v>228790</v>
      </c>
      <c r="L371" t="s">
        <v>17</v>
      </c>
      <c r="M371">
        <v>4.5999999999999996</v>
      </c>
    </row>
    <row r="372" spans="1:13" x14ac:dyDescent="0.25">
      <c r="A372">
        <v>371</v>
      </c>
      <c r="B372" s="1">
        <v>42510</v>
      </c>
      <c r="C372" s="1">
        <v>42712</v>
      </c>
      <c r="D372" t="s">
        <v>23</v>
      </c>
      <c r="E372" t="s">
        <v>24</v>
      </c>
      <c r="F372" s="2">
        <v>226</v>
      </c>
      <c r="G372" t="s">
        <v>12</v>
      </c>
      <c r="H372" s="3">
        <v>43440.2</v>
      </c>
      <c r="I372" s="3">
        <v>1146465</v>
      </c>
      <c r="J372" s="3">
        <v>917172</v>
      </c>
      <c r="K372" s="3">
        <v>185852.79999999999</v>
      </c>
      <c r="L372" t="s">
        <v>19</v>
      </c>
      <c r="M372">
        <v>5</v>
      </c>
    </row>
    <row r="373" spans="1:13" x14ac:dyDescent="0.25">
      <c r="A373">
        <v>372</v>
      </c>
      <c r="B373" s="1">
        <v>42510</v>
      </c>
      <c r="C373" s="1">
        <v>42858</v>
      </c>
      <c r="D373" t="s">
        <v>20</v>
      </c>
      <c r="E373" t="s">
        <v>24</v>
      </c>
      <c r="F373" s="2">
        <v>160</v>
      </c>
      <c r="G373" t="s">
        <v>12</v>
      </c>
      <c r="H373" s="3">
        <v>52081.16</v>
      </c>
      <c r="I373" s="3">
        <v>1354014</v>
      </c>
      <c r="J373" s="3">
        <v>1083211.2</v>
      </c>
      <c r="K373" s="3">
        <v>218721.64000000004</v>
      </c>
      <c r="L373" t="s">
        <v>19</v>
      </c>
      <c r="M373">
        <v>4.7</v>
      </c>
    </row>
    <row r="374" spans="1:13" x14ac:dyDescent="0.25">
      <c r="A374">
        <v>373</v>
      </c>
      <c r="B374" s="1">
        <v>42511</v>
      </c>
      <c r="C374" s="1">
        <v>42876</v>
      </c>
      <c r="D374" t="s">
        <v>22</v>
      </c>
      <c r="E374" t="s">
        <v>25</v>
      </c>
      <c r="F374" s="2">
        <v>127</v>
      </c>
      <c r="G374" t="s">
        <v>12</v>
      </c>
      <c r="H374" s="3">
        <v>31792.44</v>
      </c>
      <c r="I374" s="3">
        <v>859296</v>
      </c>
      <c r="J374" s="3">
        <v>687436.80000000005</v>
      </c>
      <c r="K374" s="3">
        <v>140066.75999999995</v>
      </c>
      <c r="L374" t="s">
        <v>15</v>
      </c>
      <c r="M374">
        <v>4.3</v>
      </c>
    </row>
    <row r="375" spans="1:13" x14ac:dyDescent="0.25">
      <c r="A375">
        <v>374</v>
      </c>
      <c r="B375" s="1">
        <v>42511</v>
      </c>
      <c r="C375" s="1">
        <v>42687</v>
      </c>
      <c r="D375" t="s">
        <v>21</v>
      </c>
      <c r="E375" t="s">
        <v>26</v>
      </c>
      <c r="F375" s="2">
        <v>162</v>
      </c>
      <c r="G375" t="s">
        <v>12</v>
      </c>
      <c r="H375" s="3">
        <v>34986.480000000003</v>
      </c>
      <c r="I375" s="3">
        <v>931772</v>
      </c>
      <c r="J375" s="3">
        <v>745417.6</v>
      </c>
      <c r="K375" s="3">
        <v>151367.92000000001</v>
      </c>
      <c r="L375" t="s">
        <v>17</v>
      </c>
      <c r="M375">
        <v>3.6</v>
      </c>
    </row>
    <row r="376" spans="1:13" x14ac:dyDescent="0.25">
      <c r="A376">
        <v>375</v>
      </c>
      <c r="B376" s="1">
        <v>42512</v>
      </c>
      <c r="C376" s="1">
        <v>42835</v>
      </c>
      <c r="D376" t="s">
        <v>20</v>
      </c>
      <c r="E376" t="s">
        <v>25</v>
      </c>
      <c r="F376" s="2">
        <v>227</v>
      </c>
      <c r="G376" t="s">
        <v>12</v>
      </c>
      <c r="H376" s="3">
        <v>55065.2</v>
      </c>
      <c r="I376" s="3">
        <v>1435115</v>
      </c>
      <c r="J376" s="3">
        <v>1148092</v>
      </c>
      <c r="K376" s="3">
        <v>231957.8</v>
      </c>
      <c r="L376" t="s">
        <v>18</v>
      </c>
      <c r="M376">
        <v>4.3</v>
      </c>
    </row>
    <row r="377" spans="1:13" x14ac:dyDescent="0.25">
      <c r="A377">
        <v>376</v>
      </c>
      <c r="B377" s="1">
        <v>42513</v>
      </c>
      <c r="C377" s="1">
        <v>42617</v>
      </c>
      <c r="D377" t="s">
        <v>21</v>
      </c>
      <c r="E377" t="s">
        <v>29</v>
      </c>
      <c r="F377" s="2">
        <v>243</v>
      </c>
      <c r="G377" t="s">
        <v>12</v>
      </c>
      <c r="H377" s="3">
        <v>47764.12</v>
      </c>
      <c r="I377" s="3">
        <v>1246538</v>
      </c>
      <c r="J377" s="3">
        <v>997230.4</v>
      </c>
      <c r="K377" s="3">
        <v>201543.47999999998</v>
      </c>
      <c r="L377" t="s">
        <v>17</v>
      </c>
      <c r="M377">
        <v>4.5</v>
      </c>
    </row>
    <row r="378" spans="1:13" x14ac:dyDescent="0.25">
      <c r="A378">
        <v>377</v>
      </c>
      <c r="B378" s="1">
        <v>42514</v>
      </c>
      <c r="C378" s="1">
        <v>42841</v>
      </c>
      <c r="D378" t="s">
        <v>22</v>
      </c>
      <c r="E378" t="s">
        <v>26</v>
      </c>
      <c r="F378" s="2">
        <v>100</v>
      </c>
      <c r="G378" t="s">
        <v>11</v>
      </c>
      <c r="H378" s="3">
        <v>20016.400000000001</v>
      </c>
      <c r="I378" s="3">
        <v>561695</v>
      </c>
      <c r="J378" s="3">
        <v>449356</v>
      </c>
      <c r="K378" s="3">
        <v>92322.6</v>
      </c>
      <c r="L378" t="s">
        <v>15</v>
      </c>
      <c r="M378">
        <v>4.4000000000000004</v>
      </c>
    </row>
    <row r="379" spans="1:13" x14ac:dyDescent="0.25">
      <c r="A379">
        <v>378</v>
      </c>
      <c r="B379" s="1">
        <v>42514</v>
      </c>
      <c r="C379" s="1">
        <v>42630</v>
      </c>
      <c r="D379" t="s">
        <v>23</v>
      </c>
      <c r="E379" t="s">
        <v>28</v>
      </c>
      <c r="F379" s="2">
        <v>276</v>
      </c>
      <c r="G379" t="s">
        <v>12</v>
      </c>
      <c r="H379" s="3">
        <v>66026</v>
      </c>
      <c r="I379" s="3">
        <v>1716485</v>
      </c>
      <c r="J379" s="3">
        <v>1373188</v>
      </c>
      <c r="K379" s="3">
        <v>277271</v>
      </c>
      <c r="L379" t="s">
        <v>18</v>
      </c>
      <c r="M379">
        <v>4.5</v>
      </c>
    </row>
    <row r="380" spans="1:13" x14ac:dyDescent="0.25">
      <c r="A380">
        <v>379</v>
      </c>
      <c r="B380" s="1">
        <v>42514</v>
      </c>
      <c r="C380" s="1">
        <v>42656</v>
      </c>
      <c r="D380" t="s">
        <v>20</v>
      </c>
      <c r="E380" t="s">
        <v>25</v>
      </c>
      <c r="F380" s="2">
        <v>101</v>
      </c>
      <c r="G380" t="s">
        <v>12</v>
      </c>
      <c r="H380" s="3">
        <v>31652.32</v>
      </c>
      <c r="I380" s="3">
        <v>849293</v>
      </c>
      <c r="J380" s="3">
        <v>679434.4</v>
      </c>
      <c r="K380" s="3">
        <v>138206.27999999997</v>
      </c>
      <c r="L380" t="s">
        <v>17</v>
      </c>
      <c r="M380">
        <v>5</v>
      </c>
    </row>
    <row r="381" spans="1:13" x14ac:dyDescent="0.25">
      <c r="A381">
        <v>380</v>
      </c>
      <c r="B381" s="1">
        <v>42515</v>
      </c>
      <c r="C381" s="1">
        <v>42821</v>
      </c>
      <c r="D381" t="s">
        <v>22</v>
      </c>
      <c r="E381" t="s">
        <v>27</v>
      </c>
      <c r="F381" s="2">
        <v>265</v>
      </c>
      <c r="G381" t="s">
        <v>12</v>
      </c>
      <c r="H381" s="3">
        <v>102736.16</v>
      </c>
      <c r="I381" s="3">
        <v>2623189</v>
      </c>
      <c r="J381" s="3">
        <v>2098551.2000000002</v>
      </c>
      <c r="K381" s="3">
        <v>421901.63999999978</v>
      </c>
      <c r="L381" t="s">
        <v>14</v>
      </c>
      <c r="M381">
        <v>4.9000000000000004</v>
      </c>
    </row>
    <row r="382" spans="1:13" x14ac:dyDescent="0.25">
      <c r="A382">
        <v>381</v>
      </c>
      <c r="B382" s="1">
        <v>42515</v>
      </c>
      <c r="C382" s="1">
        <v>42664</v>
      </c>
      <c r="D382" t="s">
        <v>20</v>
      </c>
      <c r="E382" t="s">
        <v>27</v>
      </c>
      <c r="F382" s="2">
        <v>119</v>
      </c>
      <c r="G382" t="s">
        <v>12</v>
      </c>
      <c r="H382" s="3">
        <v>30416.36</v>
      </c>
      <c r="I382" s="3">
        <v>812369</v>
      </c>
      <c r="J382" s="3">
        <v>649895.19999999995</v>
      </c>
      <c r="K382" s="3">
        <v>132057.44000000006</v>
      </c>
      <c r="L382" t="s">
        <v>16</v>
      </c>
      <c r="M382">
        <v>4.8</v>
      </c>
    </row>
    <row r="383" spans="1:13" x14ac:dyDescent="0.25">
      <c r="A383">
        <v>382</v>
      </c>
      <c r="B383" s="1">
        <v>42516</v>
      </c>
      <c r="C383" s="1">
        <v>42849</v>
      </c>
      <c r="D383" t="s">
        <v>23</v>
      </c>
      <c r="E383" t="s">
        <v>25</v>
      </c>
      <c r="F383" s="2">
        <v>258</v>
      </c>
      <c r="G383" t="s">
        <v>12</v>
      </c>
      <c r="H383" s="3">
        <v>102376.36</v>
      </c>
      <c r="I383" s="3">
        <v>2618669</v>
      </c>
      <c r="J383" s="3">
        <v>2094935.2</v>
      </c>
      <c r="K383" s="3">
        <v>421357.44000000006</v>
      </c>
      <c r="L383" t="s">
        <v>19</v>
      </c>
      <c r="M383">
        <v>3.6</v>
      </c>
    </row>
    <row r="384" spans="1:13" x14ac:dyDescent="0.25">
      <c r="A384">
        <v>383</v>
      </c>
      <c r="B384" s="1">
        <v>42516</v>
      </c>
      <c r="C384" s="1">
        <v>42732</v>
      </c>
      <c r="D384" t="s">
        <v>22</v>
      </c>
      <c r="E384" t="s">
        <v>25</v>
      </c>
      <c r="F384" s="2">
        <v>293</v>
      </c>
      <c r="G384" t="s">
        <v>12</v>
      </c>
      <c r="H384" s="3">
        <v>52196.639999999999</v>
      </c>
      <c r="I384" s="3">
        <v>1367651</v>
      </c>
      <c r="J384" s="3">
        <v>1094120.8</v>
      </c>
      <c r="K384" s="3">
        <v>221333.55999999994</v>
      </c>
      <c r="L384" t="s">
        <v>16</v>
      </c>
      <c r="M384">
        <v>4.2</v>
      </c>
    </row>
    <row r="385" spans="1:13" x14ac:dyDescent="0.25">
      <c r="A385">
        <v>384</v>
      </c>
      <c r="B385" s="1">
        <v>42516</v>
      </c>
      <c r="C385" s="1">
        <v>42663</v>
      </c>
      <c r="D385" t="s">
        <v>20</v>
      </c>
      <c r="E385" t="s">
        <v>26</v>
      </c>
      <c r="F385" s="2">
        <v>196</v>
      </c>
      <c r="G385" t="s">
        <v>12</v>
      </c>
      <c r="H385" s="3">
        <v>71805</v>
      </c>
      <c r="I385" s="3">
        <v>1859885</v>
      </c>
      <c r="J385" s="3">
        <v>1487908</v>
      </c>
      <c r="K385" s="3">
        <v>300172</v>
      </c>
      <c r="L385" t="s">
        <v>16</v>
      </c>
      <c r="M385">
        <v>4.3</v>
      </c>
    </row>
    <row r="386" spans="1:13" x14ac:dyDescent="0.25">
      <c r="A386">
        <v>385</v>
      </c>
      <c r="B386" s="1">
        <v>42516</v>
      </c>
      <c r="C386" s="1">
        <v>42814</v>
      </c>
      <c r="D386" t="s">
        <v>22</v>
      </c>
      <c r="E386" t="s">
        <v>25</v>
      </c>
      <c r="F386" s="2">
        <v>194</v>
      </c>
      <c r="G386" t="s">
        <v>12</v>
      </c>
      <c r="H386" s="3">
        <v>69054.2</v>
      </c>
      <c r="I386" s="3">
        <v>1782890</v>
      </c>
      <c r="J386" s="3">
        <v>1426312</v>
      </c>
      <c r="K386" s="3">
        <v>287523.8</v>
      </c>
      <c r="L386" t="s">
        <v>19</v>
      </c>
      <c r="M386">
        <v>4</v>
      </c>
    </row>
    <row r="387" spans="1:13" x14ac:dyDescent="0.25">
      <c r="A387">
        <v>386</v>
      </c>
      <c r="B387" s="1">
        <v>42516</v>
      </c>
      <c r="C387" s="1">
        <v>42626</v>
      </c>
      <c r="D387" t="s">
        <v>20</v>
      </c>
      <c r="E387" t="s">
        <v>13</v>
      </c>
      <c r="F387" s="2">
        <v>179</v>
      </c>
      <c r="G387" t="s">
        <v>12</v>
      </c>
      <c r="H387" s="3">
        <v>32525.4</v>
      </c>
      <c r="I387" s="3">
        <v>867245</v>
      </c>
      <c r="J387" s="3">
        <v>693796</v>
      </c>
      <c r="K387" s="3">
        <v>140923.6</v>
      </c>
      <c r="L387" t="s">
        <v>15</v>
      </c>
      <c r="M387">
        <v>4.5</v>
      </c>
    </row>
    <row r="388" spans="1:13" x14ac:dyDescent="0.25">
      <c r="A388">
        <v>387</v>
      </c>
      <c r="B388" s="1">
        <v>42517</v>
      </c>
      <c r="C388" s="1">
        <v>42617</v>
      </c>
      <c r="D388" t="s">
        <v>20</v>
      </c>
      <c r="E388" t="s">
        <v>25</v>
      </c>
      <c r="F388" s="2">
        <v>112</v>
      </c>
      <c r="G388" t="s">
        <v>11</v>
      </c>
      <c r="H388" s="3">
        <v>18306.88</v>
      </c>
      <c r="I388" s="3">
        <v>522957</v>
      </c>
      <c r="J388" s="3">
        <v>418365.6</v>
      </c>
      <c r="K388" s="3">
        <v>86284.520000000019</v>
      </c>
      <c r="L388" t="s">
        <v>16</v>
      </c>
      <c r="M388">
        <v>4.9000000000000004</v>
      </c>
    </row>
    <row r="389" spans="1:13" x14ac:dyDescent="0.25">
      <c r="A389">
        <v>388</v>
      </c>
      <c r="B389" s="1">
        <v>42518</v>
      </c>
      <c r="C389" s="1">
        <v>42779</v>
      </c>
      <c r="D389" t="s">
        <v>20</v>
      </c>
      <c r="E389" t="s">
        <v>28</v>
      </c>
      <c r="F389" s="2">
        <v>132</v>
      </c>
      <c r="G389" t="s">
        <v>12</v>
      </c>
      <c r="H389" s="3">
        <v>32345.08</v>
      </c>
      <c r="I389" s="3">
        <v>871637</v>
      </c>
      <c r="J389" s="3">
        <v>697309.6</v>
      </c>
      <c r="K389" s="3">
        <v>141982.32</v>
      </c>
      <c r="L389" t="s">
        <v>17</v>
      </c>
      <c r="M389">
        <v>4</v>
      </c>
    </row>
    <row r="390" spans="1:13" x14ac:dyDescent="0.25">
      <c r="A390">
        <v>389</v>
      </c>
      <c r="B390" s="1">
        <v>42519</v>
      </c>
      <c r="C390" s="1">
        <v>42768</v>
      </c>
      <c r="D390" t="s">
        <v>20</v>
      </c>
      <c r="E390" t="s">
        <v>28</v>
      </c>
      <c r="F390" s="2">
        <v>192</v>
      </c>
      <c r="G390" t="s">
        <v>12</v>
      </c>
      <c r="H390" s="3">
        <v>34280.36</v>
      </c>
      <c r="I390" s="3">
        <v>919269</v>
      </c>
      <c r="J390" s="3">
        <v>735415.2</v>
      </c>
      <c r="K390" s="3">
        <v>149573.44000000006</v>
      </c>
      <c r="L390" t="s">
        <v>19</v>
      </c>
      <c r="M390">
        <v>3.8</v>
      </c>
    </row>
    <row r="391" spans="1:13" x14ac:dyDescent="0.25">
      <c r="A391">
        <v>390</v>
      </c>
      <c r="B391" s="1">
        <v>42520</v>
      </c>
      <c r="C391" s="1">
        <v>42714</v>
      </c>
      <c r="D391" t="s">
        <v>21</v>
      </c>
      <c r="E391" t="s">
        <v>26</v>
      </c>
      <c r="F391" s="2">
        <v>61</v>
      </c>
      <c r="G391" t="s">
        <v>11</v>
      </c>
      <c r="H391" s="3">
        <v>14925</v>
      </c>
      <c r="I391" s="3">
        <v>425835</v>
      </c>
      <c r="J391" s="3">
        <v>340668</v>
      </c>
      <c r="K391" s="3">
        <v>70242</v>
      </c>
      <c r="L391" t="s">
        <v>19</v>
      </c>
      <c r="M391">
        <v>4.9000000000000004</v>
      </c>
    </row>
    <row r="392" spans="1:13" x14ac:dyDescent="0.25">
      <c r="A392">
        <v>391</v>
      </c>
      <c r="B392" s="1">
        <v>42520</v>
      </c>
      <c r="C392" s="1">
        <v>42823</v>
      </c>
      <c r="D392" t="s">
        <v>21</v>
      </c>
      <c r="E392" t="s">
        <v>13</v>
      </c>
      <c r="F392" s="2">
        <v>294</v>
      </c>
      <c r="G392" t="s">
        <v>12</v>
      </c>
      <c r="H392" s="3">
        <v>58274</v>
      </c>
      <c r="I392" s="3">
        <v>1519985</v>
      </c>
      <c r="J392" s="3">
        <v>1215988</v>
      </c>
      <c r="K392" s="3">
        <v>245723</v>
      </c>
      <c r="L392" t="s">
        <v>14</v>
      </c>
      <c r="M392">
        <v>4.7</v>
      </c>
    </row>
    <row r="393" spans="1:13" x14ac:dyDescent="0.25">
      <c r="A393">
        <v>392</v>
      </c>
      <c r="B393" s="1">
        <v>42520</v>
      </c>
      <c r="C393" s="1">
        <v>42772</v>
      </c>
      <c r="D393" t="s">
        <v>21</v>
      </c>
      <c r="E393" t="s">
        <v>13</v>
      </c>
      <c r="F393" s="2">
        <v>197</v>
      </c>
      <c r="G393" t="s">
        <v>12</v>
      </c>
      <c r="H393" s="3">
        <v>61631</v>
      </c>
      <c r="I393" s="3">
        <v>1596935</v>
      </c>
      <c r="J393" s="3">
        <v>1277548</v>
      </c>
      <c r="K393" s="3">
        <v>257756</v>
      </c>
      <c r="L393" t="s">
        <v>17</v>
      </c>
      <c r="M393">
        <v>4.9000000000000004</v>
      </c>
    </row>
    <row r="394" spans="1:13" x14ac:dyDescent="0.25">
      <c r="A394">
        <v>393</v>
      </c>
      <c r="B394" s="1">
        <v>42521</v>
      </c>
      <c r="C394" s="1">
        <v>42798</v>
      </c>
      <c r="D394" t="s">
        <v>20</v>
      </c>
      <c r="E394" t="s">
        <v>24</v>
      </c>
      <c r="F394" s="2">
        <v>218</v>
      </c>
      <c r="G394" t="s">
        <v>12</v>
      </c>
      <c r="H394" s="3">
        <v>45744</v>
      </c>
      <c r="I394" s="3">
        <v>1200860</v>
      </c>
      <c r="J394" s="3">
        <v>960688</v>
      </c>
      <c r="K394" s="3">
        <v>194428</v>
      </c>
      <c r="L394" t="s">
        <v>15</v>
      </c>
      <c r="M394">
        <v>3.7</v>
      </c>
    </row>
    <row r="395" spans="1:13" x14ac:dyDescent="0.25">
      <c r="A395">
        <v>394</v>
      </c>
      <c r="B395" s="1">
        <v>42521</v>
      </c>
      <c r="C395" s="1">
        <v>42842</v>
      </c>
      <c r="D395" t="s">
        <v>21</v>
      </c>
      <c r="E395" t="s">
        <v>26</v>
      </c>
      <c r="F395" s="2">
        <v>198</v>
      </c>
      <c r="G395" t="s">
        <v>12</v>
      </c>
      <c r="H395" s="3">
        <v>37222.68</v>
      </c>
      <c r="I395" s="3">
        <v>983277</v>
      </c>
      <c r="J395" s="3">
        <v>786621.6</v>
      </c>
      <c r="K395" s="3">
        <v>159432.72000000003</v>
      </c>
      <c r="L395" t="s">
        <v>18</v>
      </c>
      <c r="M395">
        <v>4.3</v>
      </c>
    </row>
    <row r="396" spans="1:13" x14ac:dyDescent="0.25">
      <c r="A396">
        <v>395</v>
      </c>
      <c r="B396" s="1">
        <v>42521</v>
      </c>
      <c r="C396" s="1">
        <v>42878</v>
      </c>
      <c r="D396" t="s">
        <v>20</v>
      </c>
      <c r="E396" t="s">
        <v>26</v>
      </c>
      <c r="F396" s="2">
        <v>187</v>
      </c>
      <c r="G396" t="s">
        <v>12</v>
      </c>
      <c r="H396" s="3">
        <v>45761.84</v>
      </c>
      <c r="I396" s="3">
        <v>1195781</v>
      </c>
      <c r="J396" s="3">
        <v>956624.8</v>
      </c>
      <c r="K396" s="3">
        <v>193394.35999999996</v>
      </c>
      <c r="L396" t="s">
        <v>14</v>
      </c>
      <c r="M396">
        <v>4.4000000000000004</v>
      </c>
    </row>
    <row r="397" spans="1:13" x14ac:dyDescent="0.25">
      <c r="A397">
        <v>396</v>
      </c>
      <c r="B397" s="1">
        <v>42521</v>
      </c>
      <c r="C397" s="1">
        <v>42620</v>
      </c>
      <c r="D397" t="s">
        <v>20</v>
      </c>
      <c r="E397" t="s">
        <v>24</v>
      </c>
      <c r="F397" s="2">
        <v>293</v>
      </c>
      <c r="G397" t="s">
        <v>12</v>
      </c>
      <c r="H397" s="3">
        <v>62939.76</v>
      </c>
      <c r="I397" s="3">
        <v>1639029</v>
      </c>
      <c r="J397" s="3">
        <v>1311223.2</v>
      </c>
      <c r="K397" s="3">
        <v>264866.04000000004</v>
      </c>
      <c r="L397" t="s">
        <v>17</v>
      </c>
      <c r="M397">
        <v>3.8</v>
      </c>
    </row>
    <row r="398" spans="1:13" x14ac:dyDescent="0.25">
      <c r="A398">
        <v>397</v>
      </c>
      <c r="B398" s="1">
        <v>42522</v>
      </c>
      <c r="C398" s="1">
        <v>42865</v>
      </c>
      <c r="D398" t="s">
        <v>22</v>
      </c>
      <c r="E398" t="s">
        <v>13</v>
      </c>
      <c r="F398" s="2">
        <v>173</v>
      </c>
      <c r="G398" t="s">
        <v>12</v>
      </c>
      <c r="H398" s="3">
        <v>36134.839999999997</v>
      </c>
      <c r="I398" s="3">
        <v>969806</v>
      </c>
      <c r="J398" s="3">
        <v>775844.8</v>
      </c>
      <c r="K398" s="3">
        <v>157826.35999999996</v>
      </c>
      <c r="L398" t="s">
        <v>16</v>
      </c>
      <c r="M398">
        <v>4.5</v>
      </c>
    </row>
    <row r="399" spans="1:13" x14ac:dyDescent="0.25">
      <c r="A399">
        <v>398</v>
      </c>
      <c r="B399" s="1">
        <v>42522</v>
      </c>
      <c r="C399" s="1">
        <v>42682</v>
      </c>
      <c r="D399" t="s">
        <v>22</v>
      </c>
      <c r="E399" t="s">
        <v>25</v>
      </c>
      <c r="F399" s="2">
        <v>66</v>
      </c>
      <c r="G399" t="s">
        <v>11</v>
      </c>
      <c r="H399" s="3">
        <v>15928.96</v>
      </c>
      <c r="I399" s="3">
        <v>464309</v>
      </c>
      <c r="J399" s="3">
        <v>371447.2</v>
      </c>
      <c r="K399" s="3">
        <v>76932.84</v>
      </c>
      <c r="L399" t="s">
        <v>19</v>
      </c>
      <c r="M399">
        <v>5</v>
      </c>
    </row>
    <row r="400" spans="1:13" x14ac:dyDescent="0.25">
      <c r="A400">
        <v>399</v>
      </c>
      <c r="B400" s="1">
        <v>42522</v>
      </c>
      <c r="C400" s="1">
        <v>42759</v>
      </c>
      <c r="D400" t="s">
        <v>22</v>
      </c>
      <c r="E400" t="s">
        <v>26</v>
      </c>
      <c r="F400" s="2">
        <v>60</v>
      </c>
      <c r="G400" t="s">
        <v>11</v>
      </c>
      <c r="H400" s="3">
        <v>18366.400000000001</v>
      </c>
      <c r="I400" s="3">
        <v>520345</v>
      </c>
      <c r="J400" s="3">
        <v>416276</v>
      </c>
      <c r="K400" s="3">
        <v>85702.6</v>
      </c>
      <c r="L400" t="s">
        <v>15</v>
      </c>
      <c r="M400">
        <v>4.7</v>
      </c>
    </row>
    <row r="401" spans="1:13" x14ac:dyDescent="0.25">
      <c r="A401">
        <v>400</v>
      </c>
      <c r="B401" s="1">
        <v>42522</v>
      </c>
      <c r="C401" s="1">
        <v>42757</v>
      </c>
      <c r="D401" t="s">
        <v>22</v>
      </c>
      <c r="E401" t="s">
        <v>26</v>
      </c>
      <c r="F401" s="2">
        <v>204</v>
      </c>
      <c r="G401" t="s">
        <v>12</v>
      </c>
      <c r="H401" s="3">
        <v>48059.8</v>
      </c>
      <c r="I401" s="3">
        <v>1261605</v>
      </c>
      <c r="J401" s="3">
        <v>1009284</v>
      </c>
      <c r="K401" s="3">
        <v>204261.2</v>
      </c>
      <c r="L401" t="s">
        <v>14</v>
      </c>
      <c r="M401">
        <v>5</v>
      </c>
    </row>
    <row r="402" spans="1:13" x14ac:dyDescent="0.25">
      <c r="A402">
        <v>401</v>
      </c>
      <c r="B402" s="1">
        <v>42523</v>
      </c>
      <c r="C402" s="1">
        <v>42888</v>
      </c>
      <c r="D402" t="s">
        <v>21</v>
      </c>
      <c r="E402" t="s">
        <v>13</v>
      </c>
      <c r="F402" s="2">
        <v>267</v>
      </c>
      <c r="G402" t="s">
        <v>12</v>
      </c>
      <c r="H402" s="3">
        <v>106160</v>
      </c>
      <c r="I402" s="3">
        <v>2719385</v>
      </c>
      <c r="J402" s="3">
        <v>2175508</v>
      </c>
      <c r="K402" s="3">
        <v>437717</v>
      </c>
      <c r="L402" t="s">
        <v>15</v>
      </c>
      <c r="M402">
        <v>3.9</v>
      </c>
    </row>
    <row r="403" spans="1:13" x14ac:dyDescent="0.25">
      <c r="A403">
        <v>402</v>
      </c>
      <c r="B403" s="1">
        <v>42523</v>
      </c>
      <c r="C403" s="1">
        <v>42756</v>
      </c>
      <c r="D403" t="s">
        <v>22</v>
      </c>
      <c r="E403" t="s">
        <v>24</v>
      </c>
      <c r="F403" s="2">
        <v>273</v>
      </c>
      <c r="G403" t="s">
        <v>12</v>
      </c>
      <c r="H403" s="3">
        <v>86860.52</v>
      </c>
      <c r="I403" s="3">
        <v>2224623</v>
      </c>
      <c r="J403" s="3">
        <v>1779698.4</v>
      </c>
      <c r="K403" s="3">
        <v>358064.08000000007</v>
      </c>
      <c r="L403" t="s">
        <v>18</v>
      </c>
      <c r="M403">
        <v>4.5999999999999996</v>
      </c>
    </row>
    <row r="404" spans="1:13" x14ac:dyDescent="0.25">
      <c r="A404">
        <v>403</v>
      </c>
      <c r="B404" s="1">
        <v>42523</v>
      </c>
      <c r="C404" s="1">
        <v>42851</v>
      </c>
      <c r="D404" t="s">
        <v>21</v>
      </c>
      <c r="E404" t="s">
        <v>28</v>
      </c>
      <c r="F404" s="2">
        <v>87</v>
      </c>
      <c r="G404" t="s">
        <v>12</v>
      </c>
      <c r="H404" s="3">
        <v>30152.6</v>
      </c>
      <c r="I404" s="3">
        <v>806525</v>
      </c>
      <c r="J404" s="3">
        <v>645220</v>
      </c>
      <c r="K404" s="3">
        <v>131152.4</v>
      </c>
      <c r="L404" t="s">
        <v>17</v>
      </c>
      <c r="M404">
        <v>4.2</v>
      </c>
    </row>
    <row r="405" spans="1:13" x14ac:dyDescent="0.25">
      <c r="A405">
        <v>404</v>
      </c>
      <c r="B405" s="1">
        <v>42524</v>
      </c>
      <c r="C405" s="1">
        <v>42816</v>
      </c>
      <c r="D405" t="s">
        <v>20</v>
      </c>
      <c r="E405" t="s">
        <v>27</v>
      </c>
      <c r="F405" s="2">
        <v>69</v>
      </c>
      <c r="G405" t="s">
        <v>11</v>
      </c>
      <c r="H405" s="3">
        <v>27341.040000000001</v>
      </c>
      <c r="I405" s="3">
        <v>739061</v>
      </c>
      <c r="J405" s="3">
        <v>591248.80000000005</v>
      </c>
      <c r="K405" s="3">
        <v>120471.15999999995</v>
      </c>
      <c r="L405" t="s">
        <v>14</v>
      </c>
      <c r="M405">
        <v>4.7</v>
      </c>
    </row>
    <row r="406" spans="1:13" x14ac:dyDescent="0.25">
      <c r="A406">
        <v>405</v>
      </c>
      <c r="B406" s="1">
        <v>42524</v>
      </c>
      <c r="C406" s="1">
        <v>42755</v>
      </c>
      <c r="D406" t="s">
        <v>20</v>
      </c>
      <c r="E406" t="s">
        <v>25</v>
      </c>
      <c r="F406" s="2">
        <v>217</v>
      </c>
      <c r="G406" t="s">
        <v>12</v>
      </c>
      <c r="H406" s="3">
        <v>71527.679999999993</v>
      </c>
      <c r="I406" s="3">
        <v>1841477</v>
      </c>
      <c r="J406" s="3">
        <v>1473181.6</v>
      </c>
      <c r="K406" s="3">
        <v>296767.71999999991</v>
      </c>
      <c r="L406" t="s">
        <v>17</v>
      </c>
      <c r="M406">
        <v>4.0999999999999996</v>
      </c>
    </row>
    <row r="407" spans="1:13" x14ac:dyDescent="0.25">
      <c r="A407">
        <v>406</v>
      </c>
      <c r="B407" s="1">
        <v>42524</v>
      </c>
      <c r="C407" s="1">
        <v>42789</v>
      </c>
      <c r="D407" t="s">
        <v>23</v>
      </c>
      <c r="E407" t="s">
        <v>28</v>
      </c>
      <c r="F407" s="2">
        <v>201</v>
      </c>
      <c r="G407" t="s">
        <v>12</v>
      </c>
      <c r="H407" s="3">
        <v>74193</v>
      </c>
      <c r="I407" s="3">
        <v>1920185</v>
      </c>
      <c r="J407" s="3">
        <v>1536148</v>
      </c>
      <c r="K407" s="3">
        <v>309844</v>
      </c>
      <c r="L407" t="s">
        <v>14</v>
      </c>
      <c r="M407">
        <v>4.8</v>
      </c>
    </row>
    <row r="408" spans="1:13" x14ac:dyDescent="0.25">
      <c r="A408">
        <v>407</v>
      </c>
      <c r="B408" s="1">
        <v>42524</v>
      </c>
      <c r="C408" s="1">
        <v>42720</v>
      </c>
      <c r="D408" t="s">
        <v>20</v>
      </c>
      <c r="E408" t="s">
        <v>27</v>
      </c>
      <c r="F408" s="2">
        <v>159</v>
      </c>
      <c r="G408" t="s">
        <v>12</v>
      </c>
      <c r="H408" s="3">
        <v>54154.2</v>
      </c>
      <c r="I408" s="3">
        <v>1419965</v>
      </c>
      <c r="J408" s="3">
        <v>1135972</v>
      </c>
      <c r="K408" s="3">
        <v>229838.8</v>
      </c>
      <c r="L408" t="s">
        <v>18</v>
      </c>
      <c r="M408">
        <v>5</v>
      </c>
    </row>
    <row r="409" spans="1:13" x14ac:dyDescent="0.25">
      <c r="A409">
        <v>408</v>
      </c>
      <c r="B409" s="1">
        <v>42525</v>
      </c>
      <c r="C409" s="1">
        <v>42757</v>
      </c>
      <c r="D409" t="s">
        <v>22</v>
      </c>
      <c r="E409" t="s">
        <v>13</v>
      </c>
      <c r="F409" s="2">
        <v>70</v>
      </c>
      <c r="G409" t="s">
        <v>11</v>
      </c>
      <c r="H409" s="3">
        <v>28376.52</v>
      </c>
      <c r="I409" s="3">
        <v>766273</v>
      </c>
      <c r="J409" s="3">
        <v>613018.4</v>
      </c>
      <c r="K409" s="3">
        <v>124878.07999999997</v>
      </c>
      <c r="L409" t="s">
        <v>15</v>
      </c>
      <c r="M409">
        <v>4.3</v>
      </c>
    </row>
    <row r="410" spans="1:13" x14ac:dyDescent="0.25">
      <c r="A410">
        <v>409</v>
      </c>
      <c r="B410" s="1">
        <v>42525</v>
      </c>
      <c r="C410" s="1">
        <v>42830</v>
      </c>
      <c r="D410" t="s">
        <v>21</v>
      </c>
      <c r="E410" t="s">
        <v>24</v>
      </c>
      <c r="F410" s="2">
        <v>288</v>
      </c>
      <c r="G410" t="s">
        <v>12</v>
      </c>
      <c r="H410" s="3">
        <v>68848.56</v>
      </c>
      <c r="I410" s="3">
        <v>1786574</v>
      </c>
      <c r="J410" s="3">
        <v>1429259.2</v>
      </c>
      <c r="K410" s="3">
        <v>288466.24000000005</v>
      </c>
      <c r="L410" t="s">
        <v>19</v>
      </c>
      <c r="M410">
        <v>3.8</v>
      </c>
    </row>
    <row r="411" spans="1:13" x14ac:dyDescent="0.25">
      <c r="A411">
        <v>410</v>
      </c>
      <c r="B411" s="1">
        <v>42525</v>
      </c>
      <c r="C411" s="1">
        <v>42673</v>
      </c>
      <c r="D411" t="s">
        <v>22</v>
      </c>
      <c r="E411" t="s">
        <v>25</v>
      </c>
      <c r="F411" s="2">
        <v>42</v>
      </c>
      <c r="G411" t="s">
        <v>11</v>
      </c>
      <c r="H411" s="3">
        <v>16620.080000000002</v>
      </c>
      <c r="I411" s="3">
        <v>471737</v>
      </c>
      <c r="J411" s="3">
        <v>377389.6</v>
      </c>
      <c r="K411" s="3">
        <v>77727.320000000022</v>
      </c>
      <c r="L411" t="s">
        <v>19</v>
      </c>
      <c r="M411">
        <v>4.2</v>
      </c>
    </row>
    <row r="412" spans="1:13" x14ac:dyDescent="0.25">
      <c r="A412">
        <v>411</v>
      </c>
      <c r="B412" s="1">
        <v>42526</v>
      </c>
      <c r="C412" s="1">
        <v>42701</v>
      </c>
      <c r="D412" t="s">
        <v>22</v>
      </c>
      <c r="E412" t="s">
        <v>29</v>
      </c>
      <c r="F412" s="2">
        <v>87</v>
      </c>
      <c r="G412" t="s">
        <v>11</v>
      </c>
      <c r="H412" s="3">
        <v>29010.799999999999</v>
      </c>
      <c r="I412" s="3">
        <v>779255</v>
      </c>
      <c r="J412" s="3">
        <v>623404</v>
      </c>
      <c r="K412" s="3">
        <v>126840.2</v>
      </c>
      <c r="L412" t="s">
        <v>19</v>
      </c>
      <c r="M412">
        <v>4.3</v>
      </c>
    </row>
    <row r="413" spans="1:13" x14ac:dyDescent="0.25">
      <c r="A413">
        <v>412</v>
      </c>
      <c r="B413" s="1">
        <v>42526</v>
      </c>
      <c r="C413" s="1">
        <v>42657</v>
      </c>
      <c r="D413" t="s">
        <v>21</v>
      </c>
      <c r="E413" t="s">
        <v>27</v>
      </c>
      <c r="F413" s="2">
        <v>141</v>
      </c>
      <c r="G413" t="s">
        <v>12</v>
      </c>
      <c r="H413" s="3">
        <v>49807.08</v>
      </c>
      <c r="I413" s="3">
        <v>1305437</v>
      </c>
      <c r="J413" s="3">
        <v>1044349.6</v>
      </c>
      <c r="K413" s="3">
        <v>211280.32</v>
      </c>
      <c r="L413" t="s">
        <v>18</v>
      </c>
      <c r="M413">
        <v>5</v>
      </c>
    </row>
    <row r="414" spans="1:13" x14ac:dyDescent="0.25">
      <c r="A414">
        <v>413</v>
      </c>
      <c r="B414" s="1">
        <v>42526</v>
      </c>
      <c r="C414" s="1">
        <v>42869</v>
      </c>
      <c r="D414" t="s">
        <v>21</v>
      </c>
      <c r="E414" t="s">
        <v>27</v>
      </c>
      <c r="F414" s="2">
        <v>184</v>
      </c>
      <c r="G414" t="s">
        <v>12</v>
      </c>
      <c r="H414" s="3">
        <v>60208.92</v>
      </c>
      <c r="I414" s="3">
        <v>1563983</v>
      </c>
      <c r="J414" s="3">
        <v>1251186.3999999999</v>
      </c>
      <c r="K414" s="3">
        <v>252587.68000000011</v>
      </c>
      <c r="L414" t="s">
        <v>19</v>
      </c>
      <c r="M414">
        <v>3.7</v>
      </c>
    </row>
    <row r="415" spans="1:13" x14ac:dyDescent="0.25">
      <c r="A415">
        <v>414</v>
      </c>
      <c r="B415" s="1">
        <v>42527</v>
      </c>
      <c r="C415" s="1">
        <v>42636</v>
      </c>
      <c r="D415" t="s">
        <v>22</v>
      </c>
      <c r="E415" t="s">
        <v>28</v>
      </c>
      <c r="F415" s="2">
        <v>49</v>
      </c>
      <c r="G415" t="s">
        <v>11</v>
      </c>
      <c r="H415" s="3">
        <v>16219.28</v>
      </c>
      <c r="I415" s="3">
        <v>461917</v>
      </c>
      <c r="J415" s="3">
        <v>369533.6</v>
      </c>
      <c r="K415" s="3">
        <v>76164.120000000024</v>
      </c>
      <c r="L415" t="s">
        <v>19</v>
      </c>
      <c r="M415">
        <v>4.5999999999999996</v>
      </c>
    </row>
    <row r="416" spans="1:13" x14ac:dyDescent="0.25">
      <c r="A416">
        <v>415</v>
      </c>
      <c r="B416" s="1">
        <v>42527</v>
      </c>
      <c r="C416" s="1">
        <v>42721</v>
      </c>
      <c r="D416" t="s">
        <v>20</v>
      </c>
      <c r="E416" t="s">
        <v>26</v>
      </c>
      <c r="F416" s="2">
        <v>42</v>
      </c>
      <c r="G416" t="s">
        <v>11</v>
      </c>
      <c r="H416" s="3">
        <v>14743.36</v>
      </c>
      <c r="I416" s="3">
        <v>423069</v>
      </c>
      <c r="J416" s="3">
        <v>338455.2</v>
      </c>
      <c r="K416" s="3">
        <v>69870.439999999988</v>
      </c>
      <c r="L416" t="s">
        <v>14</v>
      </c>
      <c r="M416">
        <v>5</v>
      </c>
    </row>
    <row r="417" spans="1:13" x14ac:dyDescent="0.25">
      <c r="A417">
        <v>416</v>
      </c>
      <c r="B417" s="1">
        <v>42528</v>
      </c>
      <c r="C417" s="1">
        <v>42624</v>
      </c>
      <c r="D417" t="s">
        <v>23</v>
      </c>
      <c r="E417" t="s">
        <v>29</v>
      </c>
      <c r="F417" s="2">
        <v>195</v>
      </c>
      <c r="G417" t="s">
        <v>12</v>
      </c>
      <c r="H417" s="3">
        <v>50818.28</v>
      </c>
      <c r="I417" s="3">
        <v>1324292</v>
      </c>
      <c r="J417" s="3">
        <v>1059433.6000000001</v>
      </c>
      <c r="K417" s="3">
        <v>214040.11999999991</v>
      </c>
      <c r="L417" t="s">
        <v>14</v>
      </c>
      <c r="M417">
        <v>4.0999999999999996</v>
      </c>
    </row>
    <row r="418" spans="1:13" x14ac:dyDescent="0.25">
      <c r="A418">
        <v>417</v>
      </c>
      <c r="B418" s="1">
        <v>42528</v>
      </c>
      <c r="C418" s="1">
        <v>42839</v>
      </c>
      <c r="D418" t="s">
        <v>23</v>
      </c>
      <c r="E418" t="s">
        <v>28</v>
      </c>
      <c r="F418" s="2">
        <v>247</v>
      </c>
      <c r="G418" t="s">
        <v>12</v>
      </c>
      <c r="H418" s="3">
        <v>54120.24</v>
      </c>
      <c r="I418" s="3">
        <v>1417991</v>
      </c>
      <c r="J418" s="3">
        <v>1134392.8</v>
      </c>
      <c r="K418" s="3">
        <v>229477.95999999996</v>
      </c>
      <c r="L418" t="s">
        <v>19</v>
      </c>
      <c r="M418">
        <v>4.9000000000000004</v>
      </c>
    </row>
    <row r="419" spans="1:13" x14ac:dyDescent="0.25">
      <c r="A419">
        <v>418</v>
      </c>
      <c r="B419" s="1">
        <v>42528</v>
      </c>
      <c r="C419" s="1">
        <v>42761</v>
      </c>
      <c r="D419" t="s">
        <v>22</v>
      </c>
      <c r="E419" t="s">
        <v>28</v>
      </c>
      <c r="F419" s="2">
        <v>281</v>
      </c>
      <c r="G419" t="s">
        <v>12</v>
      </c>
      <c r="H419" s="3">
        <v>96921.56</v>
      </c>
      <c r="I419" s="3">
        <v>2489474</v>
      </c>
      <c r="J419" s="3">
        <v>1991579.2</v>
      </c>
      <c r="K419" s="3">
        <v>400973.24000000005</v>
      </c>
      <c r="L419" t="s">
        <v>16</v>
      </c>
      <c r="M419">
        <v>3.8</v>
      </c>
    </row>
    <row r="420" spans="1:13" x14ac:dyDescent="0.25">
      <c r="A420">
        <v>419</v>
      </c>
      <c r="B420" s="1">
        <v>42528</v>
      </c>
      <c r="C420" s="1">
        <v>42710</v>
      </c>
      <c r="D420" t="s">
        <v>22</v>
      </c>
      <c r="E420" t="s">
        <v>27</v>
      </c>
      <c r="F420" s="2">
        <v>169</v>
      </c>
      <c r="G420" t="s">
        <v>12</v>
      </c>
      <c r="H420" s="3">
        <v>37028.080000000002</v>
      </c>
      <c r="I420" s="3">
        <v>988787</v>
      </c>
      <c r="J420" s="3">
        <v>791029.6</v>
      </c>
      <c r="K420" s="3">
        <v>160729.32</v>
      </c>
      <c r="L420" t="s">
        <v>19</v>
      </c>
      <c r="M420">
        <v>4.4000000000000004</v>
      </c>
    </row>
    <row r="421" spans="1:13" x14ac:dyDescent="0.25">
      <c r="A421">
        <v>420</v>
      </c>
      <c r="B421" s="1">
        <v>42529</v>
      </c>
      <c r="C421" s="1">
        <v>42884</v>
      </c>
      <c r="D421" t="s">
        <v>21</v>
      </c>
      <c r="E421" t="s">
        <v>26</v>
      </c>
      <c r="F421" s="2">
        <v>107</v>
      </c>
      <c r="G421" t="s">
        <v>12</v>
      </c>
      <c r="H421" s="3">
        <v>39996.400000000001</v>
      </c>
      <c r="I421" s="3">
        <v>1055645</v>
      </c>
      <c r="J421" s="3">
        <v>844516</v>
      </c>
      <c r="K421" s="3">
        <v>171132.6</v>
      </c>
      <c r="L421" t="s">
        <v>14</v>
      </c>
      <c r="M421">
        <v>4</v>
      </c>
    </row>
    <row r="422" spans="1:13" x14ac:dyDescent="0.25">
      <c r="A422">
        <v>421</v>
      </c>
      <c r="B422" s="1">
        <v>42530</v>
      </c>
      <c r="C422" s="1">
        <v>42860</v>
      </c>
      <c r="D422" t="s">
        <v>23</v>
      </c>
      <c r="E422" t="s">
        <v>13</v>
      </c>
      <c r="F422" s="2">
        <v>130</v>
      </c>
      <c r="G422" t="s">
        <v>12</v>
      </c>
      <c r="H422" s="3">
        <v>47647.4</v>
      </c>
      <c r="I422" s="3">
        <v>1246220</v>
      </c>
      <c r="J422" s="3">
        <v>996976</v>
      </c>
      <c r="K422" s="3">
        <v>201596.6</v>
      </c>
      <c r="L422" t="s">
        <v>15</v>
      </c>
      <c r="M422">
        <v>4.8</v>
      </c>
    </row>
    <row r="423" spans="1:13" x14ac:dyDescent="0.25">
      <c r="A423">
        <v>422</v>
      </c>
      <c r="B423" s="1">
        <v>42530</v>
      </c>
      <c r="C423" s="1">
        <v>42683</v>
      </c>
      <c r="D423" t="s">
        <v>23</v>
      </c>
      <c r="E423" t="s">
        <v>28</v>
      </c>
      <c r="F423" s="2">
        <v>119</v>
      </c>
      <c r="G423" t="s">
        <v>11</v>
      </c>
      <c r="H423" s="3">
        <v>24485.32</v>
      </c>
      <c r="I423" s="3">
        <v>673793</v>
      </c>
      <c r="J423" s="3">
        <v>539034.4</v>
      </c>
      <c r="K423" s="3">
        <v>110273.27999999997</v>
      </c>
      <c r="L423" t="s">
        <v>17</v>
      </c>
      <c r="M423">
        <v>3.6</v>
      </c>
    </row>
    <row r="424" spans="1:13" x14ac:dyDescent="0.25">
      <c r="A424">
        <v>423</v>
      </c>
      <c r="B424" s="1">
        <v>42530</v>
      </c>
      <c r="C424" s="1">
        <v>42720</v>
      </c>
      <c r="D424" t="s">
        <v>22</v>
      </c>
      <c r="E424" t="s">
        <v>28</v>
      </c>
      <c r="F424" s="2">
        <v>255</v>
      </c>
      <c r="G424" t="s">
        <v>12</v>
      </c>
      <c r="H424" s="3">
        <v>42870.2</v>
      </c>
      <c r="I424" s="3">
        <v>1126665</v>
      </c>
      <c r="J424" s="3">
        <v>901332</v>
      </c>
      <c r="K424" s="3">
        <v>182462.8</v>
      </c>
      <c r="L424" t="s">
        <v>19</v>
      </c>
      <c r="M424">
        <v>4.5999999999999996</v>
      </c>
    </row>
    <row r="425" spans="1:13" x14ac:dyDescent="0.25">
      <c r="A425">
        <v>424</v>
      </c>
      <c r="B425" s="1">
        <v>42530</v>
      </c>
      <c r="C425" s="1">
        <v>42680</v>
      </c>
      <c r="D425" t="s">
        <v>23</v>
      </c>
      <c r="E425" t="s">
        <v>27</v>
      </c>
      <c r="F425" s="2">
        <v>255</v>
      </c>
      <c r="G425" t="s">
        <v>12</v>
      </c>
      <c r="H425" s="3">
        <v>77078.2</v>
      </c>
      <c r="I425" s="3">
        <v>1982240</v>
      </c>
      <c r="J425" s="3">
        <v>1585792</v>
      </c>
      <c r="K425" s="3">
        <v>319369.8</v>
      </c>
      <c r="L425" t="s">
        <v>17</v>
      </c>
      <c r="M425">
        <v>4</v>
      </c>
    </row>
    <row r="426" spans="1:13" x14ac:dyDescent="0.25">
      <c r="A426">
        <v>425</v>
      </c>
      <c r="B426" s="1">
        <v>42530</v>
      </c>
      <c r="C426" s="1">
        <v>42715</v>
      </c>
      <c r="D426" t="s">
        <v>22</v>
      </c>
      <c r="E426" t="s">
        <v>28</v>
      </c>
      <c r="F426" s="2">
        <v>170</v>
      </c>
      <c r="G426" t="s">
        <v>12</v>
      </c>
      <c r="H426" s="3">
        <v>43668.12</v>
      </c>
      <c r="I426" s="3">
        <v>1154238</v>
      </c>
      <c r="J426" s="3">
        <v>923390.4</v>
      </c>
      <c r="K426" s="3">
        <v>187179.47999999998</v>
      </c>
      <c r="L426" t="s">
        <v>18</v>
      </c>
      <c r="M426">
        <v>3.6</v>
      </c>
    </row>
    <row r="427" spans="1:13" x14ac:dyDescent="0.25">
      <c r="A427">
        <v>426</v>
      </c>
      <c r="B427" s="1">
        <v>42530</v>
      </c>
      <c r="C427" s="1">
        <v>42655</v>
      </c>
      <c r="D427" t="s">
        <v>20</v>
      </c>
      <c r="E427" t="s">
        <v>26</v>
      </c>
      <c r="F427" s="2">
        <v>202</v>
      </c>
      <c r="G427" t="s">
        <v>12</v>
      </c>
      <c r="H427" s="3">
        <v>41039.360000000001</v>
      </c>
      <c r="I427" s="3">
        <v>1079144</v>
      </c>
      <c r="J427" s="3">
        <v>863315.2</v>
      </c>
      <c r="K427" s="3">
        <v>174789.44000000006</v>
      </c>
      <c r="L427" t="s">
        <v>17</v>
      </c>
      <c r="M427">
        <v>4.9000000000000004</v>
      </c>
    </row>
    <row r="428" spans="1:13" x14ac:dyDescent="0.25">
      <c r="A428">
        <v>427</v>
      </c>
      <c r="B428" s="1">
        <v>42531</v>
      </c>
      <c r="C428" s="1">
        <v>42859</v>
      </c>
      <c r="D428" t="s">
        <v>22</v>
      </c>
      <c r="E428" t="s">
        <v>27</v>
      </c>
      <c r="F428" s="2">
        <v>78</v>
      </c>
      <c r="G428" t="s">
        <v>11</v>
      </c>
      <c r="H428" s="3">
        <v>22528.48</v>
      </c>
      <c r="I428" s="3">
        <v>619847</v>
      </c>
      <c r="J428" s="3">
        <v>495877.6</v>
      </c>
      <c r="K428" s="3">
        <v>101440.92000000003</v>
      </c>
      <c r="L428" t="s">
        <v>14</v>
      </c>
      <c r="M428">
        <v>4.2</v>
      </c>
    </row>
    <row r="429" spans="1:13" x14ac:dyDescent="0.25">
      <c r="A429">
        <v>428</v>
      </c>
      <c r="B429" s="1">
        <v>42531</v>
      </c>
      <c r="C429" s="1">
        <v>42739</v>
      </c>
      <c r="D429" t="s">
        <v>23</v>
      </c>
      <c r="E429" t="s">
        <v>28</v>
      </c>
      <c r="F429" s="2">
        <v>45</v>
      </c>
      <c r="G429" t="s">
        <v>11</v>
      </c>
      <c r="H429" s="3">
        <v>12924.56</v>
      </c>
      <c r="I429" s="3">
        <v>374849</v>
      </c>
      <c r="J429" s="3">
        <v>299879.2</v>
      </c>
      <c r="K429" s="3">
        <v>62045.239999999991</v>
      </c>
      <c r="L429" t="s">
        <v>14</v>
      </c>
      <c r="M429">
        <v>3.8</v>
      </c>
    </row>
    <row r="430" spans="1:13" x14ac:dyDescent="0.25">
      <c r="A430">
        <v>429</v>
      </c>
      <c r="B430" s="1">
        <v>42532</v>
      </c>
      <c r="C430" s="1">
        <v>42676</v>
      </c>
      <c r="D430" t="s">
        <v>23</v>
      </c>
      <c r="E430" t="s">
        <v>24</v>
      </c>
      <c r="F430" s="2">
        <v>266</v>
      </c>
      <c r="G430" t="s">
        <v>12</v>
      </c>
      <c r="H430" s="3">
        <v>86396.72</v>
      </c>
      <c r="I430" s="3">
        <v>2226978</v>
      </c>
      <c r="J430" s="3">
        <v>1781582.4</v>
      </c>
      <c r="K430" s="3">
        <v>358998.88000000012</v>
      </c>
      <c r="L430" t="s">
        <v>17</v>
      </c>
      <c r="M430">
        <v>3.6</v>
      </c>
    </row>
    <row r="431" spans="1:13" x14ac:dyDescent="0.25">
      <c r="A431">
        <v>430</v>
      </c>
      <c r="B431" s="1">
        <v>42532</v>
      </c>
      <c r="C431" s="1">
        <v>42672</v>
      </c>
      <c r="D431" t="s">
        <v>21</v>
      </c>
      <c r="E431" t="s">
        <v>28</v>
      </c>
      <c r="F431" s="2">
        <v>243</v>
      </c>
      <c r="G431" t="s">
        <v>12</v>
      </c>
      <c r="H431" s="3">
        <v>54511</v>
      </c>
      <c r="I431" s="3">
        <v>1424660</v>
      </c>
      <c r="J431" s="3">
        <v>1139728</v>
      </c>
      <c r="K431" s="3">
        <v>230421</v>
      </c>
      <c r="L431" t="s">
        <v>19</v>
      </c>
      <c r="M431">
        <v>5</v>
      </c>
    </row>
    <row r="432" spans="1:13" x14ac:dyDescent="0.25">
      <c r="A432">
        <v>431</v>
      </c>
      <c r="B432" s="1">
        <v>42532</v>
      </c>
      <c r="C432" s="1">
        <v>42723</v>
      </c>
      <c r="D432" t="s">
        <v>21</v>
      </c>
      <c r="E432" t="s">
        <v>29</v>
      </c>
      <c r="F432" s="2">
        <v>150</v>
      </c>
      <c r="G432" t="s">
        <v>12</v>
      </c>
      <c r="H432" s="3">
        <v>43567.64</v>
      </c>
      <c r="I432" s="3">
        <v>1152926</v>
      </c>
      <c r="J432" s="3">
        <v>922340.8</v>
      </c>
      <c r="K432" s="3">
        <v>187017.55999999994</v>
      </c>
      <c r="L432" t="s">
        <v>17</v>
      </c>
      <c r="M432">
        <v>3.7</v>
      </c>
    </row>
    <row r="433" spans="1:13" x14ac:dyDescent="0.25">
      <c r="A433">
        <v>432</v>
      </c>
      <c r="B433" s="1">
        <v>42533</v>
      </c>
      <c r="C433" s="1">
        <v>42736</v>
      </c>
      <c r="D433" t="s">
        <v>21</v>
      </c>
      <c r="E433" t="s">
        <v>27</v>
      </c>
      <c r="F433" s="2">
        <v>201</v>
      </c>
      <c r="G433" t="s">
        <v>12</v>
      </c>
      <c r="H433" s="3">
        <v>78368</v>
      </c>
      <c r="I433" s="3">
        <v>2016785</v>
      </c>
      <c r="J433" s="3">
        <v>1613428</v>
      </c>
      <c r="K433" s="3">
        <v>324989</v>
      </c>
      <c r="L433" t="s">
        <v>16</v>
      </c>
      <c r="M433">
        <v>5</v>
      </c>
    </row>
    <row r="434" spans="1:13" x14ac:dyDescent="0.25">
      <c r="A434">
        <v>433</v>
      </c>
      <c r="B434" s="1">
        <v>42534</v>
      </c>
      <c r="C434" s="1">
        <v>42890</v>
      </c>
      <c r="D434" t="s">
        <v>22</v>
      </c>
      <c r="E434" t="s">
        <v>26</v>
      </c>
      <c r="F434" s="2">
        <v>141</v>
      </c>
      <c r="G434" t="s">
        <v>12</v>
      </c>
      <c r="H434" s="3">
        <v>33081.199999999997</v>
      </c>
      <c r="I434" s="3">
        <v>888965</v>
      </c>
      <c r="J434" s="3">
        <v>711172</v>
      </c>
      <c r="K434" s="3">
        <v>144711.79999999999</v>
      </c>
      <c r="L434" t="s">
        <v>14</v>
      </c>
      <c r="M434">
        <v>4.7</v>
      </c>
    </row>
    <row r="435" spans="1:13" x14ac:dyDescent="0.25">
      <c r="A435">
        <v>434</v>
      </c>
      <c r="B435" s="1">
        <v>42534</v>
      </c>
      <c r="C435" s="1">
        <v>42719</v>
      </c>
      <c r="D435" t="s">
        <v>21</v>
      </c>
      <c r="E435" t="s">
        <v>24</v>
      </c>
      <c r="F435" s="2">
        <v>242</v>
      </c>
      <c r="G435" t="s">
        <v>12</v>
      </c>
      <c r="H435" s="3">
        <v>74860.12</v>
      </c>
      <c r="I435" s="3">
        <v>1935113</v>
      </c>
      <c r="J435" s="3">
        <v>1548090.4</v>
      </c>
      <c r="K435" s="3">
        <v>312162.4800000001</v>
      </c>
      <c r="L435" t="s">
        <v>16</v>
      </c>
      <c r="M435">
        <v>4.2</v>
      </c>
    </row>
    <row r="436" spans="1:13" x14ac:dyDescent="0.25">
      <c r="A436">
        <v>435</v>
      </c>
      <c r="B436" s="1">
        <v>42534</v>
      </c>
      <c r="C436" s="1">
        <v>42769</v>
      </c>
      <c r="D436" t="s">
        <v>21</v>
      </c>
      <c r="E436" t="s">
        <v>29</v>
      </c>
      <c r="F436" s="2">
        <v>230</v>
      </c>
      <c r="G436" t="s">
        <v>12</v>
      </c>
      <c r="H436" s="3">
        <v>60693.120000000003</v>
      </c>
      <c r="I436" s="3">
        <v>1578013</v>
      </c>
      <c r="J436" s="3">
        <v>1262410.3999999999</v>
      </c>
      <c r="K436" s="3">
        <v>254909.4800000001</v>
      </c>
      <c r="L436" t="s">
        <v>17</v>
      </c>
      <c r="M436">
        <v>3.7</v>
      </c>
    </row>
    <row r="437" spans="1:13" x14ac:dyDescent="0.25">
      <c r="A437">
        <v>436</v>
      </c>
      <c r="B437" s="1">
        <v>42534</v>
      </c>
      <c r="C437" s="1">
        <v>42694</v>
      </c>
      <c r="D437" t="s">
        <v>23</v>
      </c>
      <c r="E437" t="s">
        <v>26</v>
      </c>
      <c r="F437" s="2">
        <v>100</v>
      </c>
      <c r="G437" t="s">
        <v>12</v>
      </c>
      <c r="H437" s="3">
        <v>30550.799999999999</v>
      </c>
      <c r="I437" s="3">
        <v>819680</v>
      </c>
      <c r="J437" s="3">
        <v>655744</v>
      </c>
      <c r="K437" s="3">
        <v>133385.20000000001</v>
      </c>
      <c r="L437" t="s">
        <v>14</v>
      </c>
      <c r="M437">
        <v>4.7</v>
      </c>
    </row>
    <row r="438" spans="1:13" x14ac:dyDescent="0.25">
      <c r="A438">
        <v>437</v>
      </c>
      <c r="B438" s="1">
        <v>42535</v>
      </c>
      <c r="C438" s="1">
        <v>42858</v>
      </c>
      <c r="D438" t="s">
        <v>21</v>
      </c>
      <c r="E438" t="s">
        <v>27</v>
      </c>
      <c r="F438" s="2">
        <v>104</v>
      </c>
      <c r="G438" t="s">
        <v>12</v>
      </c>
      <c r="H438" s="3">
        <v>35173.839999999997</v>
      </c>
      <c r="I438" s="3">
        <v>946306</v>
      </c>
      <c r="J438" s="3">
        <v>757044.8</v>
      </c>
      <c r="K438" s="3">
        <v>154087.35999999996</v>
      </c>
      <c r="L438" t="s">
        <v>19</v>
      </c>
      <c r="M438">
        <v>3.7</v>
      </c>
    </row>
    <row r="439" spans="1:13" x14ac:dyDescent="0.25">
      <c r="A439">
        <v>438</v>
      </c>
      <c r="B439" s="1">
        <v>42535</v>
      </c>
      <c r="C439" s="1">
        <v>42730</v>
      </c>
      <c r="D439" t="s">
        <v>20</v>
      </c>
      <c r="E439" t="s">
        <v>24</v>
      </c>
      <c r="F439" s="2">
        <v>151</v>
      </c>
      <c r="G439" t="s">
        <v>12</v>
      </c>
      <c r="H439" s="3">
        <v>61084.76</v>
      </c>
      <c r="I439" s="3">
        <v>1579829</v>
      </c>
      <c r="J439" s="3">
        <v>1263863.2</v>
      </c>
      <c r="K439" s="3">
        <v>254881.04000000004</v>
      </c>
      <c r="L439" t="s">
        <v>19</v>
      </c>
      <c r="M439">
        <v>4.9000000000000004</v>
      </c>
    </row>
    <row r="440" spans="1:13" x14ac:dyDescent="0.25">
      <c r="A440">
        <v>439</v>
      </c>
      <c r="B440" s="1">
        <v>42536</v>
      </c>
      <c r="C440" s="1">
        <v>42666</v>
      </c>
      <c r="D440" t="s">
        <v>21</v>
      </c>
      <c r="E440" t="s">
        <v>26</v>
      </c>
      <c r="F440" s="2">
        <v>293</v>
      </c>
      <c r="G440" t="s">
        <v>12</v>
      </c>
      <c r="H440" s="3">
        <v>100085.32</v>
      </c>
      <c r="I440" s="3">
        <v>2560843</v>
      </c>
      <c r="J440" s="3">
        <v>2048674.4</v>
      </c>
      <c r="K440" s="3">
        <v>412083.28000000009</v>
      </c>
      <c r="L440" t="s">
        <v>19</v>
      </c>
      <c r="M440">
        <v>5</v>
      </c>
    </row>
    <row r="441" spans="1:13" x14ac:dyDescent="0.25">
      <c r="A441">
        <v>440</v>
      </c>
      <c r="B441" s="1">
        <v>42536</v>
      </c>
      <c r="C441" s="1">
        <v>42632</v>
      </c>
      <c r="D441" t="s">
        <v>21</v>
      </c>
      <c r="E441" t="s">
        <v>13</v>
      </c>
      <c r="F441" s="2">
        <v>110</v>
      </c>
      <c r="G441" t="s">
        <v>12</v>
      </c>
      <c r="H441" s="3">
        <v>42219.6</v>
      </c>
      <c r="I441" s="3">
        <v>1114150</v>
      </c>
      <c r="J441" s="3">
        <v>891320</v>
      </c>
      <c r="K441" s="3">
        <v>180610.4</v>
      </c>
      <c r="L441" t="s">
        <v>17</v>
      </c>
      <c r="M441">
        <v>4.8</v>
      </c>
    </row>
    <row r="442" spans="1:13" x14ac:dyDescent="0.25">
      <c r="A442">
        <v>441</v>
      </c>
      <c r="B442" s="1">
        <v>42537</v>
      </c>
      <c r="C442" s="1">
        <v>42683</v>
      </c>
      <c r="D442" t="s">
        <v>23</v>
      </c>
      <c r="E442" t="s">
        <v>27</v>
      </c>
      <c r="F442" s="2">
        <v>95</v>
      </c>
      <c r="G442" t="s">
        <v>12</v>
      </c>
      <c r="H442" s="3">
        <v>30763.08</v>
      </c>
      <c r="I442" s="3">
        <v>827087</v>
      </c>
      <c r="J442" s="3">
        <v>661669.6</v>
      </c>
      <c r="K442" s="3">
        <v>134654.32</v>
      </c>
      <c r="L442" t="s">
        <v>14</v>
      </c>
      <c r="M442">
        <v>4.7</v>
      </c>
    </row>
    <row r="443" spans="1:13" x14ac:dyDescent="0.25">
      <c r="A443">
        <v>442</v>
      </c>
      <c r="B443" s="1">
        <v>42537</v>
      </c>
      <c r="C443" s="1">
        <v>42792</v>
      </c>
      <c r="D443" t="s">
        <v>22</v>
      </c>
      <c r="E443" t="s">
        <v>29</v>
      </c>
      <c r="F443" s="2">
        <v>205</v>
      </c>
      <c r="G443" t="s">
        <v>12</v>
      </c>
      <c r="H443" s="3">
        <v>34190.519999999997</v>
      </c>
      <c r="I443" s="3">
        <v>908548</v>
      </c>
      <c r="J443" s="3">
        <v>726838.4</v>
      </c>
      <c r="K443" s="3">
        <v>147519.07999999999</v>
      </c>
      <c r="L443" t="s">
        <v>15</v>
      </c>
      <c r="M443">
        <v>4.3</v>
      </c>
    </row>
    <row r="444" spans="1:13" x14ac:dyDescent="0.25">
      <c r="A444">
        <v>443</v>
      </c>
      <c r="B444" s="1">
        <v>42538</v>
      </c>
      <c r="C444" s="1">
        <v>42657</v>
      </c>
      <c r="D444" t="s">
        <v>23</v>
      </c>
      <c r="E444" t="s">
        <v>24</v>
      </c>
      <c r="F444" s="2">
        <v>240</v>
      </c>
      <c r="G444" t="s">
        <v>12</v>
      </c>
      <c r="H444" s="3">
        <v>39439.800000000003</v>
      </c>
      <c r="I444" s="3">
        <v>1037555</v>
      </c>
      <c r="J444" s="3">
        <v>830044</v>
      </c>
      <c r="K444" s="3">
        <v>168071.2</v>
      </c>
      <c r="L444" t="s">
        <v>17</v>
      </c>
      <c r="M444">
        <v>4.0999999999999996</v>
      </c>
    </row>
    <row r="445" spans="1:13" x14ac:dyDescent="0.25">
      <c r="A445">
        <v>444</v>
      </c>
      <c r="B445" s="1">
        <v>42538</v>
      </c>
      <c r="C445" s="1">
        <v>42895</v>
      </c>
      <c r="D445" t="s">
        <v>20</v>
      </c>
      <c r="E445" t="s">
        <v>27</v>
      </c>
      <c r="F445" s="2">
        <v>95</v>
      </c>
      <c r="G445" t="s">
        <v>12</v>
      </c>
      <c r="H445" s="3">
        <v>39272.480000000003</v>
      </c>
      <c r="I445" s="3">
        <v>1041797</v>
      </c>
      <c r="J445" s="3">
        <v>833437.6</v>
      </c>
      <c r="K445" s="3">
        <v>169086.92</v>
      </c>
      <c r="L445" t="s">
        <v>19</v>
      </c>
      <c r="M445">
        <v>4.8</v>
      </c>
    </row>
    <row r="446" spans="1:13" x14ac:dyDescent="0.25">
      <c r="A446">
        <v>445</v>
      </c>
      <c r="B446" s="1">
        <v>42538</v>
      </c>
      <c r="C446" s="1">
        <v>42699</v>
      </c>
      <c r="D446" t="s">
        <v>22</v>
      </c>
      <c r="E446" t="s">
        <v>28</v>
      </c>
      <c r="F446" s="2">
        <v>38</v>
      </c>
      <c r="G446" t="s">
        <v>11</v>
      </c>
      <c r="H446" s="3">
        <v>6681.24</v>
      </c>
      <c r="I446" s="3">
        <v>225641</v>
      </c>
      <c r="J446" s="3">
        <v>180512.8</v>
      </c>
      <c r="K446" s="3">
        <v>38446.960000000014</v>
      </c>
      <c r="L446" t="s">
        <v>17</v>
      </c>
      <c r="M446">
        <v>4.5</v>
      </c>
    </row>
    <row r="447" spans="1:13" x14ac:dyDescent="0.25">
      <c r="A447">
        <v>446</v>
      </c>
      <c r="B447" s="1">
        <v>42538</v>
      </c>
      <c r="C447" s="1">
        <v>42812</v>
      </c>
      <c r="D447" t="s">
        <v>21</v>
      </c>
      <c r="E447" t="s">
        <v>13</v>
      </c>
      <c r="F447" s="2">
        <v>53</v>
      </c>
      <c r="G447" t="s">
        <v>11</v>
      </c>
      <c r="H447" s="3">
        <v>16052.12</v>
      </c>
      <c r="I447" s="3">
        <v>455663</v>
      </c>
      <c r="J447" s="3">
        <v>364530.4</v>
      </c>
      <c r="K447" s="3">
        <v>75080.479999999981</v>
      </c>
      <c r="L447" t="s">
        <v>17</v>
      </c>
      <c r="M447">
        <v>4.2</v>
      </c>
    </row>
    <row r="448" spans="1:13" x14ac:dyDescent="0.25">
      <c r="A448">
        <v>447</v>
      </c>
      <c r="B448" s="1">
        <v>42538</v>
      </c>
      <c r="C448" s="1">
        <v>42759</v>
      </c>
      <c r="D448" t="s">
        <v>20</v>
      </c>
      <c r="E448" t="s">
        <v>13</v>
      </c>
      <c r="F448" s="2">
        <v>256</v>
      </c>
      <c r="G448" t="s">
        <v>12</v>
      </c>
      <c r="H448" s="3">
        <v>70313.320000000007</v>
      </c>
      <c r="I448" s="3">
        <v>1815943</v>
      </c>
      <c r="J448" s="3">
        <v>1452754.4</v>
      </c>
      <c r="K448" s="3">
        <v>292875.28000000009</v>
      </c>
      <c r="L448" t="s">
        <v>15</v>
      </c>
      <c r="M448">
        <v>4.4000000000000004</v>
      </c>
    </row>
    <row r="449" spans="1:13" x14ac:dyDescent="0.25">
      <c r="A449">
        <v>448</v>
      </c>
      <c r="B449" s="1">
        <v>42538</v>
      </c>
      <c r="C449" s="1">
        <v>42645</v>
      </c>
      <c r="D449" t="s">
        <v>23</v>
      </c>
      <c r="E449" t="s">
        <v>13</v>
      </c>
      <c r="F449" s="2">
        <v>228</v>
      </c>
      <c r="G449" t="s">
        <v>12</v>
      </c>
      <c r="H449" s="3">
        <v>45168.800000000003</v>
      </c>
      <c r="I449" s="3">
        <v>1195955</v>
      </c>
      <c r="J449" s="3">
        <v>956764</v>
      </c>
      <c r="K449" s="3">
        <v>194022.2</v>
      </c>
      <c r="L449" t="s">
        <v>15</v>
      </c>
      <c r="M449">
        <v>4.0999999999999996</v>
      </c>
    </row>
    <row r="450" spans="1:13" x14ac:dyDescent="0.25">
      <c r="A450">
        <v>449</v>
      </c>
      <c r="B450" s="1">
        <v>42538</v>
      </c>
      <c r="C450" s="1">
        <v>42833</v>
      </c>
      <c r="D450" t="s">
        <v>22</v>
      </c>
      <c r="E450" t="s">
        <v>25</v>
      </c>
      <c r="F450" s="2">
        <v>112</v>
      </c>
      <c r="G450" t="s">
        <v>12</v>
      </c>
      <c r="H450" s="3">
        <v>30377.919999999998</v>
      </c>
      <c r="I450" s="3">
        <v>825433</v>
      </c>
      <c r="J450" s="3">
        <v>660346.4</v>
      </c>
      <c r="K450" s="3">
        <v>134708.68</v>
      </c>
      <c r="L450" t="s">
        <v>15</v>
      </c>
      <c r="M450">
        <v>5</v>
      </c>
    </row>
    <row r="451" spans="1:13" x14ac:dyDescent="0.25">
      <c r="A451">
        <v>450</v>
      </c>
      <c r="B451" s="1">
        <v>42539</v>
      </c>
      <c r="C451" s="1">
        <v>42856</v>
      </c>
      <c r="D451" t="s">
        <v>23</v>
      </c>
      <c r="E451" t="s">
        <v>27</v>
      </c>
      <c r="F451" s="2">
        <v>242</v>
      </c>
      <c r="G451" t="s">
        <v>12</v>
      </c>
      <c r="H451" s="3">
        <v>65796.759999999995</v>
      </c>
      <c r="I451" s="3">
        <v>1711229</v>
      </c>
      <c r="J451" s="3">
        <v>1368983.2</v>
      </c>
      <c r="K451" s="3">
        <v>276449.04000000004</v>
      </c>
      <c r="L451" t="s">
        <v>19</v>
      </c>
      <c r="M451">
        <v>4.3</v>
      </c>
    </row>
    <row r="452" spans="1:13" x14ac:dyDescent="0.25">
      <c r="A452">
        <v>451</v>
      </c>
      <c r="B452" s="1">
        <v>42539</v>
      </c>
      <c r="C452" s="1">
        <v>42850</v>
      </c>
      <c r="D452" t="s">
        <v>21</v>
      </c>
      <c r="E452" t="s">
        <v>27</v>
      </c>
      <c r="F452" s="2">
        <v>47</v>
      </c>
      <c r="G452" t="s">
        <v>11</v>
      </c>
      <c r="H452" s="3">
        <v>15636.92</v>
      </c>
      <c r="I452" s="3">
        <v>443483</v>
      </c>
      <c r="J452" s="3">
        <v>354786.4</v>
      </c>
      <c r="K452" s="3">
        <v>73059.679999999978</v>
      </c>
      <c r="L452" t="s">
        <v>16</v>
      </c>
      <c r="M452">
        <v>3.8</v>
      </c>
    </row>
    <row r="453" spans="1:13" x14ac:dyDescent="0.25">
      <c r="A453">
        <v>452</v>
      </c>
      <c r="B453" s="1">
        <v>42540</v>
      </c>
      <c r="C453" s="1">
        <v>42687</v>
      </c>
      <c r="D453" t="s">
        <v>20</v>
      </c>
      <c r="E453" t="s">
        <v>26</v>
      </c>
      <c r="F453" s="2">
        <v>209</v>
      </c>
      <c r="G453" t="s">
        <v>12</v>
      </c>
      <c r="H453" s="3">
        <v>83110.8</v>
      </c>
      <c r="I453" s="3">
        <v>2134455</v>
      </c>
      <c r="J453" s="3">
        <v>1707564</v>
      </c>
      <c r="K453" s="3">
        <v>343780.2</v>
      </c>
      <c r="L453" t="s">
        <v>15</v>
      </c>
      <c r="M453">
        <v>4.7</v>
      </c>
    </row>
    <row r="454" spans="1:13" x14ac:dyDescent="0.25">
      <c r="A454">
        <v>453</v>
      </c>
      <c r="B454" s="1">
        <v>42540</v>
      </c>
      <c r="C454" s="1">
        <v>42833</v>
      </c>
      <c r="D454" t="s">
        <v>21</v>
      </c>
      <c r="E454" t="s">
        <v>29</v>
      </c>
      <c r="F454" s="2">
        <v>179</v>
      </c>
      <c r="G454" t="s">
        <v>12</v>
      </c>
      <c r="H454" s="3">
        <v>63454</v>
      </c>
      <c r="I454" s="3">
        <v>1653385</v>
      </c>
      <c r="J454" s="3">
        <v>1322708</v>
      </c>
      <c r="K454" s="3">
        <v>267223</v>
      </c>
      <c r="L454" t="s">
        <v>17</v>
      </c>
      <c r="M454">
        <v>3.7</v>
      </c>
    </row>
    <row r="455" spans="1:13" x14ac:dyDescent="0.25">
      <c r="A455">
        <v>454</v>
      </c>
      <c r="B455" s="1">
        <v>42540</v>
      </c>
      <c r="C455" s="1">
        <v>42649</v>
      </c>
      <c r="D455" t="s">
        <v>22</v>
      </c>
      <c r="E455" t="s">
        <v>28</v>
      </c>
      <c r="F455" s="2">
        <v>69</v>
      </c>
      <c r="G455" t="s">
        <v>11</v>
      </c>
      <c r="H455" s="3">
        <v>17129.72</v>
      </c>
      <c r="I455" s="3">
        <v>495053</v>
      </c>
      <c r="J455" s="3">
        <v>396042.4</v>
      </c>
      <c r="K455" s="3">
        <v>81880.879999999976</v>
      </c>
      <c r="L455" t="s">
        <v>19</v>
      </c>
      <c r="M455">
        <v>4.9000000000000004</v>
      </c>
    </row>
    <row r="456" spans="1:13" x14ac:dyDescent="0.25">
      <c r="A456">
        <v>455</v>
      </c>
      <c r="B456" s="1">
        <v>42541</v>
      </c>
      <c r="C456" s="1">
        <v>42737</v>
      </c>
      <c r="D456" t="s">
        <v>22</v>
      </c>
      <c r="E456" t="s">
        <v>28</v>
      </c>
      <c r="F456" s="2">
        <v>237</v>
      </c>
      <c r="G456" t="s">
        <v>12</v>
      </c>
      <c r="H456" s="3">
        <v>96587.48</v>
      </c>
      <c r="I456" s="3">
        <v>2475997</v>
      </c>
      <c r="J456" s="3">
        <v>1980797.6</v>
      </c>
      <c r="K456" s="3">
        <v>398611.91999999993</v>
      </c>
      <c r="L456" t="s">
        <v>14</v>
      </c>
      <c r="M456">
        <v>3.6</v>
      </c>
    </row>
    <row r="457" spans="1:13" x14ac:dyDescent="0.25">
      <c r="A457">
        <v>456</v>
      </c>
      <c r="B457" s="1">
        <v>42541</v>
      </c>
      <c r="C457" s="1">
        <v>42735</v>
      </c>
      <c r="D457" t="s">
        <v>23</v>
      </c>
      <c r="E457" t="s">
        <v>25</v>
      </c>
      <c r="F457" s="2">
        <v>192</v>
      </c>
      <c r="G457" t="s">
        <v>12</v>
      </c>
      <c r="H457" s="3">
        <v>70989.8</v>
      </c>
      <c r="I457" s="3">
        <v>1833605</v>
      </c>
      <c r="J457" s="3">
        <v>1466884</v>
      </c>
      <c r="K457" s="3">
        <v>295731.20000000001</v>
      </c>
      <c r="L457" t="s">
        <v>18</v>
      </c>
      <c r="M457">
        <v>3.9</v>
      </c>
    </row>
    <row r="458" spans="1:13" x14ac:dyDescent="0.25">
      <c r="A458">
        <v>457</v>
      </c>
      <c r="B458" s="1">
        <v>42541</v>
      </c>
      <c r="C458" s="1">
        <v>42891</v>
      </c>
      <c r="D458" t="s">
        <v>20</v>
      </c>
      <c r="E458" t="s">
        <v>26</v>
      </c>
      <c r="F458" s="2">
        <v>100</v>
      </c>
      <c r="G458" t="s">
        <v>11</v>
      </c>
      <c r="H458" s="3">
        <v>19858.2</v>
      </c>
      <c r="I458" s="3">
        <v>548165</v>
      </c>
      <c r="J458" s="3">
        <v>438532</v>
      </c>
      <c r="K458" s="3">
        <v>89774.8</v>
      </c>
      <c r="L458" t="s">
        <v>19</v>
      </c>
      <c r="M458">
        <v>3.7</v>
      </c>
    </row>
    <row r="459" spans="1:13" x14ac:dyDescent="0.25">
      <c r="A459">
        <v>458</v>
      </c>
      <c r="B459" s="1">
        <v>42541</v>
      </c>
      <c r="C459" s="1">
        <v>42646</v>
      </c>
      <c r="D459" t="s">
        <v>21</v>
      </c>
      <c r="E459" t="s">
        <v>27</v>
      </c>
      <c r="F459" s="2">
        <v>65</v>
      </c>
      <c r="G459" t="s">
        <v>11</v>
      </c>
      <c r="H459" s="3">
        <v>22366.2</v>
      </c>
      <c r="I459" s="3">
        <v>624365</v>
      </c>
      <c r="J459" s="3">
        <v>499492</v>
      </c>
      <c r="K459" s="3">
        <v>102506.8</v>
      </c>
      <c r="L459" t="s">
        <v>17</v>
      </c>
      <c r="M459">
        <v>3.8</v>
      </c>
    </row>
    <row r="460" spans="1:13" x14ac:dyDescent="0.25">
      <c r="A460">
        <v>459</v>
      </c>
      <c r="B460" s="1">
        <v>42542</v>
      </c>
      <c r="C460" s="1">
        <v>42677</v>
      </c>
      <c r="D460" t="s">
        <v>21</v>
      </c>
      <c r="E460" t="s">
        <v>28</v>
      </c>
      <c r="F460" s="2">
        <v>101</v>
      </c>
      <c r="G460" t="s">
        <v>11</v>
      </c>
      <c r="H460" s="3">
        <v>22842.04</v>
      </c>
      <c r="I460" s="3">
        <v>626911</v>
      </c>
      <c r="J460" s="3">
        <v>501528.8</v>
      </c>
      <c r="K460" s="3">
        <v>102540.16</v>
      </c>
      <c r="L460" t="s">
        <v>18</v>
      </c>
      <c r="M460">
        <v>3.6</v>
      </c>
    </row>
    <row r="461" spans="1:13" x14ac:dyDescent="0.25">
      <c r="A461">
        <v>460</v>
      </c>
      <c r="B461" s="1">
        <v>42543</v>
      </c>
      <c r="C461" s="1">
        <v>42806</v>
      </c>
      <c r="D461" t="s">
        <v>21</v>
      </c>
      <c r="E461" t="s">
        <v>29</v>
      </c>
      <c r="F461" s="2">
        <v>73</v>
      </c>
      <c r="G461" t="s">
        <v>11</v>
      </c>
      <c r="H461" s="3">
        <v>12027.88</v>
      </c>
      <c r="I461" s="3">
        <v>358807</v>
      </c>
      <c r="J461" s="3">
        <v>287045.59999999998</v>
      </c>
      <c r="K461" s="3">
        <v>59733.520000000026</v>
      </c>
      <c r="L461" t="s">
        <v>16</v>
      </c>
      <c r="M461">
        <v>4.5</v>
      </c>
    </row>
    <row r="462" spans="1:13" x14ac:dyDescent="0.25">
      <c r="A462">
        <v>461</v>
      </c>
      <c r="B462" s="1">
        <v>42543</v>
      </c>
      <c r="C462" s="1">
        <v>42639</v>
      </c>
      <c r="D462" t="s">
        <v>22</v>
      </c>
      <c r="E462" t="s">
        <v>25</v>
      </c>
      <c r="F462" s="2">
        <v>87</v>
      </c>
      <c r="G462" t="s">
        <v>11</v>
      </c>
      <c r="H462" s="3">
        <v>15385.6</v>
      </c>
      <c r="I462" s="3">
        <v>449225</v>
      </c>
      <c r="J462" s="3">
        <v>359380</v>
      </c>
      <c r="K462" s="3">
        <v>74459.399999999994</v>
      </c>
      <c r="L462" t="s">
        <v>18</v>
      </c>
      <c r="M462">
        <v>4.9000000000000004</v>
      </c>
    </row>
    <row r="463" spans="1:13" x14ac:dyDescent="0.25">
      <c r="A463">
        <v>462</v>
      </c>
      <c r="B463" s="1">
        <v>42543</v>
      </c>
      <c r="C463" s="1">
        <v>42853</v>
      </c>
      <c r="D463" t="s">
        <v>21</v>
      </c>
      <c r="E463" t="s">
        <v>27</v>
      </c>
      <c r="F463" s="2">
        <v>198</v>
      </c>
      <c r="G463" t="s">
        <v>12</v>
      </c>
      <c r="H463" s="3">
        <v>36164.28</v>
      </c>
      <c r="I463" s="3">
        <v>961217</v>
      </c>
      <c r="J463" s="3">
        <v>768973.6</v>
      </c>
      <c r="K463" s="3">
        <v>156079.12000000002</v>
      </c>
      <c r="L463" t="s">
        <v>18</v>
      </c>
      <c r="M463">
        <v>4.4000000000000004</v>
      </c>
    </row>
    <row r="464" spans="1:13" x14ac:dyDescent="0.25">
      <c r="A464">
        <v>463</v>
      </c>
      <c r="B464" s="1">
        <v>42544</v>
      </c>
      <c r="C464" s="1">
        <v>42887</v>
      </c>
      <c r="D464" t="s">
        <v>21</v>
      </c>
      <c r="E464" t="s">
        <v>28</v>
      </c>
      <c r="F464" s="2">
        <v>211</v>
      </c>
      <c r="G464" t="s">
        <v>12</v>
      </c>
      <c r="H464" s="3">
        <v>77264.2</v>
      </c>
      <c r="I464" s="3">
        <v>1998865</v>
      </c>
      <c r="J464" s="3">
        <v>1599092</v>
      </c>
      <c r="K464" s="3">
        <v>322508.79999999999</v>
      </c>
      <c r="L464" t="s">
        <v>15</v>
      </c>
      <c r="M464">
        <v>4.9000000000000004</v>
      </c>
    </row>
    <row r="465" spans="1:13" x14ac:dyDescent="0.25">
      <c r="A465">
        <v>464</v>
      </c>
      <c r="B465" s="1">
        <v>42545</v>
      </c>
      <c r="C465" s="1">
        <v>42901</v>
      </c>
      <c r="D465" t="s">
        <v>20</v>
      </c>
      <c r="E465" t="s">
        <v>24</v>
      </c>
      <c r="F465" s="2">
        <v>137</v>
      </c>
      <c r="G465" t="s">
        <v>12</v>
      </c>
      <c r="H465" s="3">
        <v>32853.440000000002</v>
      </c>
      <c r="I465" s="3">
        <v>873321</v>
      </c>
      <c r="J465" s="3">
        <v>698656.8</v>
      </c>
      <c r="K465" s="3">
        <v>141810.75999999995</v>
      </c>
      <c r="L465" t="s">
        <v>19</v>
      </c>
      <c r="M465">
        <v>4.0999999999999996</v>
      </c>
    </row>
    <row r="466" spans="1:13" x14ac:dyDescent="0.25">
      <c r="A466">
        <v>465</v>
      </c>
      <c r="B466" s="1">
        <v>42545</v>
      </c>
      <c r="C466" s="1">
        <v>42809</v>
      </c>
      <c r="D466" t="s">
        <v>23</v>
      </c>
      <c r="E466" t="s">
        <v>27</v>
      </c>
      <c r="F466" s="2">
        <v>264</v>
      </c>
      <c r="G466" t="s">
        <v>12</v>
      </c>
      <c r="H466" s="3">
        <v>104377.48</v>
      </c>
      <c r="I466" s="3">
        <v>2665297</v>
      </c>
      <c r="J466" s="3">
        <v>2132237.6</v>
      </c>
      <c r="K466" s="3">
        <v>428681.91999999993</v>
      </c>
      <c r="L466" t="s">
        <v>15</v>
      </c>
      <c r="M466">
        <v>4.9000000000000004</v>
      </c>
    </row>
    <row r="467" spans="1:13" x14ac:dyDescent="0.25">
      <c r="A467">
        <v>466</v>
      </c>
      <c r="B467" s="1">
        <v>42545</v>
      </c>
      <c r="C467" s="1">
        <v>42646</v>
      </c>
      <c r="D467" t="s">
        <v>22</v>
      </c>
      <c r="E467" t="s">
        <v>28</v>
      </c>
      <c r="F467" s="2">
        <v>40</v>
      </c>
      <c r="G467" t="s">
        <v>11</v>
      </c>
      <c r="H467" s="3">
        <v>8852.16</v>
      </c>
      <c r="I467" s="3">
        <v>279189</v>
      </c>
      <c r="J467" s="3">
        <v>223351.2</v>
      </c>
      <c r="K467" s="3">
        <v>46985.639999999985</v>
      </c>
      <c r="L467" t="s">
        <v>16</v>
      </c>
      <c r="M467">
        <v>3.8</v>
      </c>
    </row>
    <row r="468" spans="1:13" x14ac:dyDescent="0.25">
      <c r="A468">
        <v>467</v>
      </c>
      <c r="B468" s="1">
        <v>42545</v>
      </c>
      <c r="C468" s="1">
        <v>42902</v>
      </c>
      <c r="D468" t="s">
        <v>23</v>
      </c>
      <c r="E468" t="s">
        <v>27</v>
      </c>
      <c r="F468" s="2">
        <v>121</v>
      </c>
      <c r="G468" t="s">
        <v>11</v>
      </c>
      <c r="H468" s="3">
        <v>20135.32</v>
      </c>
      <c r="I468" s="3">
        <v>557243</v>
      </c>
      <c r="J468" s="3">
        <v>445794.4</v>
      </c>
      <c r="K468" s="3">
        <v>91313.27999999997</v>
      </c>
      <c r="L468" t="s">
        <v>15</v>
      </c>
      <c r="M468">
        <v>3.7</v>
      </c>
    </row>
    <row r="469" spans="1:13" x14ac:dyDescent="0.25">
      <c r="A469">
        <v>468</v>
      </c>
      <c r="B469" s="1">
        <v>42545</v>
      </c>
      <c r="C469" s="1">
        <v>42827</v>
      </c>
      <c r="D469" t="s">
        <v>23</v>
      </c>
      <c r="E469" t="s">
        <v>29</v>
      </c>
      <c r="F469" s="2">
        <v>210</v>
      </c>
      <c r="G469" t="s">
        <v>12</v>
      </c>
      <c r="H469" s="3">
        <v>33754.199999999997</v>
      </c>
      <c r="I469" s="3">
        <v>906590</v>
      </c>
      <c r="J469" s="3">
        <v>725272</v>
      </c>
      <c r="K469" s="3">
        <v>147563.79999999999</v>
      </c>
      <c r="L469" t="s">
        <v>17</v>
      </c>
      <c r="M469">
        <v>3.6</v>
      </c>
    </row>
    <row r="470" spans="1:13" x14ac:dyDescent="0.25">
      <c r="A470">
        <v>469</v>
      </c>
      <c r="B470" s="1">
        <v>42545</v>
      </c>
      <c r="C470" s="1">
        <v>42717</v>
      </c>
      <c r="D470" t="s">
        <v>21</v>
      </c>
      <c r="E470" t="s">
        <v>25</v>
      </c>
      <c r="F470" s="2">
        <v>62</v>
      </c>
      <c r="G470" t="s">
        <v>11</v>
      </c>
      <c r="H470" s="3">
        <v>21194.2</v>
      </c>
      <c r="I470" s="3">
        <v>583265</v>
      </c>
      <c r="J470" s="3">
        <v>466612</v>
      </c>
      <c r="K470" s="3">
        <v>95458.8</v>
      </c>
      <c r="L470" t="s">
        <v>15</v>
      </c>
      <c r="M470">
        <v>4</v>
      </c>
    </row>
    <row r="471" spans="1:13" x14ac:dyDescent="0.25">
      <c r="A471">
        <v>470</v>
      </c>
      <c r="B471" s="1">
        <v>42546</v>
      </c>
      <c r="C471" s="1">
        <v>42675</v>
      </c>
      <c r="D471" t="s">
        <v>23</v>
      </c>
      <c r="E471" t="s">
        <v>27</v>
      </c>
      <c r="F471" s="2">
        <v>186</v>
      </c>
      <c r="G471" t="s">
        <v>12</v>
      </c>
      <c r="H471" s="3">
        <v>34338.76</v>
      </c>
      <c r="I471" s="3">
        <v>912029</v>
      </c>
      <c r="J471" s="3">
        <v>729623.2</v>
      </c>
      <c r="K471" s="3">
        <v>148067.04000000004</v>
      </c>
      <c r="L471" t="s">
        <v>17</v>
      </c>
      <c r="M471">
        <v>4.4000000000000004</v>
      </c>
    </row>
    <row r="472" spans="1:13" x14ac:dyDescent="0.25">
      <c r="A472">
        <v>471</v>
      </c>
      <c r="B472" s="1">
        <v>42546</v>
      </c>
      <c r="C472" s="1">
        <v>42749</v>
      </c>
      <c r="D472" t="s">
        <v>22</v>
      </c>
      <c r="E472" t="s">
        <v>24</v>
      </c>
      <c r="F472" s="2">
        <v>150</v>
      </c>
      <c r="G472" t="s">
        <v>12</v>
      </c>
      <c r="H472" s="3">
        <v>30993</v>
      </c>
      <c r="I472" s="3">
        <v>837835</v>
      </c>
      <c r="J472" s="3">
        <v>670268</v>
      </c>
      <c r="K472" s="3">
        <v>136574</v>
      </c>
      <c r="L472" t="s">
        <v>15</v>
      </c>
      <c r="M472">
        <v>5</v>
      </c>
    </row>
    <row r="473" spans="1:13" x14ac:dyDescent="0.25">
      <c r="A473">
        <v>472</v>
      </c>
      <c r="B473" s="1">
        <v>42546</v>
      </c>
      <c r="C473" s="1">
        <v>42743</v>
      </c>
      <c r="D473" t="s">
        <v>21</v>
      </c>
      <c r="E473" t="s">
        <v>25</v>
      </c>
      <c r="F473" s="2">
        <v>293</v>
      </c>
      <c r="G473" t="s">
        <v>12</v>
      </c>
      <c r="H473" s="3">
        <v>72039.64</v>
      </c>
      <c r="I473" s="3">
        <v>1856501</v>
      </c>
      <c r="J473" s="3">
        <v>1485200.8</v>
      </c>
      <c r="K473" s="3">
        <v>299260.55999999994</v>
      </c>
      <c r="L473" t="s">
        <v>18</v>
      </c>
      <c r="M473">
        <v>3.9</v>
      </c>
    </row>
    <row r="474" spans="1:13" x14ac:dyDescent="0.25">
      <c r="A474">
        <v>473</v>
      </c>
      <c r="B474" s="1">
        <v>42546</v>
      </c>
      <c r="C474" s="1">
        <v>42820</v>
      </c>
      <c r="D474" t="s">
        <v>22</v>
      </c>
      <c r="E474" t="s">
        <v>25</v>
      </c>
      <c r="F474" s="2">
        <v>99</v>
      </c>
      <c r="G474" t="s">
        <v>12</v>
      </c>
      <c r="H474" s="3">
        <v>34095.4</v>
      </c>
      <c r="I474" s="3">
        <v>909245</v>
      </c>
      <c r="J474" s="3">
        <v>727396</v>
      </c>
      <c r="K474" s="3">
        <v>147753.60000000001</v>
      </c>
      <c r="L474" t="s">
        <v>14</v>
      </c>
      <c r="M474">
        <v>4.0999999999999996</v>
      </c>
    </row>
    <row r="475" spans="1:13" x14ac:dyDescent="0.25">
      <c r="A475">
        <v>474</v>
      </c>
      <c r="B475" s="1">
        <v>42546</v>
      </c>
      <c r="C475" s="1">
        <v>42909</v>
      </c>
      <c r="D475" t="s">
        <v>22</v>
      </c>
      <c r="E475" t="s">
        <v>29</v>
      </c>
      <c r="F475" s="2">
        <v>196</v>
      </c>
      <c r="G475" t="s">
        <v>12</v>
      </c>
      <c r="H475" s="3">
        <v>64088.84</v>
      </c>
      <c r="I475" s="3">
        <v>1659131</v>
      </c>
      <c r="J475" s="3">
        <v>1327304.8</v>
      </c>
      <c r="K475" s="3">
        <v>267737.36</v>
      </c>
      <c r="L475" t="s">
        <v>17</v>
      </c>
      <c r="M475">
        <v>4.9000000000000004</v>
      </c>
    </row>
    <row r="476" spans="1:13" x14ac:dyDescent="0.25">
      <c r="A476">
        <v>475</v>
      </c>
      <c r="B476" s="1">
        <v>42546</v>
      </c>
      <c r="C476" s="1">
        <v>42707</v>
      </c>
      <c r="D476" t="s">
        <v>20</v>
      </c>
      <c r="E476" t="s">
        <v>25</v>
      </c>
      <c r="F476" s="2">
        <v>132</v>
      </c>
      <c r="G476" t="s">
        <v>11</v>
      </c>
      <c r="H476" s="3">
        <v>21780.2</v>
      </c>
      <c r="I476" s="3">
        <v>604965</v>
      </c>
      <c r="J476" s="3">
        <v>483972</v>
      </c>
      <c r="K476" s="3">
        <v>99212.800000000003</v>
      </c>
      <c r="L476" t="s">
        <v>15</v>
      </c>
      <c r="M476">
        <v>4.3</v>
      </c>
    </row>
    <row r="477" spans="1:13" x14ac:dyDescent="0.25">
      <c r="A477">
        <v>476</v>
      </c>
      <c r="B477" s="1">
        <v>42547</v>
      </c>
      <c r="C477" s="1">
        <v>42880</v>
      </c>
      <c r="D477" t="s">
        <v>22</v>
      </c>
      <c r="E477" t="s">
        <v>27</v>
      </c>
      <c r="F477" s="2">
        <v>82</v>
      </c>
      <c r="G477" t="s">
        <v>12</v>
      </c>
      <c r="H477" s="3">
        <v>33100.519999999997</v>
      </c>
      <c r="I477" s="3">
        <v>887973</v>
      </c>
      <c r="J477" s="3">
        <v>710378.4</v>
      </c>
      <c r="K477" s="3">
        <v>144494.07999999999</v>
      </c>
      <c r="L477" t="s">
        <v>14</v>
      </c>
      <c r="M477">
        <v>3.9</v>
      </c>
    </row>
    <row r="478" spans="1:13" x14ac:dyDescent="0.25">
      <c r="A478">
        <v>477</v>
      </c>
      <c r="B478" s="1">
        <v>42549</v>
      </c>
      <c r="C478" s="1">
        <v>42663</v>
      </c>
      <c r="D478" t="s">
        <v>20</v>
      </c>
      <c r="E478" t="s">
        <v>29</v>
      </c>
      <c r="F478" s="2">
        <v>82</v>
      </c>
      <c r="G478" t="s">
        <v>12</v>
      </c>
      <c r="H478" s="3">
        <v>33536.68</v>
      </c>
      <c r="I478" s="3">
        <v>891927</v>
      </c>
      <c r="J478" s="3">
        <v>713541.6</v>
      </c>
      <c r="K478" s="3">
        <v>144848.72000000003</v>
      </c>
      <c r="L478" t="s">
        <v>17</v>
      </c>
      <c r="M478">
        <v>4.9000000000000004</v>
      </c>
    </row>
    <row r="479" spans="1:13" x14ac:dyDescent="0.25">
      <c r="A479">
        <v>478</v>
      </c>
      <c r="B479" s="1">
        <v>42549</v>
      </c>
      <c r="C479" s="1">
        <v>42868</v>
      </c>
      <c r="D479" t="s">
        <v>21</v>
      </c>
      <c r="E479" t="s">
        <v>27</v>
      </c>
      <c r="F479" s="2">
        <v>185</v>
      </c>
      <c r="G479" t="s">
        <v>12</v>
      </c>
      <c r="H479" s="3">
        <v>35854.92</v>
      </c>
      <c r="I479" s="3">
        <v>949733</v>
      </c>
      <c r="J479" s="3">
        <v>759786.4</v>
      </c>
      <c r="K479" s="3">
        <v>154091.68</v>
      </c>
      <c r="L479" t="s">
        <v>19</v>
      </c>
      <c r="M479">
        <v>4.2</v>
      </c>
    </row>
    <row r="480" spans="1:13" x14ac:dyDescent="0.25">
      <c r="A480">
        <v>479</v>
      </c>
      <c r="B480" s="1">
        <v>42549</v>
      </c>
      <c r="C480" s="1">
        <v>42881</v>
      </c>
      <c r="D480" t="s">
        <v>21</v>
      </c>
      <c r="E480" t="s">
        <v>13</v>
      </c>
      <c r="F480" s="2">
        <v>228</v>
      </c>
      <c r="G480" t="s">
        <v>12</v>
      </c>
      <c r="H480" s="3">
        <v>40475.96</v>
      </c>
      <c r="I480" s="3">
        <v>1064709</v>
      </c>
      <c r="J480" s="3">
        <v>851767.2</v>
      </c>
      <c r="K480" s="3">
        <v>172465.84000000005</v>
      </c>
      <c r="L480" t="s">
        <v>19</v>
      </c>
      <c r="M480">
        <v>4.5</v>
      </c>
    </row>
    <row r="481" spans="1:13" x14ac:dyDescent="0.25">
      <c r="A481">
        <v>480</v>
      </c>
      <c r="B481" s="1">
        <v>42549</v>
      </c>
      <c r="C481" s="1">
        <v>42650</v>
      </c>
      <c r="D481" t="s">
        <v>20</v>
      </c>
      <c r="E481" t="s">
        <v>13</v>
      </c>
      <c r="F481" s="2">
        <v>54</v>
      </c>
      <c r="G481" t="s">
        <v>11</v>
      </c>
      <c r="H481" s="3">
        <v>20147.64</v>
      </c>
      <c r="I481" s="3">
        <v>567301</v>
      </c>
      <c r="J481" s="3">
        <v>453840.8</v>
      </c>
      <c r="K481" s="3">
        <v>93312.560000000012</v>
      </c>
      <c r="L481" t="s">
        <v>19</v>
      </c>
      <c r="M481">
        <v>4.9000000000000004</v>
      </c>
    </row>
    <row r="482" spans="1:13" x14ac:dyDescent="0.25">
      <c r="A482">
        <v>481</v>
      </c>
      <c r="B482" s="1">
        <v>42550</v>
      </c>
      <c r="C482" s="1">
        <v>42745</v>
      </c>
      <c r="D482" t="s">
        <v>21</v>
      </c>
      <c r="E482" t="s">
        <v>13</v>
      </c>
      <c r="F482" s="2">
        <v>250</v>
      </c>
      <c r="G482" t="s">
        <v>12</v>
      </c>
      <c r="H482" s="3">
        <v>45533.2</v>
      </c>
      <c r="I482" s="3">
        <v>1203265</v>
      </c>
      <c r="J482" s="3">
        <v>962612</v>
      </c>
      <c r="K482" s="3">
        <v>195119.8</v>
      </c>
      <c r="L482" t="s">
        <v>17</v>
      </c>
      <c r="M482">
        <v>4.5</v>
      </c>
    </row>
    <row r="483" spans="1:13" x14ac:dyDescent="0.25">
      <c r="A483">
        <v>482</v>
      </c>
      <c r="B483" s="1">
        <v>42550</v>
      </c>
      <c r="C483" s="1">
        <v>42902</v>
      </c>
      <c r="D483" t="s">
        <v>22</v>
      </c>
      <c r="E483" t="s">
        <v>25</v>
      </c>
      <c r="F483" s="2">
        <v>240</v>
      </c>
      <c r="G483" t="s">
        <v>12</v>
      </c>
      <c r="H483" s="3">
        <v>78141.919999999998</v>
      </c>
      <c r="I483" s="3">
        <v>2019608</v>
      </c>
      <c r="J483" s="3">
        <v>1615686.4</v>
      </c>
      <c r="K483" s="3">
        <v>325779.68000000011</v>
      </c>
      <c r="L483" t="s">
        <v>18</v>
      </c>
      <c r="M483">
        <v>4.9000000000000004</v>
      </c>
    </row>
    <row r="484" spans="1:13" x14ac:dyDescent="0.25">
      <c r="A484">
        <v>483</v>
      </c>
      <c r="B484" s="1">
        <v>42550</v>
      </c>
      <c r="C484" s="1">
        <v>42739</v>
      </c>
      <c r="D484" t="s">
        <v>20</v>
      </c>
      <c r="E484" t="s">
        <v>25</v>
      </c>
      <c r="F484" s="2">
        <v>130</v>
      </c>
      <c r="G484" t="s">
        <v>12</v>
      </c>
      <c r="H484" s="3">
        <v>36851.4</v>
      </c>
      <c r="I484" s="3">
        <v>983195</v>
      </c>
      <c r="J484" s="3">
        <v>786556</v>
      </c>
      <c r="K484" s="3">
        <v>159787.6</v>
      </c>
      <c r="L484" t="s">
        <v>14</v>
      </c>
      <c r="M484">
        <v>4</v>
      </c>
    </row>
    <row r="485" spans="1:13" x14ac:dyDescent="0.25">
      <c r="A485">
        <v>484</v>
      </c>
      <c r="B485" s="1">
        <v>42551</v>
      </c>
      <c r="C485" s="1">
        <v>42707</v>
      </c>
      <c r="D485" t="s">
        <v>20</v>
      </c>
      <c r="E485" t="s">
        <v>28</v>
      </c>
      <c r="F485" s="2">
        <v>146</v>
      </c>
      <c r="G485" t="s">
        <v>12</v>
      </c>
      <c r="H485" s="3">
        <v>59199.519999999997</v>
      </c>
      <c r="I485" s="3">
        <v>1542923</v>
      </c>
      <c r="J485" s="3">
        <v>1234338.3999999999</v>
      </c>
      <c r="K485" s="3">
        <v>249385.0800000001</v>
      </c>
      <c r="L485" t="s">
        <v>19</v>
      </c>
      <c r="M485">
        <v>4.5999999999999996</v>
      </c>
    </row>
    <row r="486" spans="1:13" x14ac:dyDescent="0.25">
      <c r="A486">
        <v>485</v>
      </c>
      <c r="B486" s="1">
        <v>42551</v>
      </c>
      <c r="C486" s="1">
        <v>42793</v>
      </c>
      <c r="D486" t="s">
        <v>20</v>
      </c>
      <c r="E486" t="s">
        <v>27</v>
      </c>
      <c r="F486" s="2">
        <v>117</v>
      </c>
      <c r="G486" t="s">
        <v>12</v>
      </c>
      <c r="H486" s="3">
        <v>42717.32</v>
      </c>
      <c r="I486" s="3">
        <v>1130093</v>
      </c>
      <c r="J486" s="3">
        <v>904074.4</v>
      </c>
      <c r="K486" s="3">
        <v>183301.27999999997</v>
      </c>
      <c r="L486" t="s">
        <v>19</v>
      </c>
      <c r="M486">
        <v>4.0999999999999996</v>
      </c>
    </row>
    <row r="487" spans="1:13" x14ac:dyDescent="0.25">
      <c r="A487">
        <v>486</v>
      </c>
      <c r="B487" s="1">
        <v>42551</v>
      </c>
      <c r="C487" s="1">
        <v>42890</v>
      </c>
      <c r="D487" t="s">
        <v>21</v>
      </c>
      <c r="E487" t="s">
        <v>29</v>
      </c>
      <c r="F487" s="2">
        <v>279</v>
      </c>
      <c r="G487" t="s">
        <v>12</v>
      </c>
      <c r="H487" s="3">
        <v>86829.04</v>
      </c>
      <c r="I487" s="3">
        <v>2235961</v>
      </c>
      <c r="J487" s="3">
        <v>1788768.8</v>
      </c>
      <c r="K487" s="3">
        <v>360363.16</v>
      </c>
      <c r="L487" t="s">
        <v>19</v>
      </c>
      <c r="M487">
        <v>4.5999999999999996</v>
      </c>
    </row>
    <row r="488" spans="1:13" x14ac:dyDescent="0.25">
      <c r="A488">
        <v>487</v>
      </c>
      <c r="B488" s="1">
        <v>42551</v>
      </c>
      <c r="C488" s="1">
        <v>42756</v>
      </c>
      <c r="D488" t="s">
        <v>23</v>
      </c>
      <c r="E488" t="s">
        <v>28</v>
      </c>
      <c r="F488" s="2">
        <v>258</v>
      </c>
      <c r="G488" t="s">
        <v>12</v>
      </c>
      <c r="H488" s="3">
        <v>98018.52</v>
      </c>
      <c r="I488" s="3">
        <v>2511548</v>
      </c>
      <c r="J488" s="3">
        <v>2009238.4</v>
      </c>
      <c r="K488" s="3">
        <v>404291.08000000007</v>
      </c>
      <c r="L488" t="s">
        <v>14</v>
      </c>
      <c r="M488">
        <v>3.7</v>
      </c>
    </row>
    <row r="489" spans="1:13" x14ac:dyDescent="0.25">
      <c r="A489">
        <v>488</v>
      </c>
      <c r="B489" s="1">
        <v>42552</v>
      </c>
      <c r="C489" s="1">
        <v>42872</v>
      </c>
      <c r="D489" t="s">
        <v>20</v>
      </c>
      <c r="E489" t="s">
        <v>24</v>
      </c>
      <c r="F489" s="2">
        <v>179</v>
      </c>
      <c r="G489" t="s">
        <v>12</v>
      </c>
      <c r="H489" s="3">
        <v>51421.599999999999</v>
      </c>
      <c r="I489" s="3">
        <v>1343325</v>
      </c>
      <c r="J489" s="3">
        <v>1074660</v>
      </c>
      <c r="K489" s="3">
        <v>217243.4</v>
      </c>
      <c r="L489" t="s">
        <v>14</v>
      </c>
      <c r="M489">
        <v>4.9000000000000004</v>
      </c>
    </row>
    <row r="490" spans="1:13" x14ac:dyDescent="0.25">
      <c r="A490">
        <v>489</v>
      </c>
      <c r="B490" s="1">
        <v>42552</v>
      </c>
      <c r="C490" s="1">
        <v>42765</v>
      </c>
      <c r="D490" t="s">
        <v>23</v>
      </c>
      <c r="E490" t="s">
        <v>24</v>
      </c>
      <c r="F490" s="2">
        <v>57</v>
      </c>
      <c r="G490" t="s">
        <v>11</v>
      </c>
      <c r="H490" s="3">
        <v>9413.7999999999993</v>
      </c>
      <c r="I490" s="3">
        <v>290405</v>
      </c>
      <c r="J490" s="3">
        <v>232324</v>
      </c>
      <c r="K490" s="3">
        <v>48667.199999999997</v>
      </c>
      <c r="L490" t="s">
        <v>19</v>
      </c>
      <c r="M490">
        <v>5</v>
      </c>
    </row>
    <row r="491" spans="1:13" x14ac:dyDescent="0.25">
      <c r="A491">
        <v>490</v>
      </c>
      <c r="B491" s="1">
        <v>42553</v>
      </c>
      <c r="C491" s="1">
        <v>42833</v>
      </c>
      <c r="D491" t="s">
        <v>23</v>
      </c>
      <c r="E491" t="s">
        <v>28</v>
      </c>
      <c r="F491" s="2">
        <v>228</v>
      </c>
      <c r="G491" t="s">
        <v>12</v>
      </c>
      <c r="H491" s="3">
        <v>75661.48</v>
      </c>
      <c r="I491" s="3">
        <v>1947797</v>
      </c>
      <c r="J491" s="3">
        <v>1558237.6</v>
      </c>
      <c r="K491" s="3">
        <v>313897.91999999993</v>
      </c>
      <c r="L491" t="s">
        <v>19</v>
      </c>
      <c r="M491">
        <v>4.3</v>
      </c>
    </row>
    <row r="492" spans="1:13" x14ac:dyDescent="0.25">
      <c r="A492">
        <v>491</v>
      </c>
      <c r="B492" s="1">
        <v>42553</v>
      </c>
      <c r="C492" s="1">
        <v>42890</v>
      </c>
      <c r="D492" t="s">
        <v>22</v>
      </c>
      <c r="E492" t="s">
        <v>13</v>
      </c>
      <c r="F492" s="2">
        <v>56</v>
      </c>
      <c r="G492" t="s">
        <v>11</v>
      </c>
      <c r="H492" s="3">
        <v>13563.8</v>
      </c>
      <c r="I492" s="3">
        <v>395155</v>
      </c>
      <c r="J492" s="3">
        <v>316124</v>
      </c>
      <c r="K492" s="3">
        <v>65467.199999999997</v>
      </c>
      <c r="L492" t="s">
        <v>19</v>
      </c>
      <c r="M492">
        <v>4.7</v>
      </c>
    </row>
    <row r="493" spans="1:13" x14ac:dyDescent="0.25">
      <c r="A493">
        <v>492</v>
      </c>
      <c r="B493" s="1">
        <v>42554</v>
      </c>
      <c r="C493" s="1">
        <v>42804</v>
      </c>
      <c r="D493" t="s">
        <v>22</v>
      </c>
      <c r="E493" t="s">
        <v>29</v>
      </c>
      <c r="F493" s="2">
        <v>278</v>
      </c>
      <c r="G493" t="s">
        <v>12</v>
      </c>
      <c r="H493" s="3">
        <v>51302.12</v>
      </c>
      <c r="I493" s="3">
        <v>1334813</v>
      </c>
      <c r="J493" s="3">
        <v>1067850.3999999999</v>
      </c>
      <c r="K493" s="3">
        <v>215660.4800000001</v>
      </c>
      <c r="L493" t="s">
        <v>17</v>
      </c>
      <c r="M493">
        <v>3.6</v>
      </c>
    </row>
    <row r="494" spans="1:13" x14ac:dyDescent="0.25">
      <c r="A494">
        <v>493</v>
      </c>
      <c r="B494" s="1">
        <v>42554</v>
      </c>
      <c r="C494" s="1">
        <v>42725</v>
      </c>
      <c r="D494" t="s">
        <v>20</v>
      </c>
      <c r="E494" t="s">
        <v>24</v>
      </c>
      <c r="F494" s="2">
        <v>293</v>
      </c>
      <c r="G494" t="s">
        <v>12</v>
      </c>
      <c r="H494" s="3">
        <v>77169.320000000007</v>
      </c>
      <c r="I494" s="3">
        <v>1985068</v>
      </c>
      <c r="J494" s="3">
        <v>1588054.4</v>
      </c>
      <c r="K494" s="3">
        <v>319844.28000000009</v>
      </c>
      <c r="L494" t="s">
        <v>18</v>
      </c>
      <c r="M494">
        <v>5</v>
      </c>
    </row>
    <row r="495" spans="1:13" x14ac:dyDescent="0.25">
      <c r="A495">
        <v>494</v>
      </c>
      <c r="B495" s="1">
        <v>42554</v>
      </c>
      <c r="C495" s="1">
        <v>42919</v>
      </c>
      <c r="D495" t="s">
        <v>21</v>
      </c>
      <c r="E495" t="s">
        <v>28</v>
      </c>
      <c r="F495" s="2">
        <v>270</v>
      </c>
      <c r="G495" t="s">
        <v>12</v>
      </c>
      <c r="H495" s="3">
        <v>68000.479999999996</v>
      </c>
      <c r="I495" s="3">
        <v>1766247</v>
      </c>
      <c r="J495" s="3">
        <v>1412997.6</v>
      </c>
      <c r="K495" s="3">
        <v>285248.91999999993</v>
      </c>
      <c r="L495" t="s">
        <v>19</v>
      </c>
      <c r="M495">
        <v>3.8</v>
      </c>
    </row>
    <row r="496" spans="1:13" x14ac:dyDescent="0.25">
      <c r="A496">
        <v>495</v>
      </c>
      <c r="B496" s="1">
        <v>42554</v>
      </c>
      <c r="C496" s="1">
        <v>42914</v>
      </c>
      <c r="D496" t="s">
        <v>20</v>
      </c>
      <c r="E496" t="s">
        <v>26</v>
      </c>
      <c r="F496" s="2">
        <v>261</v>
      </c>
      <c r="G496" t="s">
        <v>12</v>
      </c>
      <c r="H496" s="3">
        <v>102049.84</v>
      </c>
      <c r="I496" s="3">
        <v>2615181</v>
      </c>
      <c r="J496" s="3">
        <v>2092144.8</v>
      </c>
      <c r="K496" s="3">
        <v>420986.36</v>
      </c>
      <c r="L496" t="s">
        <v>19</v>
      </c>
      <c r="M496">
        <v>4.5</v>
      </c>
    </row>
    <row r="497" spans="1:13" x14ac:dyDescent="0.25">
      <c r="A497">
        <v>496</v>
      </c>
      <c r="B497" s="1">
        <v>42554</v>
      </c>
      <c r="C497" s="1">
        <v>42711</v>
      </c>
      <c r="D497" t="s">
        <v>22</v>
      </c>
      <c r="E497" t="s">
        <v>29</v>
      </c>
      <c r="F497" s="2">
        <v>150</v>
      </c>
      <c r="G497" t="s">
        <v>12</v>
      </c>
      <c r="H497" s="3">
        <v>46019.6</v>
      </c>
      <c r="I497" s="3">
        <v>1202550</v>
      </c>
      <c r="J497" s="3">
        <v>962040</v>
      </c>
      <c r="K497" s="3">
        <v>194490.4</v>
      </c>
      <c r="L497" t="s">
        <v>17</v>
      </c>
      <c r="M497">
        <v>3.7</v>
      </c>
    </row>
    <row r="498" spans="1:13" x14ac:dyDescent="0.25">
      <c r="A498">
        <v>497</v>
      </c>
      <c r="B498" s="1">
        <v>42554</v>
      </c>
      <c r="C498" s="1">
        <v>42827</v>
      </c>
      <c r="D498" t="s">
        <v>20</v>
      </c>
      <c r="E498" t="s">
        <v>25</v>
      </c>
      <c r="F498" s="2">
        <v>202</v>
      </c>
      <c r="G498" t="s">
        <v>12</v>
      </c>
      <c r="H498" s="3">
        <v>51751.92</v>
      </c>
      <c r="I498" s="3">
        <v>1352558</v>
      </c>
      <c r="J498" s="3">
        <v>1082046.3999999999</v>
      </c>
      <c r="K498" s="3">
        <v>218759.68000000011</v>
      </c>
      <c r="L498" t="s">
        <v>15</v>
      </c>
      <c r="M498">
        <v>4.2</v>
      </c>
    </row>
    <row r="499" spans="1:13" x14ac:dyDescent="0.25">
      <c r="A499">
        <v>498</v>
      </c>
      <c r="B499" s="1">
        <v>42554</v>
      </c>
      <c r="C499" s="1">
        <v>42919</v>
      </c>
      <c r="D499" t="s">
        <v>23</v>
      </c>
      <c r="E499" t="s">
        <v>25</v>
      </c>
      <c r="F499" s="2">
        <v>106</v>
      </c>
      <c r="G499" t="s">
        <v>12</v>
      </c>
      <c r="H499" s="3">
        <v>39429.599999999999</v>
      </c>
      <c r="I499" s="3">
        <v>1041225</v>
      </c>
      <c r="J499" s="3">
        <v>832980</v>
      </c>
      <c r="K499" s="3">
        <v>168815.4</v>
      </c>
      <c r="L499" t="s">
        <v>19</v>
      </c>
      <c r="M499">
        <v>4</v>
      </c>
    </row>
    <row r="500" spans="1:13" x14ac:dyDescent="0.25">
      <c r="A500">
        <v>499</v>
      </c>
      <c r="B500" s="1">
        <v>42555</v>
      </c>
      <c r="C500" s="1">
        <v>42877</v>
      </c>
      <c r="D500" t="s">
        <v>20</v>
      </c>
      <c r="E500" t="s">
        <v>25</v>
      </c>
      <c r="F500" s="2">
        <v>57</v>
      </c>
      <c r="G500" t="s">
        <v>11</v>
      </c>
      <c r="H500" s="3">
        <v>20461.28</v>
      </c>
      <c r="I500" s="3">
        <v>567917</v>
      </c>
      <c r="J500" s="3">
        <v>454333.6</v>
      </c>
      <c r="K500" s="3">
        <v>93122.120000000024</v>
      </c>
      <c r="L500" t="s">
        <v>16</v>
      </c>
      <c r="M500">
        <v>4.7</v>
      </c>
    </row>
    <row r="501" spans="1:13" x14ac:dyDescent="0.25">
      <c r="A501">
        <v>500</v>
      </c>
      <c r="B501" s="1">
        <v>42555</v>
      </c>
      <c r="C501" s="1">
        <v>42861</v>
      </c>
      <c r="D501" t="s">
        <v>21</v>
      </c>
      <c r="E501" t="s">
        <v>29</v>
      </c>
      <c r="F501" s="2">
        <v>234</v>
      </c>
      <c r="G501" t="s">
        <v>12</v>
      </c>
      <c r="H501" s="3">
        <v>88547</v>
      </c>
      <c r="I501" s="3">
        <v>2274485</v>
      </c>
      <c r="J501" s="3">
        <v>1819588</v>
      </c>
      <c r="K501" s="3">
        <v>366350</v>
      </c>
      <c r="L501" t="s">
        <v>15</v>
      </c>
      <c r="M501">
        <v>5</v>
      </c>
    </row>
    <row r="502" spans="1:13" x14ac:dyDescent="0.25">
      <c r="A502">
        <v>501</v>
      </c>
      <c r="B502" s="1">
        <v>42556</v>
      </c>
      <c r="C502" s="1">
        <v>42768</v>
      </c>
      <c r="D502" t="s">
        <v>20</v>
      </c>
      <c r="E502" t="s">
        <v>26</v>
      </c>
      <c r="F502" s="2">
        <v>226</v>
      </c>
      <c r="G502" t="s">
        <v>12</v>
      </c>
      <c r="H502" s="3">
        <v>37460.239999999998</v>
      </c>
      <c r="I502" s="3">
        <v>1001491</v>
      </c>
      <c r="J502" s="3">
        <v>801192.8</v>
      </c>
      <c r="K502" s="3">
        <v>162837.95999999996</v>
      </c>
      <c r="L502" t="s">
        <v>15</v>
      </c>
      <c r="M502">
        <v>4.9000000000000004</v>
      </c>
    </row>
    <row r="503" spans="1:13" x14ac:dyDescent="0.25">
      <c r="A503">
        <v>502</v>
      </c>
      <c r="B503" s="1">
        <v>42556</v>
      </c>
      <c r="C503" s="1">
        <v>42764</v>
      </c>
      <c r="D503" t="s">
        <v>22</v>
      </c>
      <c r="E503" t="s">
        <v>28</v>
      </c>
      <c r="F503" s="2">
        <v>218</v>
      </c>
      <c r="G503" t="s">
        <v>12</v>
      </c>
      <c r="H503" s="3">
        <v>82354.16</v>
      </c>
      <c r="I503" s="3">
        <v>2124389</v>
      </c>
      <c r="J503" s="3">
        <v>1699511.2</v>
      </c>
      <c r="K503" s="3">
        <v>342523.64</v>
      </c>
      <c r="L503" t="s">
        <v>17</v>
      </c>
      <c r="M503">
        <v>4.4000000000000004</v>
      </c>
    </row>
    <row r="504" spans="1:13" x14ac:dyDescent="0.25">
      <c r="A504">
        <v>503</v>
      </c>
      <c r="B504" s="1">
        <v>42556</v>
      </c>
      <c r="C504" s="1">
        <v>42893</v>
      </c>
      <c r="D504" t="s">
        <v>20</v>
      </c>
      <c r="E504" t="s">
        <v>24</v>
      </c>
      <c r="F504" s="2">
        <v>67</v>
      </c>
      <c r="G504" t="s">
        <v>11</v>
      </c>
      <c r="H504" s="3">
        <v>24853.08</v>
      </c>
      <c r="I504" s="3">
        <v>683837</v>
      </c>
      <c r="J504" s="3">
        <v>547069.6</v>
      </c>
      <c r="K504" s="3">
        <v>111914.32000000002</v>
      </c>
      <c r="L504" t="s">
        <v>18</v>
      </c>
      <c r="M504">
        <v>4.0999999999999996</v>
      </c>
    </row>
    <row r="505" spans="1:13" x14ac:dyDescent="0.25">
      <c r="A505">
        <v>504</v>
      </c>
      <c r="B505" s="1">
        <v>42556</v>
      </c>
      <c r="C505" s="1">
        <v>42834</v>
      </c>
      <c r="D505" t="s">
        <v>20</v>
      </c>
      <c r="E505" t="s">
        <v>25</v>
      </c>
      <c r="F505" s="2">
        <v>182</v>
      </c>
      <c r="G505" t="s">
        <v>12</v>
      </c>
      <c r="H505" s="3">
        <v>47606.16</v>
      </c>
      <c r="I505" s="3">
        <v>1252739</v>
      </c>
      <c r="J505" s="3">
        <v>1002191.2</v>
      </c>
      <c r="K505" s="3">
        <v>202941.64000000004</v>
      </c>
      <c r="L505" t="s">
        <v>18</v>
      </c>
      <c r="M505">
        <v>4.8</v>
      </c>
    </row>
    <row r="506" spans="1:13" x14ac:dyDescent="0.25">
      <c r="A506">
        <v>505</v>
      </c>
      <c r="B506" s="1">
        <v>42556</v>
      </c>
      <c r="C506" s="1">
        <v>42871</v>
      </c>
      <c r="D506" t="s">
        <v>20</v>
      </c>
      <c r="E506" t="s">
        <v>13</v>
      </c>
      <c r="F506" s="2">
        <v>166</v>
      </c>
      <c r="G506" t="s">
        <v>12</v>
      </c>
      <c r="H506" s="3">
        <v>33206.879999999997</v>
      </c>
      <c r="I506" s="3">
        <v>896657</v>
      </c>
      <c r="J506" s="3">
        <v>717325.6</v>
      </c>
      <c r="K506" s="3">
        <v>146124.52000000002</v>
      </c>
      <c r="L506" t="s">
        <v>19</v>
      </c>
      <c r="M506">
        <v>3.7</v>
      </c>
    </row>
    <row r="507" spans="1:13" x14ac:dyDescent="0.25">
      <c r="A507">
        <v>506</v>
      </c>
      <c r="B507" s="1">
        <v>42556</v>
      </c>
      <c r="C507" s="1">
        <v>42657</v>
      </c>
      <c r="D507" t="s">
        <v>21</v>
      </c>
      <c r="E507" t="s">
        <v>24</v>
      </c>
      <c r="F507" s="2">
        <v>232</v>
      </c>
      <c r="G507" t="s">
        <v>12</v>
      </c>
      <c r="H507" s="3">
        <v>47444.800000000003</v>
      </c>
      <c r="I507" s="3">
        <v>1243680</v>
      </c>
      <c r="J507" s="3">
        <v>994944</v>
      </c>
      <c r="K507" s="3">
        <v>201291.2</v>
      </c>
      <c r="L507" t="s">
        <v>19</v>
      </c>
      <c r="M507">
        <v>4.5999999999999996</v>
      </c>
    </row>
    <row r="508" spans="1:13" x14ac:dyDescent="0.25">
      <c r="A508">
        <v>507</v>
      </c>
      <c r="B508" s="1">
        <v>42556</v>
      </c>
      <c r="C508" s="1">
        <v>42681</v>
      </c>
      <c r="D508" t="s">
        <v>23</v>
      </c>
      <c r="E508" t="s">
        <v>13</v>
      </c>
      <c r="F508" s="2">
        <v>154</v>
      </c>
      <c r="G508" t="s">
        <v>12</v>
      </c>
      <c r="H508" s="3">
        <v>40551.839999999997</v>
      </c>
      <c r="I508" s="3">
        <v>1069031</v>
      </c>
      <c r="J508" s="3">
        <v>855224.8</v>
      </c>
      <c r="K508" s="3">
        <v>173254.35999999996</v>
      </c>
      <c r="L508" t="s">
        <v>14</v>
      </c>
      <c r="M508">
        <v>4.5</v>
      </c>
    </row>
    <row r="509" spans="1:13" x14ac:dyDescent="0.25">
      <c r="A509">
        <v>508</v>
      </c>
      <c r="B509" s="1">
        <v>42556</v>
      </c>
      <c r="C509" s="1">
        <v>42696</v>
      </c>
      <c r="D509" t="s">
        <v>20</v>
      </c>
      <c r="E509" t="s">
        <v>28</v>
      </c>
      <c r="F509" s="2">
        <v>265</v>
      </c>
      <c r="G509" t="s">
        <v>12</v>
      </c>
      <c r="H509" s="3">
        <v>90901.52</v>
      </c>
      <c r="I509" s="3">
        <v>2334023</v>
      </c>
      <c r="J509" s="3">
        <v>1867218.4</v>
      </c>
      <c r="K509" s="3">
        <v>375903.08000000007</v>
      </c>
      <c r="L509" t="s">
        <v>17</v>
      </c>
      <c r="M509">
        <v>5</v>
      </c>
    </row>
    <row r="510" spans="1:13" x14ac:dyDescent="0.25">
      <c r="A510">
        <v>509</v>
      </c>
      <c r="B510" s="1">
        <v>42557</v>
      </c>
      <c r="C510" s="1">
        <v>42767</v>
      </c>
      <c r="D510" t="s">
        <v>23</v>
      </c>
      <c r="E510" t="s">
        <v>13</v>
      </c>
      <c r="F510" s="2">
        <v>73</v>
      </c>
      <c r="G510" t="s">
        <v>11</v>
      </c>
      <c r="H510" s="3">
        <v>16265.6</v>
      </c>
      <c r="I510" s="3">
        <v>464725</v>
      </c>
      <c r="J510" s="3">
        <v>371780</v>
      </c>
      <c r="K510" s="3">
        <v>76679.399999999994</v>
      </c>
      <c r="L510" t="s">
        <v>15</v>
      </c>
      <c r="M510">
        <v>4.5</v>
      </c>
    </row>
    <row r="511" spans="1:13" x14ac:dyDescent="0.25">
      <c r="A511">
        <v>510</v>
      </c>
      <c r="B511" s="1">
        <v>42557</v>
      </c>
      <c r="C511" s="1">
        <v>42921</v>
      </c>
      <c r="D511" t="s">
        <v>21</v>
      </c>
      <c r="E511" t="s">
        <v>29</v>
      </c>
      <c r="F511" s="2">
        <v>221</v>
      </c>
      <c r="G511" t="s">
        <v>12</v>
      </c>
      <c r="H511" s="3">
        <v>46112.4</v>
      </c>
      <c r="I511" s="3">
        <v>1212345</v>
      </c>
      <c r="J511" s="3">
        <v>969876</v>
      </c>
      <c r="K511" s="3">
        <v>196356.6</v>
      </c>
      <c r="L511" t="s">
        <v>16</v>
      </c>
      <c r="M511">
        <v>4.9000000000000004</v>
      </c>
    </row>
    <row r="512" spans="1:13" x14ac:dyDescent="0.25">
      <c r="A512">
        <v>511</v>
      </c>
      <c r="B512" s="1">
        <v>42557</v>
      </c>
      <c r="C512" s="1">
        <v>42816</v>
      </c>
      <c r="D512" t="s">
        <v>20</v>
      </c>
      <c r="E512" t="s">
        <v>24</v>
      </c>
      <c r="F512" s="2">
        <v>34</v>
      </c>
      <c r="G512" t="s">
        <v>11</v>
      </c>
      <c r="H512" s="3">
        <v>9234.4</v>
      </c>
      <c r="I512" s="3">
        <v>295045</v>
      </c>
      <c r="J512" s="3">
        <v>236036</v>
      </c>
      <c r="K512" s="3">
        <v>49774.6</v>
      </c>
      <c r="L512" t="s">
        <v>17</v>
      </c>
      <c r="M512">
        <v>4.5999999999999996</v>
      </c>
    </row>
    <row r="513" spans="1:13" x14ac:dyDescent="0.25">
      <c r="A513">
        <v>512</v>
      </c>
      <c r="B513" s="1">
        <v>42557</v>
      </c>
      <c r="C513" s="1">
        <v>42687</v>
      </c>
      <c r="D513" t="s">
        <v>20</v>
      </c>
      <c r="E513" t="s">
        <v>25</v>
      </c>
      <c r="F513" s="2">
        <v>232</v>
      </c>
      <c r="G513" t="s">
        <v>12</v>
      </c>
      <c r="H513" s="3">
        <v>70621.600000000006</v>
      </c>
      <c r="I513" s="3">
        <v>1819425</v>
      </c>
      <c r="J513" s="3">
        <v>1455540</v>
      </c>
      <c r="K513" s="3">
        <v>293263.40000000002</v>
      </c>
      <c r="L513" t="s">
        <v>16</v>
      </c>
      <c r="M513">
        <v>4.2</v>
      </c>
    </row>
    <row r="514" spans="1:13" x14ac:dyDescent="0.25">
      <c r="A514">
        <v>513</v>
      </c>
      <c r="B514" s="1">
        <v>42557</v>
      </c>
      <c r="C514" s="1">
        <v>42756</v>
      </c>
      <c r="D514" t="s">
        <v>22</v>
      </c>
      <c r="E514" t="s">
        <v>28</v>
      </c>
      <c r="F514" s="2">
        <v>186</v>
      </c>
      <c r="G514" t="s">
        <v>12</v>
      </c>
      <c r="H514" s="3">
        <v>72667.88</v>
      </c>
      <c r="I514" s="3">
        <v>1878107</v>
      </c>
      <c r="J514" s="3">
        <v>1502485.6</v>
      </c>
      <c r="K514" s="3">
        <v>302953.5199999999</v>
      </c>
      <c r="L514" t="s">
        <v>17</v>
      </c>
      <c r="M514">
        <v>4.4000000000000004</v>
      </c>
    </row>
    <row r="515" spans="1:13" x14ac:dyDescent="0.25">
      <c r="A515">
        <v>514</v>
      </c>
      <c r="B515" s="1">
        <v>42558</v>
      </c>
      <c r="C515" s="1">
        <v>42732</v>
      </c>
      <c r="D515" t="s">
        <v>20</v>
      </c>
      <c r="E515" t="s">
        <v>13</v>
      </c>
      <c r="F515" s="2">
        <v>73</v>
      </c>
      <c r="G515" t="s">
        <v>11</v>
      </c>
      <c r="H515" s="3">
        <v>28493.119999999999</v>
      </c>
      <c r="I515" s="3">
        <v>777713</v>
      </c>
      <c r="J515" s="3">
        <v>622170.4</v>
      </c>
      <c r="K515" s="3">
        <v>127049.47999999998</v>
      </c>
      <c r="L515" t="s">
        <v>19</v>
      </c>
      <c r="M515">
        <v>4.5999999999999996</v>
      </c>
    </row>
    <row r="516" spans="1:13" x14ac:dyDescent="0.25">
      <c r="A516">
        <v>515</v>
      </c>
      <c r="B516" s="1">
        <v>42559</v>
      </c>
      <c r="C516" s="1">
        <v>42726</v>
      </c>
      <c r="D516" t="s">
        <v>23</v>
      </c>
      <c r="E516" t="s">
        <v>13</v>
      </c>
      <c r="F516" s="2">
        <v>41</v>
      </c>
      <c r="G516" t="s">
        <v>11</v>
      </c>
      <c r="H516" s="3">
        <v>9547.08</v>
      </c>
      <c r="I516" s="3">
        <v>299262</v>
      </c>
      <c r="J516" s="3">
        <v>239409.6</v>
      </c>
      <c r="K516" s="3">
        <v>50305.319999999992</v>
      </c>
      <c r="L516" t="s">
        <v>14</v>
      </c>
      <c r="M516">
        <v>3.6</v>
      </c>
    </row>
    <row r="517" spans="1:13" x14ac:dyDescent="0.25">
      <c r="A517">
        <v>516</v>
      </c>
      <c r="B517" s="1">
        <v>42559</v>
      </c>
      <c r="C517" s="1">
        <v>42909</v>
      </c>
      <c r="D517" t="s">
        <v>23</v>
      </c>
      <c r="E517" t="s">
        <v>27</v>
      </c>
      <c r="F517" s="2">
        <v>113</v>
      </c>
      <c r="G517" t="s">
        <v>11</v>
      </c>
      <c r="H517" s="3">
        <v>28231.08</v>
      </c>
      <c r="I517" s="3">
        <v>757387</v>
      </c>
      <c r="J517" s="3">
        <v>605909.6</v>
      </c>
      <c r="K517" s="3">
        <v>123246.32000000002</v>
      </c>
      <c r="L517" t="s">
        <v>14</v>
      </c>
      <c r="M517">
        <v>3.9</v>
      </c>
    </row>
    <row r="518" spans="1:13" x14ac:dyDescent="0.25">
      <c r="A518">
        <v>517</v>
      </c>
      <c r="B518" s="1">
        <v>42559</v>
      </c>
      <c r="C518" s="1">
        <v>42751</v>
      </c>
      <c r="D518" t="s">
        <v>21</v>
      </c>
      <c r="E518" t="s">
        <v>26</v>
      </c>
      <c r="F518" s="2">
        <v>168</v>
      </c>
      <c r="G518" t="s">
        <v>12</v>
      </c>
      <c r="H518" s="3">
        <v>51306.04</v>
      </c>
      <c r="I518" s="3">
        <v>1350011</v>
      </c>
      <c r="J518" s="3">
        <v>1080008.8</v>
      </c>
      <c r="K518" s="3">
        <v>218696.15999999995</v>
      </c>
      <c r="L518" t="s">
        <v>15</v>
      </c>
      <c r="M518">
        <v>3.9</v>
      </c>
    </row>
    <row r="519" spans="1:13" x14ac:dyDescent="0.25">
      <c r="A519">
        <v>518</v>
      </c>
      <c r="B519" s="1">
        <v>42559</v>
      </c>
      <c r="C519" s="1">
        <v>42667</v>
      </c>
      <c r="D519" t="s">
        <v>21</v>
      </c>
      <c r="E519" t="s">
        <v>25</v>
      </c>
      <c r="F519" s="2">
        <v>101</v>
      </c>
      <c r="G519" t="s">
        <v>11</v>
      </c>
      <c r="H519" s="3">
        <v>24756.560000000001</v>
      </c>
      <c r="I519" s="3">
        <v>674549</v>
      </c>
      <c r="J519" s="3">
        <v>539639.19999999995</v>
      </c>
      <c r="K519" s="3">
        <v>110153.24000000005</v>
      </c>
      <c r="L519" t="s">
        <v>19</v>
      </c>
      <c r="M519">
        <v>3.9</v>
      </c>
    </row>
    <row r="520" spans="1:13" x14ac:dyDescent="0.25">
      <c r="A520">
        <v>519</v>
      </c>
      <c r="B520" s="1">
        <v>42560</v>
      </c>
      <c r="C520" s="1">
        <v>42765</v>
      </c>
      <c r="D520" t="s">
        <v>21</v>
      </c>
      <c r="E520" t="s">
        <v>29</v>
      </c>
      <c r="F520" s="2">
        <v>120</v>
      </c>
      <c r="G520" t="s">
        <v>11</v>
      </c>
      <c r="H520" s="3">
        <v>26625.919999999998</v>
      </c>
      <c r="I520" s="3">
        <v>719258</v>
      </c>
      <c r="J520" s="3">
        <v>575406.4</v>
      </c>
      <c r="K520" s="3">
        <v>117225.67999999998</v>
      </c>
      <c r="L520" t="s">
        <v>19</v>
      </c>
      <c r="M520">
        <v>5</v>
      </c>
    </row>
    <row r="521" spans="1:13" x14ac:dyDescent="0.25">
      <c r="A521">
        <v>520</v>
      </c>
      <c r="B521" s="1">
        <v>42560</v>
      </c>
      <c r="C521" s="1">
        <v>42759</v>
      </c>
      <c r="D521" t="s">
        <v>22</v>
      </c>
      <c r="E521" t="s">
        <v>24</v>
      </c>
      <c r="F521" s="2">
        <v>37</v>
      </c>
      <c r="G521" t="s">
        <v>11</v>
      </c>
      <c r="H521" s="3">
        <v>10013.68</v>
      </c>
      <c r="I521" s="3">
        <v>315827</v>
      </c>
      <c r="J521" s="3">
        <v>252661.6</v>
      </c>
      <c r="K521" s="3">
        <v>53151.719999999994</v>
      </c>
      <c r="L521" t="s">
        <v>18</v>
      </c>
      <c r="M521">
        <v>4.9000000000000004</v>
      </c>
    </row>
    <row r="522" spans="1:13" x14ac:dyDescent="0.25">
      <c r="A522">
        <v>521</v>
      </c>
      <c r="B522" s="1">
        <v>42560</v>
      </c>
      <c r="C522" s="1">
        <v>42712</v>
      </c>
      <c r="D522" t="s">
        <v>20</v>
      </c>
      <c r="E522" t="s">
        <v>24</v>
      </c>
      <c r="F522" s="2">
        <v>102</v>
      </c>
      <c r="G522" t="s">
        <v>11</v>
      </c>
      <c r="H522" s="3">
        <v>28527.200000000001</v>
      </c>
      <c r="I522" s="3">
        <v>776840</v>
      </c>
      <c r="J522" s="3">
        <v>621472</v>
      </c>
      <c r="K522" s="3">
        <v>126840.8</v>
      </c>
      <c r="L522" t="s">
        <v>19</v>
      </c>
      <c r="M522">
        <v>4.5</v>
      </c>
    </row>
    <row r="523" spans="1:13" x14ac:dyDescent="0.25">
      <c r="A523">
        <v>522</v>
      </c>
      <c r="B523" s="1">
        <v>42560</v>
      </c>
      <c r="C523" s="1">
        <v>42797</v>
      </c>
      <c r="D523" t="s">
        <v>23</v>
      </c>
      <c r="E523" t="s">
        <v>29</v>
      </c>
      <c r="F523" s="2">
        <v>218</v>
      </c>
      <c r="G523" t="s">
        <v>12</v>
      </c>
      <c r="H523" s="3">
        <v>50989</v>
      </c>
      <c r="I523" s="3">
        <v>1329885</v>
      </c>
      <c r="J523" s="3">
        <v>1063908</v>
      </c>
      <c r="K523" s="3">
        <v>214988</v>
      </c>
      <c r="L523" t="s">
        <v>14</v>
      </c>
      <c r="M523">
        <v>4.7</v>
      </c>
    </row>
    <row r="524" spans="1:13" x14ac:dyDescent="0.25">
      <c r="A524">
        <v>523</v>
      </c>
      <c r="B524" s="1">
        <v>42560</v>
      </c>
      <c r="C524" s="1">
        <v>42819</v>
      </c>
      <c r="D524" t="s">
        <v>23</v>
      </c>
      <c r="E524" t="s">
        <v>13</v>
      </c>
      <c r="F524" s="2">
        <v>264</v>
      </c>
      <c r="G524" t="s">
        <v>12</v>
      </c>
      <c r="H524" s="3">
        <v>56223.199999999997</v>
      </c>
      <c r="I524" s="3">
        <v>1465865</v>
      </c>
      <c r="J524" s="3">
        <v>1172692</v>
      </c>
      <c r="K524" s="3">
        <v>236949.8</v>
      </c>
      <c r="L524" t="s">
        <v>14</v>
      </c>
      <c r="M524">
        <v>4.7</v>
      </c>
    </row>
    <row r="525" spans="1:13" x14ac:dyDescent="0.25">
      <c r="A525">
        <v>524</v>
      </c>
      <c r="B525" s="1">
        <v>42561</v>
      </c>
      <c r="C525" s="1">
        <v>42910</v>
      </c>
      <c r="D525" t="s">
        <v>20</v>
      </c>
      <c r="E525" t="s">
        <v>27</v>
      </c>
      <c r="F525" s="2">
        <v>152</v>
      </c>
      <c r="G525" t="s">
        <v>12</v>
      </c>
      <c r="H525" s="3">
        <v>60803.040000000001</v>
      </c>
      <c r="I525" s="3">
        <v>1573061</v>
      </c>
      <c r="J525" s="3">
        <v>1258448.8</v>
      </c>
      <c r="K525" s="3">
        <v>253809.15999999995</v>
      </c>
      <c r="L525" t="s">
        <v>15</v>
      </c>
      <c r="M525">
        <v>4.5</v>
      </c>
    </row>
    <row r="526" spans="1:13" x14ac:dyDescent="0.25">
      <c r="A526">
        <v>525</v>
      </c>
      <c r="B526" s="1">
        <v>42561</v>
      </c>
      <c r="C526" s="1">
        <v>42744</v>
      </c>
      <c r="D526" t="s">
        <v>21</v>
      </c>
      <c r="E526" t="s">
        <v>13</v>
      </c>
      <c r="F526" s="2">
        <v>277</v>
      </c>
      <c r="G526" t="s">
        <v>12</v>
      </c>
      <c r="H526" s="3">
        <v>49337.4</v>
      </c>
      <c r="I526" s="3">
        <v>1285845</v>
      </c>
      <c r="J526" s="3">
        <v>1028676</v>
      </c>
      <c r="K526" s="3">
        <v>207831.6</v>
      </c>
      <c r="L526" t="s">
        <v>15</v>
      </c>
      <c r="M526">
        <v>4.2</v>
      </c>
    </row>
    <row r="527" spans="1:13" x14ac:dyDescent="0.25">
      <c r="A527">
        <v>526</v>
      </c>
      <c r="B527" s="1">
        <v>42562</v>
      </c>
      <c r="C527" s="1">
        <v>42801</v>
      </c>
      <c r="D527" t="s">
        <v>23</v>
      </c>
      <c r="E527" t="s">
        <v>25</v>
      </c>
      <c r="F527" s="2">
        <v>158</v>
      </c>
      <c r="G527" t="s">
        <v>12</v>
      </c>
      <c r="H527" s="3">
        <v>63042.16</v>
      </c>
      <c r="I527" s="3">
        <v>1630889</v>
      </c>
      <c r="J527" s="3">
        <v>1304711.2</v>
      </c>
      <c r="K527" s="3">
        <v>263135.64</v>
      </c>
      <c r="L527" t="s">
        <v>18</v>
      </c>
      <c r="M527">
        <v>4.3</v>
      </c>
    </row>
    <row r="528" spans="1:13" x14ac:dyDescent="0.25">
      <c r="A528">
        <v>527</v>
      </c>
      <c r="B528" s="1">
        <v>42562</v>
      </c>
      <c r="C528" s="1">
        <v>42687</v>
      </c>
      <c r="D528" t="s">
        <v>20</v>
      </c>
      <c r="E528" t="s">
        <v>27</v>
      </c>
      <c r="F528" s="2">
        <v>225</v>
      </c>
      <c r="G528" t="s">
        <v>12</v>
      </c>
      <c r="H528" s="3">
        <v>36210.239999999998</v>
      </c>
      <c r="I528" s="3">
        <v>972266</v>
      </c>
      <c r="J528" s="3">
        <v>777812.8</v>
      </c>
      <c r="K528" s="3">
        <v>158242.95999999996</v>
      </c>
      <c r="L528" t="s">
        <v>16</v>
      </c>
      <c r="M528">
        <v>3.7</v>
      </c>
    </row>
    <row r="529" spans="1:13" x14ac:dyDescent="0.25">
      <c r="A529">
        <v>528</v>
      </c>
      <c r="B529" s="1">
        <v>42563</v>
      </c>
      <c r="C529" s="1">
        <v>42770</v>
      </c>
      <c r="D529" t="s">
        <v>21</v>
      </c>
      <c r="E529" t="s">
        <v>26</v>
      </c>
      <c r="F529" s="2">
        <v>225</v>
      </c>
      <c r="G529" t="s">
        <v>12</v>
      </c>
      <c r="H529" s="3">
        <v>89809.600000000006</v>
      </c>
      <c r="I529" s="3">
        <v>2309525</v>
      </c>
      <c r="J529" s="3">
        <v>1847620</v>
      </c>
      <c r="K529" s="3">
        <v>372095.4</v>
      </c>
      <c r="L529" t="s">
        <v>16</v>
      </c>
      <c r="M529">
        <v>5</v>
      </c>
    </row>
    <row r="530" spans="1:13" x14ac:dyDescent="0.25">
      <c r="A530">
        <v>529</v>
      </c>
      <c r="B530" s="1">
        <v>42563</v>
      </c>
      <c r="C530" s="1">
        <v>42900</v>
      </c>
      <c r="D530" t="s">
        <v>21</v>
      </c>
      <c r="E530" t="s">
        <v>24</v>
      </c>
      <c r="F530" s="2">
        <v>203</v>
      </c>
      <c r="G530" t="s">
        <v>12</v>
      </c>
      <c r="H530" s="3">
        <v>55644.08</v>
      </c>
      <c r="I530" s="3">
        <v>1451087</v>
      </c>
      <c r="J530" s="3">
        <v>1160869.6000000001</v>
      </c>
      <c r="K530" s="3">
        <v>234573.31999999989</v>
      </c>
      <c r="L530" t="s">
        <v>14</v>
      </c>
      <c r="M530">
        <v>4.2</v>
      </c>
    </row>
    <row r="531" spans="1:13" x14ac:dyDescent="0.25">
      <c r="A531">
        <v>530</v>
      </c>
      <c r="B531" s="1">
        <v>42563</v>
      </c>
      <c r="C531" s="1">
        <v>42898</v>
      </c>
      <c r="D531" t="s">
        <v>20</v>
      </c>
      <c r="E531" t="s">
        <v>27</v>
      </c>
      <c r="F531" s="2">
        <v>80</v>
      </c>
      <c r="G531" t="s">
        <v>11</v>
      </c>
      <c r="H531" s="3">
        <v>16794.240000000002</v>
      </c>
      <c r="I531" s="3">
        <v>483341</v>
      </c>
      <c r="J531" s="3">
        <v>386672.8</v>
      </c>
      <c r="K531" s="3">
        <v>79873.960000000006</v>
      </c>
      <c r="L531" t="s">
        <v>18</v>
      </c>
      <c r="M531">
        <v>4.8</v>
      </c>
    </row>
    <row r="532" spans="1:13" x14ac:dyDescent="0.25">
      <c r="A532">
        <v>531</v>
      </c>
      <c r="B532" s="1">
        <v>42563</v>
      </c>
      <c r="C532" s="1">
        <v>42900</v>
      </c>
      <c r="D532" t="s">
        <v>22</v>
      </c>
      <c r="E532" t="s">
        <v>28</v>
      </c>
      <c r="F532" s="2">
        <v>108</v>
      </c>
      <c r="G532" t="s">
        <v>11</v>
      </c>
      <c r="H532" s="3">
        <v>27722.720000000001</v>
      </c>
      <c r="I532" s="3">
        <v>749253</v>
      </c>
      <c r="J532" s="3">
        <v>599402.4</v>
      </c>
      <c r="K532" s="3">
        <v>122127.87999999998</v>
      </c>
      <c r="L532" t="s">
        <v>14</v>
      </c>
      <c r="M532">
        <v>3.7</v>
      </c>
    </row>
    <row r="533" spans="1:13" x14ac:dyDescent="0.25">
      <c r="A533">
        <v>532</v>
      </c>
      <c r="B533" s="1">
        <v>42563</v>
      </c>
      <c r="C533" s="1">
        <v>42786</v>
      </c>
      <c r="D533" t="s">
        <v>23</v>
      </c>
      <c r="E533" t="s">
        <v>24</v>
      </c>
      <c r="F533" s="2">
        <v>176</v>
      </c>
      <c r="G533" t="s">
        <v>12</v>
      </c>
      <c r="H533" s="3">
        <v>39337.040000000001</v>
      </c>
      <c r="I533" s="3">
        <v>1036211</v>
      </c>
      <c r="J533" s="3">
        <v>828968.8</v>
      </c>
      <c r="K533" s="3">
        <v>167905.15999999995</v>
      </c>
      <c r="L533" t="s">
        <v>14</v>
      </c>
      <c r="M533">
        <v>3.6</v>
      </c>
    </row>
    <row r="534" spans="1:13" x14ac:dyDescent="0.25">
      <c r="A534">
        <v>533</v>
      </c>
      <c r="B534" s="1">
        <v>42564</v>
      </c>
      <c r="C534" s="1">
        <v>42837</v>
      </c>
      <c r="D534" t="s">
        <v>23</v>
      </c>
      <c r="E534" t="s">
        <v>13</v>
      </c>
      <c r="F534" s="2">
        <v>68</v>
      </c>
      <c r="G534" t="s">
        <v>11</v>
      </c>
      <c r="H534" s="3">
        <v>23117.96</v>
      </c>
      <c r="I534" s="3">
        <v>642509</v>
      </c>
      <c r="J534" s="3">
        <v>514007.2</v>
      </c>
      <c r="K534" s="3">
        <v>105383.84</v>
      </c>
      <c r="L534" t="s">
        <v>14</v>
      </c>
      <c r="M534">
        <v>5</v>
      </c>
    </row>
    <row r="535" spans="1:13" x14ac:dyDescent="0.25">
      <c r="A535">
        <v>534</v>
      </c>
      <c r="B535" s="1">
        <v>42565</v>
      </c>
      <c r="C535" s="1">
        <v>42731</v>
      </c>
      <c r="D535" t="s">
        <v>23</v>
      </c>
      <c r="E535" t="s">
        <v>25</v>
      </c>
      <c r="F535" s="2">
        <v>59</v>
      </c>
      <c r="G535" t="s">
        <v>11</v>
      </c>
      <c r="H535" s="3">
        <v>15178.64</v>
      </c>
      <c r="I535" s="3">
        <v>446801</v>
      </c>
      <c r="J535" s="3">
        <v>357440.8</v>
      </c>
      <c r="K535" s="3">
        <v>74181.560000000012</v>
      </c>
      <c r="L535" t="s">
        <v>19</v>
      </c>
      <c r="M535">
        <v>4.9000000000000004</v>
      </c>
    </row>
    <row r="536" spans="1:13" x14ac:dyDescent="0.25">
      <c r="A536">
        <v>535</v>
      </c>
      <c r="B536" s="1">
        <v>42565</v>
      </c>
      <c r="C536" s="1">
        <v>42862</v>
      </c>
      <c r="D536" t="s">
        <v>21</v>
      </c>
      <c r="E536" t="s">
        <v>29</v>
      </c>
      <c r="F536" s="2">
        <v>276</v>
      </c>
      <c r="G536" t="s">
        <v>12</v>
      </c>
      <c r="H536" s="3">
        <v>68363.199999999997</v>
      </c>
      <c r="I536" s="3">
        <v>1767165</v>
      </c>
      <c r="J536" s="3">
        <v>1413732</v>
      </c>
      <c r="K536" s="3">
        <v>285069.8</v>
      </c>
      <c r="L536" t="s">
        <v>14</v>
      </c>
      <c r="M536">
        <v>3.7</v>
      </c>
    </row>
    <row r="537" spans="1:13" x14ac:dyDescent="0.25">
      <c r="A537">
        <v>536</v>
      </c>
      <c r="B537" s="1">
        <v>42565</v>
      </c>
      <c r="C537" s="1">
        <v>42916</v>
      </c>
      <c r="D537" t="s">
        <v>22</v>
      </c>
      <c r="E537" t="s">
        <v>28</v>
      </c>
      <c r="F537" s="2">
        <v>191</v>
      </c>
      <c r="G537" t="s">
        <v>12</v>
      </c>
      <c r="H537" s="3">
        <v>50788.92</v>
      </c>
      <c r="I537" s="3">
        <v>1328608</v>
      </c>
      <c r="J537" s="3">
        <v>1062886.3999999999</v>
      </c>
      <c r="K537" s="3">
        <v>214932.68000000011</v>
      </c>
      <c r="L537" t="s">
        <v>16</v>
      </c>
      <c r="M537">
        <v>3.6</v>
      </c>
    </row>
    <row r="538" spans="1:13" x14ac:dyDescent="0.25">
      <c r="A538">
        <v>537</v>
      </c>
      <c r="B538" s="1">
        <v>42565</v>
      </c>
      <c r="C538" s="1">
        <v>42855</v>
      </c>
      <c r="D538" t="s">
        <v>23</v>
      </c>
      <c r="E538" t="s">
        <v>26</v>
      </c>
      <c r="F538" s="2">
        <v>110</v>
      </c>
      <c r="G538" t="s">
        <v>12</v>
      </c>
      <c r="H538" s="3">
        <v>40328.839999999997</v>
      </c>
      <c r="I538" s="3">
        <v>1067606</v>
      </c>
      <c r="J538" s="3">
        <v>854084.8</v>
      </c>
      <c r="K538" s="3">
        <v>173192.35999999996</v>
      </c>
      <c r="L538" t="s">
        <v>19</v>
      </c>
      <c r="M538">
        <v>4.9000000000000004</v>
      </c>
    </row>
    <row r="539" spans="1:13" x14ac:dyDescent="0.25">
      <c r="A539">
        <v>538</v>
      </c>
      <c r="B539" s="1">
        <v>42566</v>
      </c>
      <c r="C539" s="1">
        <v>42803</v>
      </c>
      <c r="D539" t="s">
        <v>21</v>
      </c>
      <c r="E539" t="s">
        <v>27</v>
      </c>
      <c r="F539" s="2">
        <v>273</v>
      </c>
      <c r="G539" t="s">
        <v>12</v>
      </c>
      <c r="H539" s="3">
        <v>85345.36</v>
      </c>
      <c r="I539" s="3">
        <v>2197619</v>
      </c>
      <c r="J539" s="3">
        <v>1758095.2</v>
      </c>
      <c r="K539" s="3">
        <v>354178.44000000006</v>
      </c>
      <c r="L539" t="s">
        <v>18</v>
      </c>
      <c r="M539">
        <v>3.8</v>
      </c>
    </row>
    <row r="540" spans="1:13" x14ac:dyDescent="0.25">
      <c r="A540">
        <v>539</v>
      </c>
      <c r="B540" s="1">
        <v>42567</v>
      </c>
      <c r="C540" s="1">
        <v>42927</v>
      </c>
      <c r="D540" t="s">
        <v>21</v>
      </c>
      <c r="E540" t="s">
        <v>24</v>
      </c>
      <c r="F540" s="2">
        <v>105</v>
      </c>
      <c r="G540" t="s">
        <v>11</v>
      </c>
      <c r="H540" s="3">
        <v>29803.72</v>
      </c>
      <c r="I540" s="3">
        <v>798278</v>
      </c>
      <c r="J540" s="3">
        <v>638622.4</v>
      </c>
      <c r="K540" s="3">
        <v>129851.87999999998</v>
      </c>
      <c r="L540" t="s">
        <v>18</v>
      </c>
      <c r="M540">
        <v>4.7</v>
      </c>
    </row>
    <row r="541" spans="1:13" x14ac:dyDescent="0.25">
      <c r="A541">
        <v>540</v>
      </c>
      <c r="B541" s="1">
        <v>42567</v>
      </c>
      <c r="C541" s="1">
        <v>42760</v>
      </c>
      <c r="D541" t="s">
        <v>21</v>
      </c>
      <c r="E541" t="s">
        <v>28</v>
      </c>
      <c r="F541" s="2">
        <v>83</v>
      </c>
      <c r="G541" t="s">
        <v>11</v>
      </c>
      <c r="H541" s="3">
        <v>21586.48</v>
      </c>
      <c r="I541" s="3">
        <v>602072</v>
      </c>
      <c r="J541" s="3">
        <v>481657.59999999998</v>
      </c>
      <c r="K541" s="3">
        <v>98827.920000000027</v>
      </c>
      <c r="L541" t="s">
        <v>16</v>
      </c>
      <c r="M541">
        <v>4</v>
      </c>
    </row>
    <row r="542" spans="1:13" x14ac:dyDescent="0.25">
      <c r="A542">
        <v>541</v>
      </c>
      <c r="B542" s="1">
        <v>42567</v>
      </c>
      <c r="C542" s="1">
        <v>42906</v>
      </c>
      <c r="D542" t="s">
        <v>22</v>
      </c>
      <c r="E542" t="s">
        <v>28</v>
      </c>
      <c r="F542" s="2">
        <v>58</v>
      </c>
      <c r="G542" t="s">
        <v>11</v>
      </c>
      <c r="H542" s="3">
        <v>9320.84</v>
      </c>
      <c r="I542" s="3">
        <v>288081</v>
      </c>
      <c r="J542" s="3">
        <v>230464.8</v>
      </c>
      <c r="K542" s="3">
        <v>48295.360000000015</v>
      </c>
      <c r="L542" t="s">
        <v>17</v>
      </c>
      <c r="M542">
        <v>4.4000000000000004</v>
      </c>
    </row>
    <row r="543" spans="1:13" x14ac:dyDescent="0.25">
      <c r="A543">
        <v>542</v>
      </c>
      <c r="B543" s="1">
        <v>42567</v>
      </c>
      <c r="C543" s="1">
        <v>42667</v>
      </c>
      <c r="D543" t="s">
        <v>23</v>
      </c>
      <c r="E543" t="s">
        <v>28</v>
      </c>
      <c r="F543" s="2">
        <v>178</v>
      </c>
      <c r="G543" t="s">
        <v>12</v>
      </c>
      <c r="H543" s="3">
        <v>59651.72</v>
      </c>
      <c r="I543" s="3">
        <v>1551453</v>
      </c>
      <c r="J543" s="3">
        <v>1241162.3999999999</v>
      </c>
      <c r="K543" s="3">
        <v>250638.88000000009</v>
      </c>
      <c r="L543" t="s">
        <v>18</v>
      </c>
      <c r="M543">
        <v>4.5</v>
      </c>
    </row>
    <row r="544" spans="1:13" x14ac:dyDescent="0.25">
      <c r="A544">
        <v>543</v>
      </c>
      <c r="B544" s="1">
        <v>42567</v>
      </c>
      <c r="C544" s="1">
        <v>42756</v>
      </c>
      <c r="D544" t="s">
        <v>21</v>
      </c>
      <c r="E544" t="s">
        <v>28</v>
      </c>
      <c r="F544" s="2">
        <v>97</v>
      </c>
      <c r="G544" t="s">
        <v>11</v>
      </c>
      <c r="H544" s="3">
        <v>21791.439999999999</v>
      </c>
      <c r="I544" s="3">
        <v>600671</v>
      </c>
      <c r="J544" s="3">
        <v>480536.8</v>
      </c>
      <c r="K544" s="3">
        <v>98342.760000000009</v>
      </c>
      <c r="L544" t="s">
        <v>15</v>
      </c>
      <c r="M544">
        <v>3.6</v>
      </c>
    </row>
    <row r="545" spans="1:13" x14ac:dyDescent="0.25">
      <c r="A545">
        <v>544</v>
      </c>
      <c r="B545" s="1">
        <v>42568</v>
      </c>
      <c r="C545" s="1">
        <v>42804</v>
      </c>
      <c r="D545" t="s">
        <v>20</v>
      </c>
      <c r="E545" t="s">
        <v>28</v>
      </c>
      <c r="F545" s="2">
        <v>74</v>
      </c>
      <c r="G545" t="s">
        <v>11</v>
      </c>
      <c r="H545" s="3">
        <v>26938.240000000002</v>
      </c>
      <c r="I545" s="3">
        <v>730816</v>
      </c>
      <c r="J545" s="3">
        <v>584652.80000000005</v>
      </c>
      <c r="K545" s="3">
        <v>119224.95999999995</v>
      </c>
      <c r="L545" t="s">
        <v>14</v>
      </c>
      <c r="M545">
        <v>4.7</v>
      </c>
    </row>
    <row r="546" spans="1:13" x14ac:dyDescent="0.25">
      <c r="A546">
        <v>545</v>
      </c>
      <c r="B546" s="1">
        <v>42569</v>
      </c>
      <c r="C546" s="1">
        <v>42806</v>
      </c>
      <c r="D546" t="s">
        <v>21</v>
      </c>
      <c r="E546" t="s">
        <v>29</v>
      </c>
      <c r="F546" s="2">
        <v>78</v>
      </c>
      <c r="G546" t="s">
        <v>11</v>
      </c>
      <c r="H546" s="3">
        <v>15615.92</v>
      </c>
      <c r="I546" s="3">
        <v>455833</v>
      </c>
      <c r="J546" s="3">
        <v>364666.4</v>
      </c>
      <c r="K546" s="3">
        <v>75550.679999999978</v>
      </c>
      <c r="L546" t="s">
        <v>17</v>
      </c>
      <c r="M546">
        <v>4.4000000000000004</v>
      </c>
    </row>
    <row r="547" spans="1:13" x14ac:dyDescent="0.25">
      <c r="A547">
        <v>546</v>
      </c>
      <c r="B547" s="1">
        <v>42571</v>
      </c>
      <c r="C547" s="1">
        <v>42802</v>
      </c>
      <c r="D547" t="s">
        <v>22</v>
      </c>
      <c r="E547" t="s">
        <v>26</v>
      </c>
      <c r="F547" s="2">
        <v>61</v>
      </c>
      <c r="G547" t="s">
        <v>11</v>
      </c>
      <c r="H547" s="3">
        <v>24009.8</v>
      </c>
      <c r="I547" s="3">
        <v>664580</v>
      </c>
      <c r="J547" s="3">
        <v>531664</v>
      </c>
      <c r="K547" s="3">
        <v>108906.2</v>
      </c>
      <c r="L547" t="s">
        <v>18</v>
      </c>
      <c r="M547">
        <v>3.9</v>
      </c>
    </row>
    <row r="548" spans="1:13" x14ac:dyDescent="0.25">
      <c r="A548">
        <v>547</v>
      </c>
      <c r="B548" s="1">
        <v>42571</v>
      </c>
      <c r="C548" s="1">
        <v>42717</v>
      </c>
      <c r="D548" t="s">
        <v>21</v>
      </c>
      <c r="E548" t="s">
        <v>25</v>
      </c>
      <c r="F548" s="2">
        <v>195</v>
      </c>
      <c r="G548" t="s">
        <v>12</v>
      </c>
      <c r="H548" s="3">
        <v>38855</v>
      </c>
      <c r="I548" s="3">
        <v>1036485</v>
      </c>
      <c r="J548" s="3">
        <v>829188</v>
      </c>
      <c r="K548" s="3">
        <v>168442</v>
      </c>
      <c r="L548" t="s">
        <v>17</v>
      </c>
      <c r="M548">
        <v>4.4000000000000004</v>
      </c>
    </row>
    <row r="549" spans="1:13" x14ac:dyDescent="0.25">
      <c r="A549">
        <v>548</v>
      </c>
      <c r="B549" s="1">
        <v>42571</v>
      </c>
      <c r="C549" s="1">
        <v>42664</v>
      </c>
      <c r="D549" t="s">
        <v>23</v>
      </c>
      <c r="E549" t="s">
        <v>13</v>
      </c>
      <c r="F549" s="2">
        <v>280</v>
      </c>
      <c r="G549" t="s">
        <v>12</v>
      </c>
      <c r="H549" s="3">
        <v>92217.68</v>
      </c>
      <c r="I549" s="3">
        <v>2366527</v>
      </c>
      <c r="J549" s="3">
        <v>1893221.6</v>
      </c>
      <c r="K549" s="3">
        <v>381087.71999999991</v>
      </c>
      <c r="L549" t="s">
        <v>14</v>
      </c>
      <c r="M549">
        <v>4.5</v>
      </c>
    </row>
    <row r="550" spans="1:13" x14ac:dyDescent="0.25">
      <c r="A550">
        <v>549</v>
      </c>
      <c r="B550" s="1">
        <v>42571</v>
      </c>
      <c r="C550" s="1">
        <v>42913</v>
      </c>
      <c r="D550" t="s">
        <v>20</v>
      </c>
      <c r="E550" t="s">
        <v>27</v>
      </c>
      <c r="F550" s="2">
        <v>230</v>
      </c>
      <c r="G550" t="s">
        <v>12</v>
      </c>
      <c r="H550" s="3">
        <v>55169.52</v>
      </c>
      <c r="I550" s="3">
        <v>1440473</v>
      </c>
      <c r="J550" s="3">
        <v>1152378.3999999999</v>
      </c>
      <c r="K550" s="3">
        <v>232925.0800000001</v>
      </c>
      <c r="L550" t="s">
        <v>14</v>
      </c>
      <c r="M550">
        <v>4.3</v>
      </c>
    </row>
    <row r="551" spans="1:13" x14ac:dyDescent="0.25">
      <c r="A551">
        <v>550</v>
      </c>
      <c r="B551" s="1">
        <v>42572</v>
      </c>
      <c r="C551" s="1">
        <v>42852</v>
      </c>
      <c r="D551" t="s">
        <v>21</v>
      </c>
      <c r="E551" t="s">
        <v>26</v>
      </c>
      <c r="F551" s="2">
        <v>269</v>
      </c>
      <c r="G551" t="s">
        <v>12</v>
      </c>
      <c r="H551" s="3">
        <v>67253</v>
      </c>
      <c r="I551" s="3">
        <v>1747810</v>
      </c>
      <c r="J551" s="3">
        <v>1398248</v>
      </c>
      <c r="K551" s="3">
        <v>282309</v>
      </c>
      <c r="L551" t="s">
        <v>19</v>
      </c>
      <c r="M551">
        <v>4.2</v>
      </c>
    </row>
    <row r="552" spans="1:13" x14ac:dyDescent="0.25">
      <c r="A552">
        <v>551</v>
      </c>
      <c r="B552" s="1">
        <v>42572</v>
      </c>
      <c r="C552" s="1">
        <v>42674</v>
      </c>
      <c r="D552" t="s">
        <v>21</v>
      </c>
      <c r="E552" t="s">
        <v>24</v>
      </c>
      <c r="F552" s="2">
        <v>230</v>
      </c>
      <c r="G552" t="s">
        <v>12</v>
      </c>
      <c r="H552" s="3">
        <v>87622.080000000002</v>
      </c>
      <c r="I552" s="3">
        <v>2251487</v>
      </c>
      <c r="J552" s="3">
        <v>1801189.6</v>
      </c>
      <c r="K552" s="3">
        <v>362675.31999999989</v>
      </c>
      <c r="L552" t="s">
        <v>15</v>
      </c>
      <c r="M552">
        <v>3.6</v>
      </c>
    </row>
    <row r="553" spans="1:13" x14ac:dyDescent="0.25">
      <c r="A553">
        <v>552</v>
      </c>
      <c r="B553" s="1">
        <v>42572</v>
      </c>
      <c r="C553" s="1">
        <v>42912</v>
      </c>
      <c r="D553" t="s">
        <v>23</v>
      </c>
      <c r="E553" t="s">
        <v>28</v>
      </c>
      <c r="F553" s="2">
        <v>119</v>
      </c>
      <c r="G553" t="s">
        <v>12</v>
      </c>
      <c r="H553" s="3">
        <v>31165</v>
      </c>
      <c r="I553" s="3">
        <v>841110</v>
      </c>
      <c r="J553" s="3">
        <v>672888</v>
      </c>
      <c r="K553" s="3">
        <v>137057</v>
      </c>
      <c r="L553" t="s">
        <v>14</v>
      </c>
      <c r="M553">
        <v>3.7</v>
      </c>
    </row>
    <row r="554" spans="1:13" x14ac:dyDescent="0.25">
      <c r="A554">
        <v>553</v>
      </c>
      <c r="B554" s="1">
        <v>42572</v>
      </c>
      <c r="C554" s="1">
        <v>42719</v>
      </c>
      <c r="D554" t="s">
        <v>20</v>
      </c>
      <c r="E554" t="s">
        <v>13</v>
      </c>
      <c r="F554" s="2">
        <v>204</v>
      </c>
      <c r="G554" t="s">
        <v>12</v>
      </c>
      <c r="H554" s="3">
        <v>61948.160000000003</v>
      </c>
      <c r="I554" s="3">
        <v>1605239</v>
      </c>
      <c r="J554" s="3">
        <v>1284191.2</v>
      </c>
      <c r="K554" s="3">
        <v>259099.64000000004</v>
      </c>
      <c r="L554" t="s">
        <v>15</v>
      </c>
      <c r="M554">
        <v>4.2</v>
      </c>
    </row>
    <row r="555" spans="1:13" x14ac:dyDescent="0.25">
      <c r="A555">
        <v>554</v>
      </c>
      <c r="B555" s="1">
        <v>42572</v>
      </c>
      <c r="C555" s="1">
        <v>42695</v>
      </c>
      <c r="D555" t="s">
        <v>22</v>
      </c>
      <c r="E555" t="s">
        <v>28</v>
      </c>
      <c r="F555" s="2">
        <v>135</v>
      </c>
      <c r="G555" t="s">
        <v>12</v>
      </c>
      <c r="H555" s="3">
        <v>33563.360000000001</v>
      </c>
      <c r="I555" s="3">
        <v>903494</v>
      </c>
      <c r="J555" s="3">
        <v>722795.2</v>
      </c>
      <c r="K555" s="3">
        <v>147135.44000000006</v>
      </c>
      <c r="L555" t="s">
        <v>16</v>
      </c>
      <c r="M555">
        <v>4.2</v>
      </c>
    </row>
    <row r="556" spans="1:13" x14ac:dyDescent="0.25">
      <c r="A556">
        <v>555</v>
      </c>
      <c r="B556" s="1">
        <v>42573</v>
      </c>
      <c r="C556" s="1">
        <v>42729</v>
      </c>
      <c r="D556" t="s">
        <v>23</v>
      </c>
      <c r="E556" t="s">
        <v>28</v>
      </c>
      <c r="F556" s="2">
        <v>131</v>
      </c>
      <c r="G556" t="s">
        <v>12</v>
      </c>
      <c r="H556" s="3">
        <v>50939.92</v>
      </c>
      <c r="I556" s="3">
        <v>1326233</v>
      </c>
      <c r="J556" s="3">
        <v>1060986.3999999999</v>
      </c>
      <c r="K556" s="3">
        <v>214306.68000000011</v>
      </c>
      <c r="L556" t="s">
        <v>19</v>
      </c>
      <c r="M556">
        <v>4.5</v>
      </c>
    </row>
    <row r="557" spans="1:13" x14ac:dyDescent="0.25">
      <c r="A557">
        <v>556</v>
      </c>
      <c r="B557" s="1">
        <v>42573</v>
      </c>
      <c r="C557" s="1">
        <v>42774</v>
      </c>
      <c r="D557" t="s">
        <v>23</v>
      </c>
      <c r="E557" t="s">
        <v>29</v>
      </c>
      <c r="F557" s="2">
        <v>52</v>
      </c>
      <c r="G557" t="s">
        <v>11</v>
      </c>
      <c r="H557" s="3">
        <v>21581.68</v>
      </c>
      <c r="I557" s="3">
        <v>603977</v>
      </c>
      <c r="J557" s="3">
        <v>483181.6</v>
      </c>
      <c r="K557" s="3">
        <v>99213.72000000003</v>
      </c>
      <c r="L557" t="s">
        <v>14</v>
      </c>
      <c r="M557">
        <v>4</v>
      </c>
    </row>
    <row r="558" spans="1:13" x14ac:dyDescent="0.25">
      <c r="A558">
        <v>557</v>
      </c>
      <c r="B558" s="1">
        <v>42574</v>
      </c>
      <c r="C558" s="1">
        <v>42839</v>
      </c>
      <c r="D558" t="s">
        <v>23</v>
      </c>
      <c r="E558" t="s">
        <v>29</v>
      </c>
      <c r="F558" s="2">
        <v>195</v>
      </c>
      <c r="G558" t="s">
        <v>12</v>
      </c>
      <c r="H558" s="3">
        <v>75855.679999999993</v>
      </c>
      <c r="I558" s="3">
        <v>1952927</v>
      </c>
      <c r="J558" s="3">
        <v>1562341.6</v>
      </c>
      <c r="K558" s="3">
        <v>314729.71999999991</v>
      </c>
      <c r="L558" t="s">
        <v>16</v>
      </c>
      <c r="M558">
        <v>4.7</v>
      </c>
    </row>
    <row r="559" spans="1:13" x14ac:dyDescent="0.25">
      <c r="A559">
        <v>558</v>
      </c>
      <c r="B559" s="1">
        <v>42575</v>
      </c>
      <c r="C559" s="1">
        <v>42802</v>
      </c>
      <c r="D559" t="s">
        <v>21</v>
      </c>
      <c r="E559" t="s">
        <v>29</v>
      </c>
      <c r="F559" s="2">
        <v>241</v>
      </c>
      <c r="G559" t="s">
        <v>12</v>
      </c>
      <c r="H559" s="3">
        <v>74174.48</v>
      </c>
      <c r="I559" s="3">
        <v>1911497</v>
      </c>
      <c r="J559" s="3">
        <v>1529197.6</v>
      </c>
      <c r="K559" s="3">
        <v>308124.91999999993</v>
      </c>
      <c r="L559" t="s">
        <v>19</v>
      </c>
      <c r="M559">
        <v>4.7</v>
      </c>
    </row>
    <row r="560" spans="1:13" x14ac:dyDescent="0.25">
      <c r="A560">
        <v>559</v>
      </c>
      <c r="B560" s="1">
        <v>42575</v>
      </c>
      <c r="C560" s="1">
        <v>42669</v>
      </c>
      <c r="D560" t="s">
        <v>21</v>
      </c>
      <c r="E560" t="s">
        <v>25</v>
      </c>
      <c r="F560" s="2">
        <v>185</v>
      </c>
      <c r="G560" t="s">
        <v>12</v>
      </c>
      <c r="H560" s="3">
        <v>62713.16</v>
      </c>
      <c r="I560" s="3">
        <v>1626589</v>
      </c>
      <c r="J560" s="3">
        <v>1301271.2</v>
      </c>
      <c r="K560" s="3">
        <v>262604.64</v>
      </c>
      <c r="L560" t="s">
        <v>15</v>
      </c>
      <c r="M560">
        <v>3.8</v>
      </c>
    </row>
    <row r="561" spans="1:13" x14ac:dyDescent="0.25">
      <c r="A561">
        <v>560</v>
      </c>
      <c r="B561" s="1">
        <v>42576</v>
      </c>
      <c r="C561" s="1">
        <v>42705</v>
      </c>
      <c r="D561" t="s">
        <v>21</v>
      </c>
      <c r="E561" t="s">
        <v>29</v>
      </c>
      <c r="F561" s="2">
        <v>281</v>
      </c>
      <c r="G561" t="s">
        <v>12</v>
      </c>
      <c r="H561" s="3">
        <v>55337</v>
      </c>
      <c r="I561" s="3">
        <v>1448660</v>
      </c>
      <c r="J561" s="3">
        <v>1158928</v>
      </c>
      <c r="K561" s="3">
        <v>234395</v>
      </c>
      <c r="L561" t="s">
        <v>15</v>
      </c>
      <c r="M561">
        <v>3.9</v>
      </c>
    </row>
    <row r="562" spans="1:13" x14ac:dyDescent="0.25">
      <c r="A562">
        <v>561</v>
      </c>
      <c r="B562" s="1">
        <v>42576</v>
      </c>
      <c r="C562" s="1">
        <v>42917</v>
      </c>
      <c r="D562" t="s">
        <v>20</v>
      </c>
      <c r="E562" t="s">
        <v>24</v>
      </c>
      <c r="F562" s="2">
        <v>46</v>
      </c>
      <c r="G562" t="s">
        <v>11</v>
      </c>
      <c r="H562" s="3">
        <v>10560.64</v>
      </c>
      <c r="I562" s="3">
        <v>317226</v>
      </c>
      <c r="J562" s="3">
        <v>253780.8</v>
      </c>
      <c r="K562" s="3">
        <v>52884.560000000012</v>
      </c>
      <c r="L562" t="s">
        <v>17</v>
      </c>
      <c r="M562">
        <v>4.0999999999999996</v>
      </c>
    </row>
    <row r="563" spans="1:13" x14ac:dyDescent="0.25">
      <c r="A563">
        <v>562</v>
      </c>
      <c r="B563" s="1">
        <v>42576</v>
      </c>
      <c r="C563" s="1">
        <v>42907</v>
      </c>
      <c r="D563" t="s">
        <v>22</v>
      </c>
      <c r="E563" t="s">
        <v>25</v>
      </c>
      <c r="F563" s="2">
        <v>154</v>
      </c>
      <c r="G563" t="s">
        <v>12</v>
      </c>
      <c r="H563" s="3">
        <v>37210.04</v>
      </c>
      <c r="I563" s="3">
        <v>997011</v>
      </c>
      <c r="J563" s="3">
        <v>797608.8</v>
      </c>
      <c r="K563" s="3">
        <v>162192.15999999995</v>
      </c>
      <c r="L563" t="s">
        <v>16</v>
      </c>
      <c r="M563">
        <v>4.7</v>
      </c>
    </row>
    <row r="564" spans="1:13" x14ac:dyDescent="0.25">
      <c r="A564">
        <v>563</v>
      </c>
      <c r="B564" s="1">
        <v>42576</v>
      </c>
      <c r="C564" s="1">
        <v>42852</v>
      </c>
      <c r="D564" t="s">
        <v>22</v>
      </c>
      <c r="E564" t="s">
        <v>28</v>
      </c>
      <c r="F564" s="2">
        <v>231</v>
      </c>
      <c r="G564" t="s">
        <v>12</v>
      </c>
      <c r="H564" s="3">
        <v>49789.64</v>
      </c>
      <c r="I564" s="3">
        <v>1308701</v>
      </c>
      <c r="J564" s="3">
        <v>1046960.8</v>
      </c>
      <c r="K564" s="3">
        <v>211950.55999999994</v>
      </c>
      <c r="L564" t="s">
        <v>17</v>
      </c>
      <c r="M564">
        <v>3.7</v>
      </c>
    </row>
    <row r="565" spans="1:13" x14ac:dyDescent="0.25">
      <c r="A565">
        <v>564</v>
      </c>
      <c r="B565" s="1">
        <v>42576</v>
      </c>
      <c r="C565" s="1">
        <v>42855</v>
      </c>
      <c r="D565" t="s">
        <v>20</v>
      </c>
      <c r="E565" t="s">
        <v>28</v>
      </c>
      <c r="F565" s="2">
        <v>106</v>
      </c>
      <c r="G565" t="s">
        <v>11</v>
      </c>
      <c r="H565" s="3">
        <v>19761.72</v>
      </c>
      <c r="I565" s="3">
        <v>550453</v>
      </c>
      <c r="J565" s="3">
        <v>440362.4</v>
      </c>
      <c r="K565" s="3">
        <v>90328.879999999976</v>
      </c>
      <c r="L565" t="s">
        <v>17</v>
      </c>
      <c r="M565">
        <v>4.5</v>
      </c>
    </row>
    <row r="566" spans="1:13" x14ac:dyDescent="0.25">
      <c r="A566">
        <v>565</v>
      </c>
      <c r="B566" s="1">
        <v>42576</v>
      </c>
      <c r="C566" s="1">
        <v>42689</v>
      </c>
      <c r="D566" t="s">
        <v>22</v>
      </c>
      <c r="E566" t="s">
        <v>24</v>
      </c>
      <c r="F566" s="2">
        <v>142</v>
      </c>
      <c r="G566" t="s">
        <v>12</v>
      </c>
      <c r="H566" s="3">
        <v>35718.720000000001</v>
      </c>
      <c r="I566" s="3">
        <v>954353</v>
      </c>
      <c r="J566" s="3">
        <v>763482.4</v>
      </c>
      <c r="K566" s="3">
        <v>155151.87999999998</v>
      </c>
      <c r="L566" t="s">
        <v>16</v>
      </c>
      <c r="M566">
        <v>4</v>
      </c>
    </row>
    <row r="567" spans="1:13" x14ac:dyDescent="0.25">
      <c r="A567">
        <v>566</v>
      </c>
      <c r="B567" s="1">
        <v>42577</v>
      </c>
      <c r="C567" s="1">
        <v>42750</v>
      </c>
      <c r="D567" t="s">
        <v>20</v>
      </c>
      <c r="E567" t="s">
        <v>25</v>
      </c>
      <c r="F567" s="2">
        <v>261</v>
      </c>
      <c r="G567" t="s">
        <v>12</v>
      </c>
      <c r="H567" s="3">
        <v>74128</v>
      </c>
      <c r="I567" s="3">
        <v>1918435</v>
      </c>
      <c r="J567" s="3">
        <v>1534748</v>
      </c>
      <c r="K567" s="3">
        <v>309559</v>
      </c>
      <c r="L567" t="s">
        <v>18</v>
      </c>
      <c r="M567">
        <v>3.6</v>
      </c>
    </row>
    <row r="568" spans="1:13" x14ac:dyDescent="0.25">
      <c r="A568">
        <v>567</v>
      </c>
      <c r="B568" s="1">
        <v>42577</v>
      </c>
      <c r="C568" s="1">
        <v>42743</v>
      </c>
      <c r="D568" t="s">
        <v>22</v>
      </c>
      <c r="E568" t="s">
        <v>28</v>
      </c>
      <c r="F568" s="2">
        <v>92</v>
      </c>
      <c r="G568" t="s">
        <v>11</v>
      </c>
      <c r="H568" s="3">
        <v>18083.400000000001</v>
      </c>
      <c r="I568" s="3">
        <v>506395</v>
      </c>
      <c r="J568" s="3">
        <v>405116</v>
      </c>
      <c r="K568" s="3">
        <v>83195.600000000006</v>
      </c>
      <c r="L568" t="s">
        <v>16</v>
      </c>
      <c r="M568">
        <v>4.0999999999999996</v>
      </c>
    </row>
    <row r="569" spans="1:13" x14ac:dyDescent="0.25">
      <c r="A569">
        <v>568</v>
      </c>
      <c r="B569" s="1">
        <v>42577</v>
      </c>
      <c r="C569" s="1">
        <v>42866</v>
      </c>
      <c r="D569" t="s">
        <v>22</v>
      </c>
      <c r="E569" t="s">
        <v>29</v>
      </c>
      <c r="F569" s="2">
        <v>146</v>
      </c>
      <c r="G569" t="s">
        <v>11</v>
      </c>
      <c r="H569" s="3">
        <v>24926.959999999999</v>
      </c>
      <c r="I569" s="3">
        <v>676484</v>
      </c>
      <c r="J569" s="3">
        <v>541187.19999999995</v>
      </c>
      <c r="K569" s="3">
        <v>110369.84000000005</v>
      </c>
      <c r="L569" t="s">
        <v>19</v>
      </c>
      <c r="M569">
        <v>4.9000000000000004</v>
      </c>
    </row>
    <row r="570" spans="1:13" x14ac:dyDescent="0.25">
      <c r="A570">
        <v>569</v>
      </c>
      <c r="B570" s="1">
        <v>42577</v>
      </c>
      <c r="C570" s="1">
        <v>42801</v>
      </c>
      <c r="D570" t="s">
        <v>21</v>
      </c>
      <c r="E570" t="s">
        <v>26</v>
      </c>
      <c r="F570" s="2">
        <v>164</v>
      </c>
      <c r="G570" t="s">
        <v>11</v>
      </c>
      <c r="H570" s="3">
        <v>27245.919999999998</v>
      </c>
      <c r="I570" s="3">
        <v>736883</v>
      </c>
      <c r="J570" s="3">
        <v>589506.4</v>
      </c>
      <c r="K570" s="3">
        <v>120130.67999999998</v>
      </c>
      <c r="L570" t="s">
        <v>19</v>
      </c>
      <c r="M570">
        <v>4.2</v>
      </c>
    </row>
    <row r="571" spans="1:13" x14ac:dyDescent="0.25">
      <c r="A571">
        <v>570</v>
      </c>
      <c r="B571" s="1">
        <v>42578</v>
      </c>
      <c r="C571" s="1">
        <v>42758</v>
      </c>
      <c r="D571" t="s">
        <v>21</v>
      </c>
      <c r="E571" t="s">
        <v>28</v>
      </c>
      <c r="F571" s="2">
        <v>75</v>
      </c>
      <c r="G571" t="s">
        <v>11</v>
      </c>
      <c r="H571" s="3">
        <v>25457.32</v>
      </c>
      <c r="I571" s="3">
        <v>696293</v>
      </c>
      <c r="J571" s="3">
        <v>557034.4</v>
      </c>
      <c r="K571" s="3">
        <v>113801.27999999997</v>
      </c>
      <c r="L571" t="s">
        <v>15</v>
      </c>
      <c r="M571">
        <v>4.5999999999999996</v>
      </c>
    </row>
    <row r="572" spans="1:13" x14ac:dyDescent="0.25">
      <c r="A572">
        <v>571</v>
      </c>
      <c r="B572" s="1">
        <v>42578</v>
      </c>
      <c r="C572" s="1">
        <v>42724</v>
      </c>
      <c r="D572" t="s">
        <v>20</v>
      </c>
      <c r="E572" t="s">
        <v>24</v>
      </c>
      <c r="F572" s="2">
        <v>41</v>
      </c>
      <c r="G572" t="s">
        <v>11</v>
      </c>
      <c r="H572" s="3">
        <v>11752.44</v>
      </c>
      <c r="I572" s="3">
        <v>358521</v>
      </c>
      <c r="J572" s="3">
        <v>286816.8</v>
      </c>
      <c r="K572" s="3">
        <v>59951.760000000009</v>
      </c>
      <c r="L572" t="s">
        <v>17</v>
      </c>
      <c r="M572">
        <v>4</v>
      </c>
    </row>
    <row r="573" spans="1:13" x14ac:dyDescent="0.25">
      <c r="A573">
        <v>572</v>
      </c>
      <c r="B573" s="1">
        <v>42579</v>
      </c>
      <c r="C573" s="1">
        <v>42917</v>
      </c>
      <c r="D573" t="s">
        <v>21</v>
      </c>
      <c r="E573" t="s">
        <v>26</v>
      </c>
      <c r="F573" s="2">
        <v>229</v>
      </c>
      <c r="G573" t="s">
        <v>12</v>
      </c>
      <c r="H573" s="3">
        <v>75199.199999999997</v>
      </c>
      <c r="I573" s="3">
        <v>1933640</v>
      </c>
      <c r="J573" s="3">
        <v>1546912</v>
      </c>
      <c r="K573" s="3">
        <v>311528.8</v>
      </c>
      <c r="L573" t="s">
        <v>14</v>
      </c>
      <c r="M573">
        <v>4.2</v>
      </c>
    </row>
    <row r="574" spans="1:13" x14ac:dyDescent="0.25">
      <c r="A574">
        <v>573</v>
      </c>
      <c r="B574" s="1">
        <v>42579</v>
      </c>
      <c r="C574" s="1">
        <v>42718</v>
      </c>
      <c r="D574" t="s">
        <v>23</v>
      </c>
      <c r="E574" t="s">
        <v>27</v>
      </c>
      <c r="F574" s="2">
        <v>237</v>
      </c>
      <c r="G574" t="s">
        <v>12</v>
      </c>
      <c r="H574" s="3">
        <v>40657</v>
      </c>
      <c r="I574" s="3">
        <v>1075310</v>
      </c>
      <c r="J574" s="3">
        <v>860248</v>
      </c>
      <c r="K574" s="3">
        <v>174405</v>
      </c>
      <c r="L574" t="s">
        <v>17</v>
      </c>
      <c r="M574">
        <v>5</v>
      </c>
    </row>
    <row r="575" spans="1:13" x14ac:dyDescent="0.25">
      <c r="A575">
        <v>574</v>
      </c>
      <c r="B575" s="1">
        <v>42579</v>
      </c>
      <c r="C575" s="1">
        <v>42885</v>
      </c>
      <c r="D575" t="s">
        <v>21</v>
      </c>
      <c r="E575" t="s">
        <v>26</v>
      </c>
      <c r="F575" s="2">
        <v>51</v>
      </c>
      <c r="G575" t="s">
        <v>11</v>
      </c>
      <c r="H575" s="3">
        <v>9414.2000000000007</v>
      </c>
      <c r="I575" s="3">
        <v>287915</v>
      </c>
      <c r="J575" s="3">
        <v>230332</v>
      </c>
      <c r="K575" s="3">
        <v>48168.800000000003</v>
      </c>
      <c r="L575" t="s">
        <v>14</v>
      </c>
      <c r="M575">
        <v>3.6</v>
      </c>
    </row>
    <row r="576" spans="1:13" x14ac:dyDescent="0.25">
      <c r="A576">
        <v>575</v>
      </c>
      <c r="B576" s="1">
        <v>42579</v>
      </c>
      <c r="C576" s="1">
        <v>42846</v>
      </c>
      <c r="D576" t="s">
        <v>20</v>
      </c>
      <c r="E576" t="s">
        <v>24</v>
      </c>
      <c r="F576" s="2">
        <v>277</v>
      </c>
      <c r="G576" t="s">
        <v>12</v>
      </c>
      <c r="H576" s="3">
        <v>74153</v>
      </c>
      <c r="I576" s="3">
        <v>1913885</v>
      </c>
      <c r="J576" s="3">
        <v>1531108</v>
      </c>
      <c r="K576" s="3">
        <v>308624</v>
      </c>
      <c r="L576" t="s">
        <v>16</v>
      </c>
      <c r="M576">
        <v>4.7</v>
      </c>
    </row>
    <row r="577" spans="1:13" x14ac:dyDescent="0.25">
      <c r="A577">
        <v>576</v>
      </c>
      <c r="B577" s="1">
        <v>42580</v>
      </c>
      <c r="C577" s="1">
        <v>42786</v>
      </c>
      <c r="D577" t="s">
        <v>20</v>
      </c>
      <c r="E577" t="s">
        <v>28</v>
      </c>
      <c r="F577" s="2">
        <v>50</v>
      </c>
      <c r="G577" t="s">
        <v>11</v>
      </c>
      <c r="H577" s="3">
        <v>16533.919999999998</v>
      </c>
      <c r="I577" s="3">
        <v>471833</v>
      </c>
      <c r="J577" s="3">
        <v>377466.4</v>
      </c>
      <c r="K577" s="3">
        <v>77832.679999999978</v>
      </c>
      <c r="L577" t="s">
        <v>15</v>
      </c>
      <c r="M577">
        <v>4.5999999999999996</v>
      </c>
    </row>
    <row r="578" spans="1:13" x14ac:dyDescent="0.25">
      <c r="A578">
        <v>577</v>
      </c>
      <c r="B578" s="1">
        <v>42580</v>
      </c>
      <c r="C578" s="1">
        <v>42908</v>
      </c>
      <c r="D578" t="s">
        <v>23</v>
      </c>
      <c r="E578" t="s">
        <v>26</v>
      </c>
      <c r="F578" s="2">
        <v>150</v>
      </c>
      <c r="G578" t="s">
        <v>12</v>
      </c>
      <c r="H578" s="3">
        <v>34526.32</v>
      </c>
      <c r="I578" s="3">
        <v>926143</v>
      </c>
      <c r="J578" s="3">
        <v>740914.4</v>
      </c>
      <c r="K578" s="3">
        <v>150702.27999999997</v>
      </c>
      <c r="L578" t="s">
        <v>16</v>
      </c>
      <c r="M578">
        <v>5</v>
      </c>
    </row>
    <row r="579" spans="1:13" x14ac:dyDescent="0.25">
      <c r="A579">
        <v>578</v>
      </c>
      <c r="B579" s="1">
        <v>42580</v>
      </c>
      <c r="C579" s="1">
        <v>42729</v>
      </c>
      <c r="D579" t="s">
        <v>22</v>
      </c>
      <c r="E579" t="s">
        <v>29</v>
      </c>
      <c r="F579" s="2">
        <v>218</v>
      </c>
      <c r="G579" t="s">
        <v>12</v>
      </c>
      <c r="H579" s="3">
        <v>61949.919999999998</v>
      </c>
      <c r="I579" s="3">
        <v>1608458</v>
      </c>
      <c r="J579" s="3">
        <v>1286766.3999999999</v>
      </c>
      <c r="K579" s="3">
        <v>259741.68000000011</v>
      </c>
      <c r="L579" t="s">
        <v>16</v>
      </c>
      <c r="M579">
        <v>3.7</v>
      </c>
    </row>
    <row r="580" spans="1:13" x14ac:dyDescent="0.25">
      <c r="A580">
        <v>579</v>
      </c>
      <c r="B580" s="1">
        <v>42580</v>
      </c>
      <c r="C580" s="1">
        <v>42842</v>
      </c>
      <c r="D580" t="s">
        <v>23</v>
      </c>
      <c r="E580" t="s">
        <v>25</v>
      </c>
      <c r="F580" s="2">
        <v>144</v>
      </c>
      <c r="G580" t="s">
        <v>12</v>
      </c>
      <c r="H580" s="3">
        <v>31778.2</v>
      </c>
      <c r="I580" s="3">
        <v>848265</v>
      </c>
      <c r="J580" s="3">
        <v>678612</v>
      </c>
      <c r="K580" s="3">
        <v>137874.79999999999</v>
      </c>
      <c r="L580" t="s">
        <v>19</v>
      </c>
      <c r="M580">
        <v>4.8</v>
      </c>
    </row>
    <row r="581" spans="1:13" x14ac:dyDescent="0.25">
      <c r="A581">
        <v>580</v>
      </c>
      <c r="B581" s="1">
        <v>42581</v>
      </c>
      <c r="C581" s="1">
        <v>42936</v>
      </c>
      <c r="D581" t="s">
        <v>23</v>
      </c>
      <c r="E581" t="s">
        <v>13</v>
      </c>
      <c r="F581" s="2">
        <v>219</v>
      </c>
      <c r="G581" t="s">
        <v>12</v>
      </c>
      <c r="H581" s="3">
        <v>64243.360000000001</v>
      </c>
      <c r="I581" s="3">
        <v>1671369</v>
      </c>
      <c r="J581" s="3">
        <v>1337095.2</v>
      </c>
      <c r="K581" s="3">
        <v>270030.44000000006</v>
      </c>
      <c r="L581" t="s">
        <v>18</v>
      </c>
      <c r="M581">
        <v>4.5999999999999996</v>
      </c>
    </row>
    <row r="582" spans="1:13" x14ac:dyDescent="0.25">
      <c r="A582">
        <v>581</v>
      </c>
      <c r="B582" s="1">
        <v>42581</v>
      </c>
      <c r="C582" s="1">
        <v>42690</v>
      </c>
      <c r="D582" t="s">
        <v>21</v>
      </c>
      <c r="E582" t="s">
        <v>26</v>
      </c>
      <c r="F582" s="2">
        <v>226</v>
      </c>
      <c r="G582" t="s">
        <v>12</v>
      </c>
      <c r="H582" s="3">
        <v>68972.800000000003</v>
      </c>
      <c r="I582" s="3">
        <v>1778505</v>
      </c>
      <c r="J582" s="3">
        <v>1422804</v>
      </c>
      <c r="K582" s="3">
        <v>286728.2</v>
      </c>
      <c r="L582" t="s">
        <v>17</v>
      </c>
      <c r="M582">
        <v>5</v>
      </c>
    </row>
    <row r="583" spans="1:13" x14ac:dyDescent="0.25">
      <c r="A583">
        <v>582</v>
      </c>
      <c r="B583" s="1">
        <v>42582</v>
      </c>
      <c r="C583" s="1">
        <v>42696</v>
      </c>
      <c r="D583" t="s">
        <v>23</v>
      </c>
      <c r="E583" t="s">
        <v>28</v>
      </c>
      <c r="F583" s="2">
        <v>286</v>
      </c>
      <c r="G583" t="s">
        <v>12</v>
      </c>
      <c r="H583" s="3">
        <v>102176.2</v>
      </c>
      <c r="I583" s="3">
        <v>2620965</v>
      </c>
      <c r="J583" s="3">
        <v>2096772</v>
      </c>
      <c r="K583" s="3">
        <v>422016.8</v>
      </c>
      <c r="L583" t="s">
        <v>17</v>
      </c>
      <c r="M583">
        <v>3.9</v>
      </c>
    </row>
    <row r="584" spans="1:13" x14ac:dyDescent="0.25">
      <c r="A584">
        <v>583</v>
      </c>
      <c r="B584" s="1">
        <v>42582</v>
      </c>
      <c r="C584" s="1">
        <v>42817</v>
      </c>
      <c r="D584" t="s">
        <v>22</v>
      </c>
      <c r="E584" t="s">
        <v>29</v>
      </c>
      <c r="F584" s="2">
        <v>291</v>
      </c>
      <c r="G584" t="s">
        <v>12</v>
      </c>
      <c r="H584" s="3">
        <v>69500.759999999995</v>
      </c>
      <c r="I584" s="3">
        <v>1804229</v>
      </c>
      <c r="J584" s="3">
        <v>1443383.2</v>
      </c>
      <c r="K584" s="3">
        <v>291345.04000000004</v>
      </c>
      <c r="L584" t="s">
        <v>15</v>
      </c>
      <c r="M584">
        <v>5</v>
      </c>
    </row>
    <row r="585" spans="1:13" x14ac:dyDescent="0.25">
      <c r="A585">
        <v>584</v>
      </c>
      <c r="B585" s="1">
        <v>42583</v>
      </c>
      <c r="C585" s="1">
        <v>42773</v>
      </c>
      <c r="D585" t="s">
        <v>20</v>
      </c>
      <c r="E585" t="s">
        <v>25</v>
      </c>
      <c r="F585" s="2">
        <v>251</v>
      </c>
      <c r="G585" t="s">
        <v>12</v>
      </c>
      <c r="H585" s="3">
        <v>42171.040000000001</v>
      </c>
      <c r="I585" s="3">
        <v>1114086</v>
      </c>
      <c r="J585" s="3">
        <v>891268.8</v>
      </c>
      <c r="K585" s="3">
        <v>180646.15999999995</v>
      </c>
      <c r="L585" t="s">
        <v>19</v>
      </c>
      <c r="M585">
        <v>3.6</v>
      </c>
    </row>
    <row r="586" spans="1:13" x14ac:dyDescent="0.25">
      <c r="A586">
        <v>585</v>
      </c>
      <c r="B586" s="1">
        <v>42583</v>
      </c>
      <c r="C586" s="1">
        <v>42770</v>
      </c>
      <c r="D586" t="s">
        <v>21</v>
      </c>
      <c r="E586" t="s">
        <v>29</v>
      </c>
      <c r="F586" s="2">
        <v>157</v>
      </c>
      <c r="G586" t="s">
        <v>12</v>
      </c>
      <c r="H586" s="3">
        <v>41237.120000000003</v>
      </c>
      <c r="I586" s="3">
        <v>1086688</v>
      </c>
      <c r="J586" s="3">
        <v>869350.40000000002</v>
      </c>
      <c r="K586" s="3">
        <v>176100.47999999998</v>
      </c>
      <c r="L586" t="s">
        <v>16</v>
      </c>
      <c r="M586">
        <v>3.6</v>
      </c>
    </row>
    <row r="587" spans="1:13" x14ac:dyDescent="0.25">
      <c r="A587">
        <v>586</v>
      </c>
      <c r="B587" s="1">
        <v>42583</v>
      </c>
      <c r="C587" s="1">
        <v>42817</v>
      </c>
      <c r="D587" t="s">
        <v>21</v>
      </c>
      <c r="E587" t="s">
        <v>28</v>
      </c>
      <c r="F587" s="2">
        <v>72</v>
      </c>
      <c r="G587" t="s">
        <v>11</v>
      </c>
      <c r="H587" s="3">
        <v>23367.84</v>
      </c>
      <c r="I587" s="3">
        <v>650406</v>
      </c>
      <c r="J587" s="3">
        <v>520324.8</v>
      </c>
      <c r="K587" s="3">
        <v>106713.36000000002</v>
      </c>
      <c r="L587" t="s">
        <v>18</v>
      </c>
      <c r="M587">
        <v>3.8</v>
      </c>
    </row>
    <row r="588" spans="1:13" x14ac:dyDescent="0.25">
      <c r="A588">
        <v>587</v>
      </c>
      <c r="B588" s="1">
        <v>42584</v>
      </c>
      <c r="C588" s="1">
        <v>42918</v>
      </c>
      <c r="D588" t="s">
        <v>21</v>
      </c>
      <c r="E588" t="s">
        <v>29</v>
      </c>
      <c r="F588" s="2">
        <v>177</v>
      </c>
      <c r="G588" t="s">
        <v>12</v>
      </c>
      <c r="H588" s="3">
        <v>50428.76</v>
      </c>
      <c r="I588" s="3">
        <v>1322829</v>
      </c>
      <c r="J588" s="3">
        <v>1058263.2</v>
      </c>
      <c r="K588" s="3">
        <v>214137.04000000004</v>
      </c>
      <c r="L588" t="s">
        <v>16</v>
      </c>
      <c r="M588">
        <v>4</v>
      </c>
    </row>
    <row r="589" spans="1:13" x14ac:dyDescent="0.25">
      <c r="A589">
        <v>588</v>
      </c>
      <c r="B589" s="1">
        <v>42584</v>
      </c>
      <c r="C589" s="1">
        <v>42802</v>
      </c>
      <c r="D589" t="s">
        <v>21</v>
      </c>
      <c r="E589" t="s">
        <v>25</v>
      </c>
      <c r="F589" s="2">
        <v>50</v>
      </c>
      <c r="G589" t="s">
        <v>11</v>
      </c>
      <c r="H589" s="3">
        <v>17629.72</v>
      </c>
      <c r="I589" s="3">
        <v>505653</v>
      </c>
      <c r="J589" s="3">
        <v>404522.4</v>
      </c>
      <c r="K589" s="3">
        <v>83500.879999999976</v>
      </c>
      <c r="L589" t="s">
        <v>15</v>
      </c>
      <c r="M589">
        <v>3.9</v>
      </c>
    </row>
    <row r="590" spans="1:13" x14ac:dyDescent="0.25">
      <c r="A590">
        <v>589</v>
      </c>
      <c r="B590" s="1">
        <v>42584</v>
      </c>
      <c r="C590" s="1">
        <v>42903</v>
      </c>
      <c r="D590" t="s">
        <v>20</v>
      </c>
      <c r="E590" t="s">
        <v>13</v>
      </c>
      <c r="F590" s="2">
        <v>132</v>
      </c>
      <c r="G590" t="s">
        <v>12</v>
      </c>
      <c r="H590" s="3">
        <v>53766.44</v>
      </c>
      <c r="I590" s="3">
        <v>1409171</v>
      </c>
      <c r="J590" s="3">
        <v>1127336.8</v>
      </c>
      <c r="K590" s="3">
        <v>228067.75999999995</v>
      </c>
      <c r="L590" t="s">
        <v>14</v>
      </c>
      <c r="M590">
        <v>4.3</v>
      </c>
    </row>
    <row r="591" spans="1:13" x14ac:dyDescent="0.25">
      <c r="A591">
        <v>590</v>
      </c>
      <c r="B591" s="1">
        <v>42585</v>
      </c>
      <c r="C591" s="1">
        <v>42810</v>
      </c>
      <c r="D591" t="s">
        <v>21</v>
      </c>
      <c r="E591" t="s">
        <v>13</v>
      </c>
      <c r="F591" s="2">
        <v>89</v>
      </c>
      <c r="G591" t="s">
        <v>11</v>
      </c>
      <c r="H591" s="3">
        <v>24037.8</v>
      </c>
      <c r="I591" s="3">
        <v>664055</v>
      </c>
      <c r="J591" s="3">
        <v>531244</v>
      </c>
      <c r="K591" s="3">
        <v>108773.2</v>
      </c>
      <c r="L591" t="s">
        <v>14</v>
      </c>
      <c r="M591">
        <v>3.6</v>
      </c>
    </row>
    <row r="592" spans="1:13" x14ac:dyDescent="0.25">
      <c r="A592">
        <v>591</v>
      </c>
      <c r="B592" s="1">
        <v>42585</v>
      </c>
      <c r="C592" s="1">
        <v>42825</v>
      </c>
      <c r="D592" t="s">
        <v>22</v>
      </c>
      <c r="E592" t="s">
        <v>13</v>
      </c>
      <c r="F592" s="2">
        <v>43</v>
      </c>
      <c r="G592" t="s">
        <v>11</v>
      </c>
      <c r="H592" s="3">
        <v>16327.48</v>
      </c>
      <c r="I592" s="3">
        <v>472197</v>
      </c>
      <c r="J592" s="3">
        <v>377757.6</v>
      </c>
      <c r="K592" s="3">
        <v>78111.920000000027</v>
      </c>
      <c r="L592" t="s">
        <v>19</v>
      </c>
      <c r="M592">
        <v>4.4000000000000004</v>
      </c>
    </row>
    <row r="593" spans="1:13" x14ac:dyDescent="0.25">
      <c r="A593">
        <v>592</v>
      </c>
      <c r="B593" s="1">
        <v>42585</v>
      </c>
      <c r="C593" s="1">
        <v>42856</v>
      </c>
      <c r="D593" t="s">
        <v>23</v>
      </c>
      <c r="E593" t="s">
        <v>27</v>
      </c>
      <c r="F593" s="2">
        <v>142</v>
      </c>
      <c r="G593" t="s">
        <v>12</v>
      </c>
      <c r="H593" s="3">
        <v>39318.199999999997</v>
      </c>
      <c r="I593" s="3">
        <v>1036115</v>
      </c>
      <c r="J593" s="3">
        <v>828892</v>
      </c>
      <c r="K593" s="3">
        <v>167904.8</v>
      </c>
      <c r="L593" t="s">
        <v>15</v>
      </c>
      <c r="M593">
        <v>4.2</v>
      </c>
    </row>
    <row r="594" spans="1:13" x14ac:dyDescent="0.25">
      <c r="A594">
        <v>593</v>
      </c>
      <c r="B594" s="1">
        <v>42586</v>
      </c>
      <c r="C594" s="1">
        <v>42909</v>
      </c>
      <c r="D594" t="s">
        <v>21</v>
      </c>
      <c r="E594" t="s">
        <v>25</v>
      </c>
      <c r="F594" s="2">
        <v>206</v>
      </c>
      <c r="G594" t="s">
        <v>12</v>
      </c>
      <c r="H594" s="3">
        <v>48574.96</v>
      </c>
      <c r="I594" s="3">
        <v>1271459</v>
      </c>
      <c r="J594" s="3">
        <v>1017167.2</v>
      </c>
      <c r="K594" s="3">
        <v>205716.84000000005</v>
      </c>
      <c r="L594" t="s">
        <v>14</v>
      </c>
      <c r="M594">
        <v>4.7</v>
      </c>
    </row>
    <row r="595" spans="1:13" x14ac:dyDescent="0.25">
      <c r="A595">
        <v>594</v>
      </c>
      <c r="B595" s="1">
        <v>42586</v>
      </c>
      <c r="C595" s="1">
        <v>42915</v>
      </c>
      <c r="D595" t="s">
        <v>20</v>
      </c>
      <c r="E595" t="s">
        <v>25</v>
      </c>
      <c r="F595" s="2">
        <v>168</v>
      </c>
      <c r="G595" t="s">
        <v>12</v>
      </c>
      <c r="H595" s="3">
        <v>45024.44</v>
      </c>
      <c r="I595" s="3">
        <v>1184921</v>
      </c>
      <c r="J595" s="3">
        <v>947936.8</v>
      </c>
      <c r="K595" s="3">
        <v>191959.75999999995</v>
      </c>
      <c r="L595" t="s">
        <v>15</v>
      </c>
      <c r="M595">
        <v>5</v>
      </c>
    </row>
    <row r="596" spans="1:13" x14ac:dyDescent="0.25">
      <c r="A596">
        <v>595</v>
      </c>
      <c r="B596" s="1">
        <v>42586</v>
      </c>
      <c r="C596" s="1">
        <v>42840</v>
      </c>
      <c r="D596" t="s">
        <v>21</v>
      </c>
      <c r="E596" t="s">
        <v>24</v>
      </c>
      <c r="F596" s="2">
        <v>258</v>
      </c>
      <c r="G596" t="s">
        <v>12</v>
      </c>
      <c r="H596" s="3">
        <v>52876.92</v>
      </c>
      <c r="I596" s="3">
        <v>1380283</v>
      </c>
      <c r="J596" s="3">
        <v>1104226.3999999999</v>
      </c>
      <c r="K596" s="3">
        <v>223179.68000000011</v>
      </c>
      <c r="L596" t="s">
        <v>17</v>
      </c>
      <c r="M596">
        <v>5</v>
      </c>
    </row>
    <row r="597" spans="1:13" x14ac:dyDescent="0.25">
      <c r="A597">
        <v>596</v>
      </c>
      <c r="B597" s="1">
        <v>42586</v>
      </c>
      <c r="C597" s="1">
        <v>42939</v>
      </c>
      <c r="D597" t="s">
        <v>22</v>
      </c>
      <c r="E597" t="s">
        <v>27</v>
      </c>
      <c r="F597" s="2">
        <v>58</v>
      </c>
      <c r="G597" t="s">
        <v>11</v>
      </c>
      <c r="H597" s="3">
        <v>13598.4</v>
      </c>
      <c r="I597" s="3">
        <v>394845</v>
      </c>
      <c r="J597" s="3">
        <v>315876</v>
      </c>
      <c r="K597" s="3">
        <v>65370.6</v>
      </c>
      <c r="L597" t="s">
        <v>19</v>
      </c>
      <c r="M597">
        <v>4.7</v>
      </c>
    </row>
    <row r="598" spans="1:13" x14ac:dyDescent="0.25">
      <c r="A598">
        <v>597</v>
      </c>
      <c r="B598" s="1">
        <v>42587</v>
      </c>
      <c r="C598" s="1">
        <v>42809</v>
      </c>
      <c r="D598" t="s">
        <v>20</v>
      </c>
      <c r="E598" t="s">
        <v>27</v>
      </c>
      <c r="F598" s="2">
        <v>67</v>
      </c>
      <c r="G598" t="s">
        <v>11</v>
      </c>
      <c r="H598" s="3">
        <v>12251.4</v>
      </c>
      <c r="I598" s="3">
        <v>360245</v>
      </c>
      <c r="J598" s="3">
        <v>288196</v>
      </c>
      <c r="K598" s="3">
        <v>59797.599999999999</v>
      </c>
      <c r="L598" t="s">
        <v>18</v>
      </c>
      <c r="M598">
        <v>3.7</v>
      </c>
    </row>
    <row r="599" spans="1:13" x14ac:dyDescent="0.25">
      <c r="A599">
        <v>598</v>
      </c>
      <c r="B599" s="1">
        <v>42588</v>
      </c>
      <c r="C599" s="1">
        <v>42857</v>
      </c>
      <c r="D599" t="s">
        <v>22</v>
      </c>
      <c r="E599" t="s">
        <v>13</v>
      </c>
      <c r="F599" s="2">
        <v>91</v>
      </c>
      <c r="G599" t="s">
        <v>11</v>
      </c>
      <c r="H599" s="3">
        <v>28210.240000000002</v>
      </c>
      <c r="I599" s="3">
        <v>771941</v>
      </c>
      <c r="J599" s="3">
        <v>617552.80000000005</v>
      </c>
      <c r="K599" s="3">
        <v>126177.95999999995</v>
      </c>
      <c r="L599" t="s">
        <v>18</v>
      </c>
      <c r="M599">
        <v>4.9000000000000004</v>
      </c>
    </row>
    <row r="600" spans="1:13" x14ac:dyDescent="0.25">
      <c r="A600">
        <v>599</v>
      </c>
      <c r="B600" s="1">
        <v>42590</v>
      </c>
      <c r="C600" s="1">
        <v>42816</v>
      </c>
      <c r="D600" t="s">
        <v>20</v>
      </c>
      <c r="E600" t="s">
        <v>27</v>
      </c>
      <c r="F600" s="2">
        <v>69</v>
      </c>
      <c r="G600" t="s">
        <v>11</v>
      </c>
      <c r="H600" s="3">
        <v>28445.72</v>
      </c>
      <c r="I600" s="3">
        <v>775053</v>
      </c>
      <c r="J600" s="3">
        <v>620042.4</v>
      </c>
      <c r="K600" s="3">
        <v>126564.87999999998</v>
      </c>
      <c r="L600" t="s">
        <v>16</v>
      </c>
      <c r="M600">
        <v>4.2</v>
      </c>
    </row>
    <row r="601" spans="1:13" x14ac:dyDescent="0.25">
      <c r="A601">
        <v>600</v>
      </c>
      <c r="B601" s="1">
        <v>42590</v>
      </c>
      <c r="C601" s="1">
        <v>42764</v>
      </c>
      <c r="D601" t="s">
        <v>20</v>
      </c>
      <c r="E601" t="s">
        <v>29</v>
      </c>
      <c r="F601" s="2">
        <v>286</v>
      </c>
      <c r="G601" t="s">
        <v>12</v>
      </c>
      <c r="H601" s="3">
        <v>50434.84</v>
      </c>
      <c r="I601" s="3">
        <v>1312131</v>
      </c>
      <c r="J601" s="3">
        <v>1049704.8</v>
      </c>
      <c r="K601" s="3">
        <v>211991.35999999996</v>
      </c>
      <c r="L601" t="s">
        <v>15</v>
      </c>
      <c r="M601">
        <v>4.5999999999999996</v>
      </c>
    </row>
    <row r="602" spans="1:13" x14ac:dyDescent="0.25">
      <c r="A602">
        <v>601</v>
      </c>
      <c r="B602" s="1">
        <v>42590</v>
      </c>
      <c r="C602" s="1">
        <v>42909</v>
      </c>
      <c r="D602" t="s">
        <v>23</v>
      </c>
      <c r="E602" t="s">
        <v>13</v>
      </c>
      <c r="F602" s="2">
        <v>142</v>
      </c>
      <c r="G602" t="s">
        <v>12</v>
      </c>
      <c r="H602" s="3">
        <v>35744.28</v>
      </c>
      <c r="I602" s="3">
        <v>956117</v>
      </c>
      <c r="J602" s="3">
        <v>764893.6</v>
      </c>
      <c r="K602" s="3">
        <v>155479.12000000002</v>
      </c>
      <c r="L602" t="s">
        <v>19</v>
      </c>
      <c r="M602">
        <v>4.5999999999999996</v>
      </c>
    </row>
    <row r="603" spans="1:13" x14ac:dyDescent="0.25">
      <c r="A603">
        <v>602</v>
      </c>
      <c r="B603" s="1">
        <v>42591</v>
      </c>
      <c r="C603" s="1">
        <v>42943</v>
      </c>
      <c r="D603" t="s">
        <v>22</v>
      </c>
      <c r="E603" t="s">
        <v>27</v>
      </c>
      <c r="F603" s="2">
        <v>220</v>
      </c>
      <c r="G603" t="s">
        <v>12</v>
      </c>
      <c r="H603" s="3">
        <v>47702.52</v>
      </c>
      <c r="I603" s="3">
        <v>1255248</v>
      </c>
      <c r="J603" s="3">
        <v>1004198.4</v>
      </c>
      <c r="K603" s="3">
        <v>203347.08</v>
      </c>
      <c r="L603" t="s">
        <v>16</v>
      </c>
      <c r="M603">
        <v>3.7</v>
      </c>
    </row>
    <row r="604" spans="1:13" x14ac:dyDescent="0.25">
      <c r="A604">
        <v>603</v>
      </c>
      <c r="B604" s="1">
        <v>42591</v>
      </c>
      <c r="C604" s="1">
        <v>42878</v>
      </c>
      <c r="D604" t="s">
        <v>22</v>
      </c>
      <c r="E604" t="s">
        <v>25</v>
      </c>
      <c r="F604" s="2">
        <v>170</v>
      </c>
      <c r="G604" t="s">
        <v>12</v>
      </c>
      <c r="H604" s="3">
        <v>55675.28</v>
      </c>
      <c r="I604" s="3">
        <v>1444667</v>
      </c>
      <c r="J604" s="3">
        <v>1155733.6000000001</v>
      </c>
      <c r="K604" s="3">
        <v>233258.11999999991</v>
      </c>
      <c r="L604" t="s">
        <v>17</v>
      </c>
      <c r="M604">
        <v>5</v>
      </c>
    </row>
    <row r="605" spans="1:13" x14ac:dyDescent="0.25">
      <c r="A605">
        <v>604</v>
      </c>
      <c r="B605" s="1">
        <v>42592</v>
      </c>
      <c r="C605" s="1">
        <v>42950</v>
      </c>
      <c r="D605" t="s">
        <v>21</v>
      </c>
      <c r="E605" t="s">
        <v>24</v>
      </c>
      <c r="F605" s="2">
        <v>145</v>
      </c>
      <c r="G605" t="s">
        <v>11</v>
      </c>
      <c r="H605" s="3">
        <v>27000.92</v>
      </c>
      <c r="I605" s="3">
        <v>740808</v>
      </c>
      <c r="J605" s="3">
        <v>592646.40000000002</v>
      </c>
      <c r="K605" s="3">
        <v>121160.67999999998</v>
      </c>
      <c r="L605" t="s">
        <v>19</v>
      </c>
      <c r="M605">
        <v>3.9</v>
      </c>
    </row>
    <row r="606" spans="1:13" x14ac:dyDescent="0.25">
      <c r="A606">
        <v>605</v>
      </c>
      <c r="B606" s="1">
        <v>42592</v>
      </c>
      <c r="C606" s="1">
        <v>42911</v>
      </c>
      <c r="D606" t="s">
        <v>22</v>
      </c>
      <c r="E606" t="s">
        <v>24</v>
      </c>
      <c r="F606" s="2">
        <v>209</v>
      </c>
      <c r="G606" t="s">
        <v>12</v>
      </c>
      <c r="H606" s="3">
        <v>71679.56</v>
      </c>
      <c r="I606" s="3">
        <v>1853749</v>
      </c>
      <c r="J606" s="3">
        <v>1482999.2</v>
      </c>
      <c r="K606" s="3">
        <v>299070.24000000005</v>
      </c>
      <c r="L606" t="s">
        <v>18</v>
      </c>
      <c r="M606">
        <v>4.5</v>
      </c>
    </row>
    <row r="607" spans="1:13" x14ac:dyDescent="0.25">
      <c r="A607">
        <v>606</v>
      </c>
      <c r="B607" s="1">
        <v>42592</v>
      </c>
      <c r="C607" s="1">
        <v>42799</v>
      </c>
      <c r="D607" t="s">
        <v>22</v>
      </c>
      <c r="E607" t="s">
        <v>27</v>
      </c>
      <c r="F607" s="2">
        <v>39</v>
      </c>
      <c r="G607" t="s">
        <v>11</v>
      </c>
      <c r="H607" s="3">
        <v>13192.6</v>
      </c>
      <c r="I607" s="3">
        <v>397250</v>
      </c>
      <c r="J607" s="3">
        <v>317800</v>
      </c>
      <c r="K607" s="3">
        <v>66257.399999999994</v>
      </c>
      <c r="L607" t="s">
        <v>18</v>
      </c>
      <c r="M607">
        <v>4.7</v>
      </c>
    </row>
    <row r="608" spans="1:13" x14ac:dyDescent="0.25">
      <c r="A608">
        <v>607</v>
      </c>
      <c r="B608" s="1">
        <v>42592</v>
      </c>
      <c r="C608" s="1">
        <v>42788</v>
      </c>
      <c r="D608" t="s">
        <v>21</v>
      </c>
      <c r="E608" t="s">
        <v>13</v>
      </c>
      <c r="F608" s="2">
        <v>42</v>
      </c>
      <c r="G608" t="s">
        <v>11</v>
      </c>
      <c r="H608" s="3">
        <v>15580.76</v>
      </c>
      <c r="I608" s="3">
        <v>454504</v>
      </c>
      <c r="J608" s="3">
        <v>363603.20000000001</v>
      </c>
      <c r="K608" s="3">
        <v>75320.039999999994</v>
      </c>
      <c r="L608" t="s">
        <v>15</v>
      </c>
      <c r="M608">
        <v>3.9</v>
      </c>
    </row>
    <row r="609" spans="1:13" x14ac:dyDescent="0.25">
      <c r="A609">
        <v>608</v>
      </c>
      <c r="B609" s="1">
        <v>42593</v>
      </c>
      <c r="C609" s="1">
        <v>42867</v>
      </c>
      <c r="D609" t="s">
        <v>23</v>
      </c>
      <c r="E609" t="s">
        <v>25</v>
      </c>
      <c r="F609" s="2">
        <v>205</v>
      </c>
      <c r="G609" t="s">
        <v>12</v>
      </c>
      <c r="H609" s="3">
        <v>43763.8</v>
      </c>
      <c r="I609" s="3">
        <v>1154105</v>
      </c>
      <c r="J609" s="3">
        <v>923284</v>
      </c>
      <c r="K609" s="3">
        <v>187057.2</v>
      </c>
      <c r="L609" t="s">
        <v>14</v>
      </c>
      <c r="M609">
        <v>4.3</v>
      </c>
    </row>
    <row r="610" spans="1:13" x14ac:dyDescent="0.25">
      <c r="A610">
        <v>609</v>
      </c>
      <c r="B610" s="1">
        <v>42593</v>
      </c>
      <c r="C610" s="1">
        <v>42692</v>
      </c>
      <c r="D610" t="s">
        <v>20</v>
      </c>
      <c r="E610" t="s">
        <v>29</v>
      </c>
      <c r="F610" s="2">
        <v>283</v>
      </c>
      <c r="G610" t="s">
        <v>12</v>
      </c>
      <c r="H610" s="3">
        <v>70820.2</v>
      </c>
      <c r="I610" s="3">
        <v>1827365</v>
      </c>
      <c r="J610" s="3">
        <v>1461892</v>
      </c>
      <c r="K610" s="3">
        <v>294652.79999999999</v>
      </c>
      <c r="L610" t="s">
        <v>15</v>
      </c>
      <c r="M610">
        <v>3.7</v>
      </c>
    </row>
    <row r="611" spans="1:13" x14ac:dyDescent="0.25">
      <c r="A611">
        <v>610</v>
      </c>
      <c r="B611" s="1">
        <v>42593</v>
      </c>
      <c r="C611" s="1">
        <v>42758</v>
      </c>
      <c r="D611" t="s">
        <v>21</v>
      </c>
      <c r="E611" t="s">
        <v>28</v>
      </c>
      <c r="F611" s="2">
        <v>121</v>
      </c>
      <c r="G611" t="s">
        <v>12</v>
      </c>
      <c r="H611" s="3">
        <v>41472.800000000003</v>
      </c>
      <c r="I611" s="3">
        <v>1095030</v>
      </c>
      <c r="J611" s="3">
        <v>876024</v>
      </c>
      <c r="K611" s="3">
        <v>177533.2</v>
      </c>
      <c r="L611" t="s">
        <v>16</v>
      </c>
      <c r="M611">
        <v>4.0999999999999996</v>
      </c>
    </row>
    <row r="612" spans="1:13" x14ac:dyDescent="0.25">
      <c r="A612">
        <v>611</v>
      </c>
      <c r="B612" s="1">
        <v>42593</v>
      </c>
      <c r="C612" s="1">
        <v>42907</v>
      </c>
      <c r="D612" t="s">
        <v>23</v>
      </c>
      <c r="E612" t="s">
        <v>13</v>
      </c>
      <c r="F612" s="2">
        <v>291</v>
      </c>
      <c r="G612" t="s">
        <v>12</v>
      </c>
      <c r="H612" s="3">
        <v>105523.44</v>
      </c>
      <c r="I612" s="3">
        <v>2695421</v>
      </c>
      <c r="J612" s="3">
        <v>2156336.7999999998</v>
      </c>
      <c r="K612" s="3">
        <v>433560.76000000018</v>
      </c>
      <c r="L612" t="s">
        <v>19</v>
      </c>
      <c r="M612">
        <v>3.8</v>
      </c>
    </row>
    <row r="613" spans="1:13" x14ac:dyDescent="0.25">
      <c r="A613">
        <v>612</v>
      </c>
      <c r="B613" s="1">
        <v>42593</v>
      </c>
      <c r="C613" s="1">
        <v>42861</v>
      </c>
      <c r="D613" t="s">
        <v>20</v>
      </c>
      <c r="E613" t="s">
        <v>25</v>
      </c>
      <c r="F613" s="2">
        <v>86</v>
      </c>
      <c r="G613" t="s">
        <v>12</v>
      </c>
      <c r="H613" s="3">
        <v>33941.760000000002</v>
      </c>
      <c r="I613" s="3">
        <v>915729</v>
      </c>
      <c r="J613" s="3">
        <v>732583.2</v>
      </c>
      <c r="K613" s="3">
        <v>149204.04000000004</v>
      </c>
      <c r="L613" t="s">
        <v>16</v>
      </c>
      <c r="M613">
        <v>3.6</v>
      </c>
    </row>
    <row r="614" spans="1:13" x14ac:dyDescent="0.25">
      <c r="A614">
        <v>613</v>
      </c>
      <c r="B614" s="1">
        <v>42593</v>
      </c>
      <c r="C614" s="1">
        <v>42693</v>
      </c>
      <c r="D614" t="s">
        <v>23</v>
      </c>
      <c r="E614" t="s">
        <v>25</v>
      </c>
      <c r="F614" s="2">
        <v>221</v>
      </c>
      <c r="G614" t="s">
        <v>12</v>
      </c>
      <c r="H614" s="3">
        <v>74529</v>
      </c>
      <c r="I614" s="3">
        <v>1915685</v>
      </c>
      <c r="J614" s="3">
        <v>1532548</v>
      </c>
      <c r="K614" s="3">
        <v>308608</v>
      </c>
      <c r="L614" t="s">
        <v>15</v>
      </c>
      <c r="M614">
        <v>4.5</v>
      </c>
    </row>
    <row r="615" spans="1:13" x14ac:dyDescent="0.25">
      <c r="A615">
        <v>614</v>
      </c>
      <c r="B615" s="1">
        <v>42594</v>
      </c>
      <c r="C615" s="1">
        <v>42763</v>
      </c>
      <c r="D615" t="s">
        <v>23</v>
      </c>
      <c r="E615" t="s">
        <v>24</v>
      </c>
      <c r="F615" s="2">
        <v>235</v>
      </c>
      <c r="G615" t="s">
        <v>12</v>
      </c>
      <c r="H615" s="3">
        <v>42359.199999999997</v>
      </c>
      <c r="I615" s="3">
        <v>1122190</v>
      </c>
      <c r="J615" s="3">
        <v>897752</v>
      </c>
      <c r="K615" s="3">
        <v>182078.8</v>
      </c>
      <c r="L615" t="s">
        <v>15</v>
      </c>
      <c r="M615">
        <v>3.8</v>
      </c>
    </row>
    <row r="616" spans="1:13" x14ac:dyDescent="0.25">
      <c r="A616">
        <v>615</v>
      </c>
      <c r="B616" s="1">
        <v>42594</v>
      </c>
      <c r="C616" s="1">
        <v>42832</v>
      </c>
      <c r="D616" t="s">
        <v>23</v>
      </c>
      <c r="E616" t="s">
        <v>26</v>
      </c>
      <c r="F616" s="2">
        <v>278</v>
      </c>
      <c r="G616" t="s">
        <v>12</v>
      </c>
      <c r="H616" s="3">
        <v>79104.800000000003</v>
      </c>
      <c r="I616" s="3">
        <v>2028805</v>
      </c>
      <c r="J616" s="3">
        <v>1623044</v>
      </c>
      <c r="K616" s="3">
        <v>326656.2</v>
      </c>
      <c r="L616" t="s">
        <v>18</v>
      </c>
      <c r="M616">
        <v>4.5999999999999996</v>
      </c>
    </row>
    <row r="617" spans="1:13" x14ac:dyDescent="0.25">
      <c r="A617">
        <v>616</v>
      </c>
      <c r="B617" s="1">
        <v>42594</v>
      </c>
      <c r="C617" s="1">
        <v>42838</v>
      </c>
      <c r="D617" t="s">
        <v>23</v>
      </c>
      <c r="E617" t="s">
        <v>24</v>
      </c>
      <c r="F617" s="2">
        <v>228</v>
      </c>
      <c r="G617" t="s">
        <v>12</v>
      </c>
      <c r="H617" s="3">
        <v>48301.16</v>
      </c>
      <c r="I617" s="3">
        <v>1274414</v>
      </c>
      <c r="J617" s="3">
        <v>1019531.2</v>
      </c>
      <c r="K617" s="3">
        <v>206581.64000000004</v>
      </c>
      <c r="L617" t="s">
        <v>19</v>
      </c>
      <c r="M617">
        <v>4.9000000000000004</v>
      </c>
    </row>
    <row r="618" spans="1:13" x14ac:dyDescent="0.25">
      <c r="A618">
        <v>617</v>
      </c>
      <c r="B618" s="1">
        <v>42595</v>
      </c>
      <c r="C618" s="1">
        <v>42762</v>
      </c>
      <c r="D618" t="s">
        <v>21</v>
      </c>
      <c r="E618" t="s">
        <v>27</v>
      </c>
      <c r="F618" s="2">
        <v>168</v>
      </c>
      <c r="G618" t="s">
        <v>12</v>
      </c>
      <c r="H618" s="3">
        <v>50567.199999999997</v>
      </c>
      <c r="I618" s="3">
        <v>1320465</v>
      </c>
      <c r="J618" s="3">
        <v>1056372</v>
      </c>
      <c r="K618" s="3">
        <v>213525.8</v>
      </c>
      <c r="L618" t="s">
        <v>14</v>
      </c>
      <c r="M618">
        <v>4.5999999999999996</v>
      </c>
    </row>
    <row r="619" spans="1:13" x14ac:dyDescent="0.25">
      <c r="A619">
        <v>618</v>
      </c>
      <c r="B619" s="1">
        <v>42595</v>
      </c>
      <c r="C619" s="1">
        <v>42755</v>
      </c>
      <c r="D619" t="s">
        <v>23</v>
      </c>
      <c r="E619" t="s">
        <v>24</v>
      </c>
      <c r="F619" s="2">
        <v>75</v>
      </c>
      <c r="G619" t="s">
        <v>11</v>
      </c>
      <c r="H619" s="3">
        <v>14941.4</v>
      </c>
      <c r="I619" s="3">
        <v>428045</v>
      </c>
      <c r="J619" s="3">
        <v>342436</v>
      </c>
      <c r="K619" s="3">
        <v>70667.600000000006</v>
      </c>
      <c r="L619" t="s">
        <v>15</v>
      </c>
      <c r="M619">
        <v>4.3</v>
      </c>
    </row>
    <row r="620" spans="1:13" x14ac:dyDescent="0.25">
      <c r="A620">
        <v>619</v>
      </c>
      <c r="B620" s="1">
        <v>42595</v>
      </c>
      <c r="C620" s="1">
        <v>42824</v>
      </c>
      <c r="D620" t="s">
        <v>21</v>
      </c>
      <c r="E620" t="s">
        <v>27</v>
      </c>
      <c r="F620" s="2">
        <v>88</v>
      </c>
      <c r="G620" t="s">
        <v>11</v>
      </c>
      <c r="H620" s="3">
        <v>27524.52</v>
      </c>
      <c r="I620" s="3">
        <v>742448</v>
      </c>
      <c r="J620" s="3">
        <v>593958.40000000002</v>
      </c>
      <c r="K620" s="3">
        <v>120965.07999999997</v>
      </c>
      <c r="L620" t="s">
        <v>15</v>
      </c>
      <c r="M620">
        <v>4.8</v>
      </c>
    </row>
    <row r="621" spans="1:13" x14ac:dyDescent="0.25">
      <c r="A621">
        <v>620</v>
      </c>
      <c r="B621" s="1">
        <v>42596</v>
      </c>
      <c r="C621" s="1">
        <v>42920</v>
      </c>
      <c r="D621" t="s">
        <v>20</v>
      </c>
      <c r="E621" t="s">
        <v>27</v>
      </c>
      <c r="F621" s="2">
        <v>51</v>
      </c>
      <c r="G621" t="s">
        <v>11</v>
      </c>
      <c r="H621" s="3">
        <v>15186.6</v>
      </c>
      <c r="I621" s="3">
        <v>442775</v>
      </c>
      <c r="J621" s="3">
        <v>354220</v>
      </c>
      <c r="K621" s="3">
        <v>73368.399999999994</v>
      </c>
      <c r="L621" t="s">
        <v>14</v>
      </c>
      <c r="M621">
        <v>4.8</v>
      </c>
    </row>
    <row r="622" spans="1:13" x14ac:dyDescent="0.25">
      <c r="A622">
        <v>621</v>
      </c>
      <c r="B622" s="1">
        <v>42596</v>
      </c>
      <c r="C622" s="1">
        <v>42817</v>
      </c>
      <c r="D622" t="s">
        <v>23</v>
      </c>
      <c r="E622" t="s">
        <v>24</v>
      </c>
      <c r="F622" s="2">
        <v>219</v>
      </c>
      <c r="G622" t="s">
        <v>12</v>
      </c>
      <c r="H622" s="3">
        <v>85790.12</v>
      </c>
      <c r="I622" s="3">
        <v>2207613</v>
      </c>
      <c r="J622" s="3">
        <v>1766090.4</v>
      </c>
      <c r="K622" s="3">
        <v>355732.4800000001</v>
      </c>
      <c r="L622" t="s">
        <v>14</v>
      </c>
      <c r="M622">
        <v>3.8</v>
      </c>
    </row>
    <row r="623" spans="1:13" x14ac:dyDescent="0.25">
      <c r="A623">
        <v>622</v>
      </c>
      <c r="B623" s="1">
        <v>42596</v>
      </c>
      <c r="C623" s="1">
        <v>42915</v>
      </c>
      <c r="D623" t="s">
        <v>21</v>
      </c>
      <c r="E623" t="s">
        <v>24</v>
      </c>
      <c r="F623" s="2">
        <v>119</v>
      </c>
      <c r="G623" t="s">
        <v>12</v>
      </c>
      <c r="H623" s="3">
        <v>43893.919999999998</v>
      </c>
      <c r="I623" s="3">
        <v>1152833</v>
      </c>
      <c r="J623" s="3">
        <v>922266.4</v>
      </c>
      <c r="K623" s="3">
        <v>186672.68</v>
      </c>
      <c r="L623" t="s">
        <v>19</v>
      </c>
      <c r="M623">
        <v>4.9000000000000004</v>
      </c>
    </row>
    <row r="624" spans="1:13" x14ac:dyDescent="0.25">
      <c r="A624">
        <v>623</v>
      </c>
      <c r="B624" s="1">
        <v>42597</v>
      </c>
      <c r="C624" s="1">
        <v>42946</v>
      </c>
      <c r="D624" t="s">
        <v>23</v>
      </c>
      <c r="E624" t="s">
        <v>29</v>
      </c>
      <c r="F624" s="2">
        <v>67</v>
      </c>
      <c r="G624" t="s">
        <v>11</v>
      </c>
      <c r="H624" s="3">
        <v>22516.240000000002</v>
      </c>
      <c r="I624" s="3">
        <v>614141</v>
      </c>
      <c r="J624" s="3">
        <v>491312.8</v>
      </c>
      <c r="K624" s="3">
        <v>100311.96</v>
      </c>
      <c r="L624" t="s">
        <v>18</v>
      </c>
      <c r="M624">
        <v>4.0999999999999996</v>
      </c>
    </row>
    <row r="625" spans="1:13" x14ac:dyDescent="0.25">
      <c r="A625">
        <v>624</v>
      </c>
      <c r="B625" s="1">
        <v>42597</v>
      </c>
      <c r="C625" s="1">
        <v>42866</v>
      </c>
      <c r="D625" t="s">
        <v>21</v>
      </c>
      <c r="E625" t="s">
        <v>29</v>
      </c>
      <c r="F625" s="2">
        <v>148</v>
      </c>
      <c r="G625" t="s">
        <v>12</v>
      </c>
      <c r="H625" s="3">
        <v>43690.080000000002</v>
      </c>
      <c r="I625" s="3">
        <v>1158837</v>
      </c>
      <c r="J625" s="3">
        <v>927069.6</v>
      </c>
      <c r="K625" s="3">
        <v>188077.32</v>
      </c>
      <c r="L625" t="s">
        <v>17</v>
      </c>
      <c r="M625">
        <v>4.5999999999999996</v>
      </c>
    </row>
    <row r="626" spans="1:13" x14ac:dyDescent="0.25">
      <c r="A626">
        <v>625</v>
      </c>
      <c r="B626" s="1">
        <v>42597</v>
      </c>
      <c r="C626" s="1">
        <v>42747</v>
      </c>
      <c r="D626" t="s">
        <v>20</v>
      </c>
      <c r="E626" t="s">
        <v>29</v>
      </c>
      <c r="F626" s="2">
        <v>217</v>
      </c>
      <c r="G626" t="s">
        <v>12</v>
      </c>
      <c r="H626" s="3">
        <v>86077.04</v>
      </c>
      <c r="I626" s="3">
        <v>2208311</v>
      </c>
      <c r="J626" s="3">
        <v>1766648.8</v>
      </c>
      <c r="K626" s="3">
        <v>355585.16</v>
      </c>
      <c r="L626" t="s">
        <v>14</v>
      </c>
      <c r="M626">
        <v>4.5999999999999996</v>
      </c>
    </row>
    <row r="627" spans="1:13" x14ac:dyDescent="0.25">
      <c r="A627">
        <v>626</v>
      </c>
      <c r="B627" s="1">
        <v>42598</v>
      </c>
      <c r="C627" s="1">
        <v>42944</v>
      </c>
      <c r="D627" t="s">
        <v>23</v>
      </c>
      <c r="E627" t="s">
        <v>25</v>
      </c>
      <c r="F627" s="2">
        <v>256</v>
      </c>
      <c r="G627" t="s">
        <v>12</v>
      </c>
      <c r="H627" s="3">
        <v>81523.240000000005</v>
      </c>
      <c r="I627" s="3">
        <v>2097616</v>
      </c>
      <c r="J627" s="3">
        <v>1678092.8</v>
      </c>
      <c r="K627" s="3">
        <v>337999.95999999996</v>
      </c>
      <c r="L627" t="s">
        <v>16</v>
      </c>
      <c r="M627">
        <v>3.8</v>
      </c>
    </row>
    <row r="628" spans="1:13" x14ac:dyDescent="0.25">
      <c r="A628">
        <v>627</v>
      </c>
      <c r="B628" s="1">
        <v>42598</v>
      </c>
      <c r="C628" s="1">
        <v>42798</v>
      </c>
      <c r="D628" t="s">
        <v>21</v>
      </c>
      <c r="E628" t="s">
        <v>26</v>
      </c>
      <c r="F628" s="2">
        <v>79</v>
      </c>
      <c r="G628" t="s">
        <v>11</v>
      </c>
      <c r="H628" s="3">
        <v>18716.32</v>
      </c>
      <c r="I628" s="3">
        <v>531243</v>
      </c>
      <c r="J628" s="3">
        <v>424994.4</v>
      </c>
      <c r="K628" s="3">
        <v>87532.27999999997</v>
      </c>
      <c r="L628" t="s">
        <v>18</v>
      </c>
      <c r="M628">
        <v>4.4000000000000004</v>
      </c>
    </row>
    <row r="629" spans="1:13" x14ac:dyDescent="0.25">
      <c r="A629">
        <v>628</v>
      </c>
      <c r="B629" s="1">
        <v>42598</v>
      </c>
      <c r="C629" s="1">
        <v>42849</v>
      </c>
      <c r="D629" t="s">
        <v>20</v>
      </c>
      <c r="E629" t="s">
        <v>27</v>
      </c>
      <c r="F629" s="2">
        <v>208</v>
      </c>
      <c r="G629" t="s">
        <v>12</v>
      </c>
      <c r="H629" s="3">
        <v>53605.120000000003</v>
      </c>
      <c r="I629" s="3">
        <v>1397313</v>
      </c>
      <c r="J629" s="3">
        <v>1117850.3999999999</v>
      </c>
      <c r="K629" s="3">
        <v>225857.4800000001</v>
      </c>
      <c r="L629" t="s">
        <v>17</v>
      </c>
      <c r="M629">
        <v>5</v>
      </c>
    </row>
    <row r="630" spans="1:13" x14ac:dyDescent="0.25">
      <c r="A630">
        <v>629</v>
      </c>
      <c r="B630" s="1">
        <v>42599</v>
      </c>
      <c r="C630" s="1">
        <v>42708</v>
      </c>
      <c r="D630" t="s">
        <v>20</v>
      </c>
      <c r="E630" t="s">
        <v>28</v>
      </c>
      <c r="F630" s="2">
        <v>244</v>
      </c>
      <c r="G630" t="s">
        <v>12</v>
      </c>
      <c r="H630" s="3">
        <v>55927.76</v>
      </c>
      <c r="I630" s="3">
        <v>1463504</v>
      </c>
      <c r="J630" s="3">
        <v>1170803.2</v>
      </c>
      <c r="K630" s="3">
        <v>236773.04000000004</v>
      </c>
      <c r="L630" t="s">
        <v>17</v>
      </c>
      <c r="M630">
        <v>3.6</v>
      </c>
    </row>
    <row r="631" spans="1:13" x14ac:dyDescent="0.25">
      <c r="A631">
        <v>630</v>
      </c>
      <c r="B631" s="1">
        <v>42599</v>
      </c>
      <c r="C631" s="1">
        <v>42785</v>
      </c>
      <c r="D631" t="s">
        <v>20</v>
      </c>
      <c r="E631" t="s">
        <v>13</v>
      </c>
      <c r="F631" s="2">
        <v>167</v>
      </c>
      <c r="G631" t="s">
        <v>12</v>
      </c>
      <c r="H631" s="3">
        <v>61873.4</v>
      </c>
      <c r="I631" s="3">
        <v>1603545</v>
      </c>
      <c r="J631" s="3">
        <v>1282836</v>
      </c>
      <c r="K631" s="3">
        <v>258835.6</v>
      </c>
      <c r="L631" t="s">
        <v>18</v>
      </c>
      <c r="M631">
        <v>5</v>
      </c>
    </row>
    <row r="632" spans="1:13" x14ac:dyDescent="0.25">
      <c r="A632">
        <v>631</v>
      </c>
      <c r="B632" s="1">
        <v>42599</v>
      </c>
      <c r="C632" s="1">
        <v>42961</v>
      </c>
      <c r="D632" t="s">
        <v>21</v>
      </c>
      <c r="E632" t="s">
        <v>13</v>
      </c>
      <c r="F632" s="2">
        <v>268</v>
      </c>
      <c r="G632" t="s">
        <v>12</v>
      </c>
      <c r="H632" s="3">
        <v>77827.64</v>
      </c>
      <c r="I632" s="3">
        <v>2009301</v>
      </c>
      <c r="J632" s="3">
        <v>1607440.8</v>
      </c>
      <c r="K632" s="3">
        <v>324032.55999999994</v>
      </c>
      <c r="L632" t="s">
        <v>14</v>
      </c>
      <c r="M632">
        <v>3.9</v>
      </c>
    </row>
    <row r="633" spans="1:13" x14ac:dyDescent="0.25">
      <c r="A633">
        <v>632</v>
      </c>
      <c r="B633" s="1">
        <v>42599</v>
      </c>
      <c r="C633" s="1">
        <v>42865</v>
      </c>
      <c r="D633" t="s">
        <v>20</v>
      </c>
      <c r="E633" t="s">
        <v>26</v>
      </c>
      <c r="F633" s="2">
        <v>198</v>
      </c>
      <c r="G633" t="s">
        <v>12</v>
      </c>
      <c r="H633" s="3">
        <v>71999.48</v>
      </c>
      <c r="I633" s="3">
        <v>1852922</v>
      </c>
      <c r="J633" s="3">
        <v>1482337.6</v>
      </c>
      <c r="K633" s="3">
        <v>298584.91999999993</v>
      </c>
      <c r="L633" t="s">
        <v>15</v>
      </c>
      <c r="M633">
        <v>3.8</v>
      </c>
    </row>
    <row r="634" spans="1:13" x14ac:dyDescent="0.25">
      <c r="A634">
        <v>633</v>
      </c>
      <c r="B634" s="1">
        <v>42599</v>
      </c>
      <c r="C634" s="1">
        <v>42746</v>
      </c>
      <c r="D634" t="s">
        <v>21</v>
      </c>
      <c r="E634" t="s">
        <v>27</v>
      </c>
      <c r="F634" s="2">
        <v>164</v>
      </c>
      <c r="G634" t="s">
        <v>12</v>
      </c>
      <c r="H634" s="3">
        <v>46979.76</v>
      </c>
      <c r="I634" s="3">
        <v>1227529</v>
      </c>
      <c r="J634" s="3">
        <v>982023.2</v>
      </c>
      <c r="K634" s="3">
        <v>198526.04000000004</v>
      </c>
      <c r="L634" t="s">
        <v>19</v>
      </c>
      <c r="M634">
        <v>3.9</v>
      </c>
    </row>
    <row r="635" spans="1:13" x14ac:dyDescent="0.25">
      <c r="A635">
        <v>634</v>
      </c>
      <c r="B635" s="1">
        <v>42600</v>
      </c>
      <c r="C635" s="1">
        <v>42868</v>
      </c>
      <c r="D635" t="s">
        <v>23</v>
      </c>
      <c r="E635" t="s">
        <v>24</v>
      </c>
      <c r="F635" s="2">
        <v>277</v>
      </c>
      <c r="G635" t="s">
        <v>12</v>
      </c>
      <c r="H635" s="3">
        <v>102104.28</v>
      </c>
      <c r="I635" s="3">
        <v>2612917</v>
      </c>
      <c r="J635" s="3">
        <v>2090333.6</v>
      </c>
      <c r="K635" s="3">
        <v>420479.11999999988</v>
      </c>
      <c r="L635" t="s">
        <v>18</v>
      </c>
      <c r="M635">
        <v>3.6</v>
      </c>
    </row>
    <row r="636" spans="1:13" x14ac:dyDescent="0.25">
      <c r="A636">
        <v>635</v>
      </c>
      <c r="B636" s="1">
        <v>42600</v>
      </c>
      <c r="C636" s="1">
        <v>42752</v>
      </c>
      <c r="D636" t="s">
        <v>21</v>
      </c>
      <c r="E636" t="s">
        <v>29</v>
      </c>
      <c r="F636" s="2">
        <v>193</v>
      </c>
      <c r="G636" t="s">
        <v>12</v>
      </c>
      <c r="H636" s="3">
        <v>38402.04</v>
      </c>
      <c r="I636" s="3">
        <v>1018136</v>
      </c>
      <c r="J636" s="3">
        <v>814508.8</v>
      </c>
      <c r="K636" s="3">
        <v>165225.15999999995</v>
      </c>
      <c r="L636" t="s">
        <v>17</v>
      </c>
      <c r="M636">
        <v>5</v>
      </c>
    </row>
    <row r="637" spans="1:13" x14ac:dyDescent="0.25">
      <c r="A637">
        <v>636</v>
      </c>
      <c r="B637" s="1">
        <v>42600</v>
      </c>
      <c r="C637" s="1">
        <v>42862</v>
      </c>
      <c r="D637" t="s">
        <v>20</v>
      </c>
      <c r="E637" t="s">
        <v>25</v>
      </c>
      <c r="F637" s="2">
        <v>174</v>
      </c>
      <c r="G637" t="s">
        <v>12</v>
      </c>
      <c r="H637" s="3">
        <v>45588.08</v>
      </c>
      <c r="I637" s="3">
        <v>1197962</v>
      </c>
      <c r="J637" s="3">
        <v>958369.6</v>
      </c>
      <c r="K637" s="3">
        <v>194004.32</v>
      </c>
      <c r="L637" t="s">
        <v>18</v>
      </c>
      <c r="M637">
        <v>3.6</v>
      </c>
    </row>
    <row r="638" spans="1:13" x14ac:dyDescent="0.25">
      <c r="A638">
        <v>637</v>
      </c>
      <c r="B638" s="1">
        <v>42600</v>
      </c>
      <c r="C638" s="1">
        <v>42889</v>
      </c>
      <c r="D638" t="s">
        <v>23</v>
      </c>
      <c r="E638" t="s">
        <v>25</v>
      </c>
      <c r="F638" s="2">
        <v>91</v>
      </c>
      <c r="G638" t="s">
        <v>12</v>
      </c>
      <c r="H638" s="3">
        <v>36349.199999999997</v>
      </c>
      <c r="I638" s="3">
        <v>974515</v>
      </c>
      <c r="J638" s="3">
        <v>779612</v>
      </c>
      <c r="K638" s="3">
        <v>158553.79999999999</v>
      </c>
      <c r="L638" t="s">
        <v>18</v>
      </c>
      <c r="M638">
        <v>4.9000000000000004</v>
      </c>
    </row>
    <row r="639" spans="1:13" x14ac:dyDescent="0.25">
      <c r="A639">
        <v>638</v>
      </c>
      <c r="B639" s="1">
        <v>42600</v>
      </c>
      <c r="C639" s="1">
        <v>42762</v>
      </c>
      <c r="D639" t="s">
        <v>23</v>
      </c>
      <c r="E639" t="s">
        <v>27</v>
      </c>
      <c r="F639" s="2">
        <v>109</v>
      </c>
      <c r="G639" t="s">
        <v>12</v>
      </c>
      <c r="H639" s="3">
        <v>35419.160000000003</v>
      </c>
      <c r="I639" s="3">
        <v>952189</v>
      </c>
      <c r="J639" s="3">
        <v>761751.2</v>
      </c>
      <c r="K639" s="3">
        <v>155018.64000000004</v>
      </c>
      <c r="L639" t="s">
        <v>18</v>
      </c>
      <c r="M639">
        <v>4.5</v>
      </c>
    </row>
    <row r="640" spans="1:13" x14ac:dyDescent="0.25">
      <c r="A640">
        <v>639</v>
      </c>
      <c r="B640" s="1">
        <v>42601</v>
      </c>
      <c r="C640" s="1">
        <v>42920</v>
      </c>
      <c r="D640" t="s">
        <v>23</v>
      </c>
      <c r="E640" t="s">
        <v>24</v>
      </c>
      <c r="F640" s="2">
        <v>274</v>
      </c>
      <c r="G640" t="s">
        <v>12</v>
      </c>
      <c r="H640" s="3">
        <v>104918.24</v>
      </c>
      <c r="I640" s="3">
        <v>2682666</v>
      </c>
      <c r="J640" s="3">
        <v>2146132.7999999998</v>
      </c>
      <c r="K640" s="3">
        <v>431614.9600000002</v>
      </c>
      <c r="L640" t="s">
        <v>14</v>
      </c>
      <c r="M640">
        <v>4.9000000000000004</v>
      </c>
    </row>
    <row r="641" spans="1:13" x14ac:dyDescent="0.25">
      <c r="A641">
        <v>640</v>
      </c>
      <c r="B641" s="1">
        <v>42601</v>
      </c>
      <c r="C641" s="1">
        <v>42932</v>
      </c>
      <c r="D641" t="s">
        <v>21</v>
      </c>
      <c r="E641" t="s">
        <v>26</v>
      </c>
      <c r="F641" s="2">
        <v>178</v>
      </c>
      <c r="G641" t="s">
        <v>12</v>
      </c>
      <c r="H641" s="3">
        <v>49067.4</v>
      </c>
      <c r="I641" s="3">
        <v>1279545</v>
      </c>
      <c r="J641" s="3">
        <v>1023636</v>
      </c>
      <c r="K641" s="3">
        <v>206841.60000000001</v>
      </c>
      <c r="L641" t="s">
        <v>18</v>
      </c>
      <c r="M641">
        <v>4.3</v>
      </c>
    </row>
    <row r="642" spans="1:13" x14ac:dyDescent="0.25">
      <c r="A642">
        <v>641</v>
      </c>
      <c r="B642" s="1">
        <v>42601</v>
      </c>
      <c r="C642" s="1">
        <v>42796</v>
      </c>
      <c r="D642" t="s">
        <v>23</v>
      </c>
      <c r="E642" t="s">
        <v>28</v>
      </c>
      <c r="F642" s="2">
        <v>245</v>
      </c>
      <c r="G642" t="s">
        <v>12</v>
      </c>
      <c r="H642" s="3">
        <v>91601.52</v>
      </c>
      <c r="I642" s="3">
        <v>2342723</v>
      </c>
      <c r="J642" s="3">
        <v>1874178.4</v>
      </c>
      <c r="K642" s="3">
        <v>376943.08000000007</v>
      </c>
      <c r="L642" t="s">
        <v>18</v>
      </c>
      <c r="M642">
        <v>5</v>
      </c>
    </row>
    <row r="643" spans="1:13" x14ac:dyDescent="0.25">
      <c r="A643">
        <v>642</v>
      </c>
      <c r="B643" s="1">
        <v>42602</v>
      </c>
      <c r="C643" s="1">
        <v>42948</v>
      </c>
      <c r="D643" t="s">
        <v>21</v>
      </c>
      <c r="E643" t="s">
        <v>27</v>
      </c>
      <c r="F643" s="2">
        <v>116</v>
      </c>
      <c r="G643" t="s">
        <v>11</v>
      </c>
      <c r="H643" s="3">
        <v>27655.279999999999</v>
      </c>
      <c r="I643" s="3">
        <v>747867</v>
      </c>
      <c r="J643" s="3">
        <v>598293.6</v>
      </c>
      <c r="K643" s="3">
        <v>121918.12000000002</v>
      </c>
      <c r="L643" t="s">
        <v>19</v>
      </c>
      <c r="M643">
        <v>4.9000000000000004</v>
      </c>
    </row>
    <row r="644" spans="1:13" x14ac:dyDescent="0.25">
      <c r="A644">
        <v>643</v>
      </c>
      <c r="B644" s="1">
        <v>42602</v>
      </c>
      <c r="C644" s="1">
        <v>42957</v>
      </c>
      <c r="D644" t="s">
        <v>23</v>
      </c>
      <c r="E644" t="s">
        <v>28</v>
      </c>
      <c r="F644" s="2">
        <v>252</v>
      </c>
      <c r="G644" t="s">
        <v>12</v>
      </c>
      <c r="H644" s="3">
        <v>92393.8</v>
      </c>
      <c r="I644" s="3">
        <v>2374580</v>
      </c>
      <c r="J644" s="3">
        <v>1899664</v>
      </c>
      <c r="K644" s="3">
        <v>382522.2</v>
      </c>
      <c r="L644" t="s">
        <v>14</v>
      </c>
      <c r="M644">
        <v>4.0999999999999996</v>
      </c>
    </row>
    <row r="645" spans="1:13" x14ac:dyDescent="0.25">
      <c r="A645">
        <v>644</v>
      </c>
      <c r="B645" s="1">
        <v>42602</v>
      </c>
      <c r="C645" s="1">
        <v>42865</v>
      </c>
      <c r="D645" t="s">
        <v>23</v>
      </c>
      <c r="E645" t="s">
        <v>24</v>
      </c>
      <c r="F645" s="2">
        <v>160</v>
      </c>
      <c r="G645" t="s">
        <v>12</v>
      </c>
      <c r="H645" s="3">
        <v>45334.16</v>
      </c>
      <c r="I645" s="3">
        <v>1198589</v>
      </c>
      <c r="J645" s="3">
        <v>958871.2</v>
      </c>
      <c r="K645" s="3">
        <v>194383.64000000004</v>
      </c>
      <c r="L645" t="s">
        <v>15</v>
      </c>
      <c r="M645">
        <v>4.5999999999999996</v>
      </c>
    </row>
    <row r="646" spans="1:13" x14ac:dyDescent="0.25">
      <c r="A646">
        <v>645</v>
      </c>
      <c r="B646" s="1">
        <v>42602</v>
      </c>
      <c r="C646" s="1">
        <v>42788</v>
      </c>
      <c r="D646" t="s">
        <v>20</v>
      </c>
      <c r="E646" t="s">
        <v>26</v>
      </c>
      <c r="F646" s="2">
        <v>222</v>
      </c>
      <c r="G646" t="s">
        <v>12</v>
      </c>
      <c r="H646" s="3">
        <v>76085.84</v>
      </c>
      <c r="I646" s="3">
        <v>1954181</v>
      </c>
      <c r="J646" s="3">
        <v>1563344.8</v>
      </c>
      <c r="K646" s="3">
        <v>314750.36</v>
      </c>
      <c r="L646" t="s">
        <v>16</v>
      </c>
      <c r="M646">
        <v>3.9</v>
      </c>
    </row>
    <row r="647" spans="1:13" x14ac:dyDescent="0.25">
      <c r="A647">
        <v>646</v>
      </c>
      <c r="B647" s="1">
        <v>42602</v>
      </c>
      <c r="C647" s="1">
        <v>42930</v>
      </c>
      <c r="D647" t="s">
        <v>21</v>
      </c>
      <c r="E647" t="s">
        <v>27</v>
      </c>
      <c r="F647" s="2">
        <v>162</v>
      </c>
      <c r="G647" t="s">
        <v>12</v>
      </c>
      <c r="H647" s="3">
        <v>46615</v>
      </c>
      <c r="I647" s="3">
        <v>1229285</v>
      </c>
      <c r="J647" s="3">
        <v>983428</v>
      </c>
      <c r="K647" s="3">
        <v>199242</v>
      </c>
      <c r="L647" t="s">
        <v>16</v>
      </c>
      <c r="M647">
        <v>4.9000000000000004</v>
      </c>
    </row>
    <row r="648" spans="1:13" x14ac:dyDescent="0.25">
      <c r="A648">
        <v>647</v>
      </c>
      <c r="B648" s="1">
        <v>42603</v>
      </c>
      <c r="C648" s="1">
        <v>42873</v>
      </c>
      <c r="D648" t="s">
        <v>21</v>
      </c>
      <c r="E648" t="s">
        <v>13</v>
      </c>
      <c r="F648" s="2">
        <v>62</v>
      </c>
      <c r="G648" t="s">
        <v>11</v>
      </c>
      <c r="H648" s="3">
        <v>13255.24</v>
      </c>
      <c r="I648" s="3">
        <v>382741</v>
      </c>
      <c r="J648" s="3">
        <v>306192.8</v>
      </c>
      <c r="K648" s="3">
        <v>63292.960000000014</v>
      </c>
      <c r="L648" t="s">
        <v>19</v>
      </c>
      <c r="M648">
        <v>3.7</v>
      </c>
    </row>
    <row r="649" spans="1:13" x14ac:dyDescent="0.25">
      <c r="A649">
        <v>648</v>
      </c>
      <c r="B649" s="1">
        <v>42603</v>
      </c>
      <c r="C649" s="1">
        <v>42822</v>
      </c>
      <c r="D649" t="s">
        <v>22</v>
      </c>
      <c r="E649" t="s">
        <v>13</v>
      </c>
      <c r="F649" s="2">
        <v>263</v>
      </c>
      <c r="G649" t="s">
        <v>12</v>
      </c>
      <c r="H649" s="3">
        <v>45174.92</v>
      </c>
      <c r="I649" s="3">
        <v>1189658</v>
      </c>
      <c r="J649" s="3">
        <v>951726.4</v>
      </c>
      <c r="K649" s="3">
        <v>192756.68</v>
      </c>
      <c r="L649" t="s">
        <v>15</v>
      </c>
      <c r="M649">
        <v>4</v>
      </c>
    </row>
    <row r="650" spans="1:13" x14ac:dyDescent="0.25">
      <c r="A650">
        <v>649</v>
      </c>
      <c r="B650" s="1">
        <v>42603</v>
      </c>
      <c r="C650" s="1">
        <v>42859</v>
      </c>
      <c r="D650" t="s">
        <v>20</v>
      </c>
      <c r="E650" t="s">
        <v>28</v>
      </c>
      <c r="F650" s="2">
        <v>42</v>
      </c>
      <c r="G650" t="s">
        <v>11</v>
      </c>
      <c r="H650" s="3">
        <v>14659.16</v>
      </c>
      <c r="I650" s="3">
        <v>422839</v>
      </c>
      <c r="J650" s="3">
        <v>338271.2</v>
      </c>
      <c r="K650" s="3">
        <v>69908.639999999985</v>
      </c>
      <c r="L650" t="s">
        <v>15</v>
      </c>
      <c r="M650">
        <v>4.0999999999999996</v>
      </c>
    </row>
    <row r="651" spans="1:13" x14ac:dyDescent="0.25">
      <c r="A651">
        <v>650</v>
      </c>
      <c r="B651" s="1">
        <v>42604</v>
      </c>
      <c r="C651" s="1">
        <v>42846</v>
      </c>
      <c r="D651" t="s">
        <v>22</v>
      </c>
      <c r="E651" t="s">
        <v>26</v>
      </c>
      <c r="F651" s="2">
        <v>74</v>
      </c>
      <c r="G651" t="s">
        <v>12</v>
      </c>
      <c r="H651" s="3">
        <v>30504.400000000001</v>
      </c>
      <c r="I651" s="3">
        <v>813845</v>
      </c>
      <c r="J651" s="3">
        <v>651076</v>
      </c>
      <c r="K651" s="3">
        <v>132264.6</v>
      </c>
      <c r="L651" t="s">
        <v>14</v>
      </c>
      <c r="M651">
        <v>4.3</v>
      </c>
    </row>
    <row r="652" spans="1:13" x14ac:dyDescent="0.25">
      <c r="A652">
        <v>651</v>
      </c>
      <c r="B652" s="1">
        <v>42604</v>
      </c>
      <c r="C652" s="1">
        <v>42903</v>
      </c>
      <c r="D652" t="s">
        <v>20</v>
      </c>
      <c r="E652" t="s">
        <v>24</v>
      </c>
      <c r="F652" s="2">
        <v>203</v>
      </c>
      <c r="G652" t="s">
        <v>12</v>
      </c>
      <c r="H652" s="3">
        <v>39739.24</v>
      </c>
      <c r="I652" s="3">
        <v>1052441</v>
      </c>
      <c r="J652" s="3">
        <v>841952.8</v>
      </c>
      <c r="K652" s="3">
        <v>170748.95999999996</v>
      </c>
      <c r="L652" t="s">
        <v>17</v>
      </c>
      <c r="M652">
        <v>4</v>
      </c>
    </row>
    <row r="653" spans="1:13" x14ac:dyDescent="0.25">
      <c r="A653">
        <v>652</v>
      </c>
      <c r="B653" s="1">
        <v>42604</v>
      </c>
      <c r="C653" s="1">
        <v>42735</v>
      </c>
      <c r="D653" t="s">
        <v>22</v>
      </c>
      <c r="E653" t="s">
        <v>29</v>
      </c>
      <c r="F653" s="2">
        <v>255</v>
      </c>
      <c r="G653" t="s">
        <v>12</v>
      </c>
      <c r="H653" s="3">
        <v>42065.919999999998</v>
      </c>
      <c r="I653" s="3">
        <v>1117033</v>
      </c>
      <c r="J653" s="3">
        <v>893626.4</v>
      </c>
      <c r="K653" s="3">
        <v>181340.68</v>
      </c>
      <c r="L653" t="s">
        <v>18</v>
      </c>
      <c r="M653">
        <v>4.9000000000000004</v>
      </c>
    </row>
    <row r="654" spans="1:13" x14ac:dyDescent="0.25">
      <c r="A654">
        <v>653</v>
      </c>
      <c r="B654" s="1">
        <v>42604</v>
      </c>
      <c r="C654" s="1">
        <v>42729</v>
      </c>
      <c r="D654" t="s">
        <v>20</v>
      </c>
      <c r="E654" t="s">
        <v>13</v>
      </c>
      <c r="F654" s="2">
        <v>141</v>
      </c>
      <c r="G654" t="s">
        <v>11</v>
      </c>
      <c r="H654" s="3">
        <v>28505.96</v>
      </c>
      <c r="I654" s="3">
        <v>766634</v>
      </c>
      <c r="J654" s="3">
        <v>613307.19999999995</v>
      </c>
      <c r="K654" s="3">
        <v>124820.84000000005</v>
      </c>
      <c r="L654" t="s">
        <v>14</v>
      </c>
      <c r="M654">
        <v>4</v>
      </c>
    </row>
    <row r="655" spans="1:13" x14ac:dyDescent="0.25">
      <c r="A655">
        <v>654</v>
      </c>
      <c r="B655" s="1">
        <v>42604</v>
      </c>
      <c r="C655" s="1">
        <v>42896</v>
      </c>
      <c r="D655" t="s">
        <v>23</v>
      </c>
      <c r="E655" t="s">
        <v>28</v>
      </c>
      <c r="F655" s="2">
        <v>201</v>
      </c>
      <c r="G655" t="s">
        <v>12</v>
      </c>
      <c r="H655" s="3">
        <v>77484.92</v>
      </c>
      <c r="I655" s="3">
        <v>1990358</v>
      </c>
      <c r="J655" s="3">
        <v>1592286.4</v>
      </c>
      <c r="K655" s="3">
        <v>320586.68000000011</v>
      </c>
      <c r="L655" t="s">
        <v>19</v>
      </c>
      <c r="M655">
        <v>4.0999999999999996</v>
      </c>
    </row>
    <row r="656" spans="1:13" x14ac:dyDescent="0.25">
      <c r="A656">
        <v>655</v>
      </c>
      <c r="B656" s="1">
        <v>42604</v>
      </c>
      <c r="C656" s="1">
        <v>42817</v>
      </c>
      <c r="D656" t="s">
        <v>23</v>
      </c>
      <c r="E656" t="s">
        <v>28</v>
      </c>
      <c r="F656" s="2">
        <v>290</v>
      </c>
      <c r="G656" t="s">
        <v>12</v>
      </c>
      <c r="H656" s="3">
        <v>110671.64</v>
      </c>
      <c r="I656" s="3">
        <v>2823501</v>
      </c>
      <c r="J656" s="3">
        <v>2258800.7999999998</v>
      </c>
      <c r="K656" s="3">
        <v>454028.56000000017</v>
      </c>
      <c r="L656" t="s">
        <v>19</v>
      </c>
      <c r="M656">
        <v>4.9000000000000004</v>
      </c>
    </row>
    <row r="657" spans="1:13" x14ac:dyDescent="0.25">
      <c r="A657">
        <v>656</v>
      </c>
      <c r="B657" s="1">
        <v>42605</v>
      </c>
      <c r="C657" s="1">
        <v>42826</v>
      </c>
      <c r="D657" t="s">
        <v>20</v>
      </c>
      <c r="E657" t="s">
        <v>24</v>
      </c>
      <c r="F657" s="2">
        <v>245</v>
      </c>
      <c r="G657" t="s">
        <v>12</v>
      </c>
      <c r="H657" s="3">
        <v>70207.88</v>
      </c>
      <c r="I657" s="3">
        <v>1809557</v>
      </c>
      <c r="J657" s="3">
        <v>1447645.6</v>
      </c>
      <c r="K657" s="3">
        <v>291703.5199999999</v>
      </c>
      <c r="L657" t="s">
        <v>19</v>
      </c>
      <c r="M657">
        <v>4.2</v>
      </c>
    </row>
    <row r="658" spans="1:13" x14ac:dyDescent="0.25">
      <c r="A658">
        <v>657</v>
      </c>
      <c r="B658" s="1">
        <v>42605</v>
      </c>
      <c r="C658" s="1">
        <v>42794</v>
      </c>
      <c r="D658" t="s">
        <v>20</v>
      </c>
      <c r="E658" t="s">
        <v>29</v>
      </c>
      <c r="F658" s="2">
        <v>277</v>
      </c>
      <c r="G658" t="s">
        <v>12</v>
      </c>
      <c r="H658" s="3">
        <v>62931.28</v>
      </c>
      <c r="I658" s="3">
        <v>1626317</v>
      </c>
      <c r="J658" s="3">
        <v>1301053.6000000001</v>
      </c>
      <c r="K658" s="3">
        <v>262332.11999999988</v>
      </c>
      <c r="L658" t="s">
        <v>19</v>
      </c>
      <c r="M658">
        <v>5</v>
      </c>
    </row>
    <row r="659" spans="1:13" x14ac:dyDescent="0.25">
      <c r="A659">
        <v>658</v>
      </c>
      <c r="B659" s="1">
        <v>42605</v>
      </c>
      <c r="C659" s="1">
        <v>42956</v>
      </c>
      <c r="D659" t="s">
        <v>20</v>
      </c>
      <c r="E659" t="s">
        <v>13</v>
      </c>
      <c r="F659" s="2">
        <v>283</v>
      </c>
      <c r="G659" t="s">
        <v>12</v>
      </c>
      <c r="H659" s="3">
        <v>56807.8</v>
      </c>
      <c r="I659" s="3">
        <v>1479355</v>
      </c>
      <c r="J659" s="3">
        <v>1183484</v>
      </c>
      <c r="K659" s="3">
        <v>239063.2</v>
      </c>
      <c r="L659" t="s">
        <v>15</v>
      </c>
      <c r="M659">
        <v>4.7</v>
      </c>
    </row>
    <row r="660" spans="1:13" x14ac:dyDescent="0.25">
      <c r="A660">
        <v>659</v>
      </c>
      <c r="B660" s="1">
        <v>42605</v>
      </c>
      <c r="C660" s="1">
        <v>42757</v>
      </c>
      <c r="D660" t="s">
        <v>22</v>
      </c>
      <c r="E660" t="s">
        <v>28</v>
      </c>
      <c r="F660" s="2">
        <v>65</v>
      </c>
      <c r="G660" t="s">
        <v>11</v>
      </c>
      <c r="H660" s="3">
        <v>19357</v>
      </c>
      <c r="I660" s="3">
        <v>536885</v>
      </c>
      <c r="J660" s="3">
        <v>429508</v>
      </c>
      <c r="K660" s="3">
        <v>88020</v>
      </c>
      <c r="L660" t="s">
        <v>18</v>
      </c>
      <c r="M660">
        <v>4.2</v>
      </c>
    </row>
    <row r="661" spans="1:13" x14ac:dyDescent="0.25">
      <c r="A661">
        <v>660</v>
      </c>
      <c r="B661" s="1">
        <v>42605</v>
      </c>
      <c r="C661" s="1">
        <v>42952</v>
      </c>
      <c r="D661" t="s">
        <v>22</v>
      </c>
      <c r="E661" t="s">
        <v>25</v>
      </c>
      <c r="F661" s="2">
        <v>172</v>
      </c>
      <c r="G661" t="s">
        <v>12</v>
      </c>
      <c r="H661" s="3">
        <v>38978.080000000002</v>
      </c>
      <c r="I661" s="3">
        <v>1040037</v>
      </c>
      <c r="J661" s="3">
        <v>832029.6</v>
      </c>
      <c r="K661" s="3">
        <v>169029.32</v>
      </c>
      <c r="L661" t="s">
        <v>14</v>
      </c>
      <c r="M661">
        <v>4.5</v>
      </c>
    </row>
    <row r="662" spans="1:13" x14ac:dyDescent="0.25">
      <c r="A662">
        <v>661</v>
      </c>
      <c r="B662" s="1">
        <v>42605</v>
      </c>
      <c r="C662" s="1">
        <v>42713</v>
      </c>
      <c r="D662" t="s">
        <v>21</v>
      </c>
      <c r="E662" t="s">
        <v>24</v>
      </c>
      <c r="F662" s="2">
        <v>273</v>
      </c>
      <c r="G662" t="s">
        <v>12</v>
      </c>
      <c r="H662" s="3">
        <v>68216</v>
      </c>
      <c r="I662" s="3">
        <v>1767035</v>
      </c>
      <c r="J662" s="3">
        <v>1413628</v>
      </c>
      <c r="K662" s="3">
        <v>285191</v>
      </c>
      <c r="L662" t="s">
        <v>18</v>
      </c>
      <c r="M662">
        <v>4.3</v>
      </c>
    </row>
    <row r="663" spans="1:13" x14ac:dyDescent="0.25">
      <c r="A663">
        <v>662</v>
      </c>
      <c r="B663" s="1">
        <v>42606</v>
      </c>
      <c r="C663" s="1">
        <v>42943</v>
      </c>
      <c r="D663" t="s">
        <v>22</v>
      </c>
      <c r="E663" t="s">
        <v>29</v>
      </c>
      <c r="F663" s="2">
        <v>248</v>
      </c>
      <c r="G663" t="s">
        <v>12</v>
      </c>
      <c r="H663" s="3">
        <v>77773.64</v>
      </c>
      <c r="I663" s="3">
        <v>1999651</v>
      </c>
      <c r="J663" s="3">
        <v>1599720.8</v>
      </c>
      <c r="K663" s="3">
        <v>322156.55999999994</v>
      </c>
      <c r="L663" t="s">
        <v>16</v>
      </c>
      <c r="M663">
        <v>3.7</v>
      </c>
    </row>
    <row r="664" spans="1:13" x14ac:dyDescent="0.25">
      <c r="A664">
        <v>663</v>
      </c>
      <c r="B664" s="1">
        <v>42606</v>
      </c>
      <c r="C664" s="1">
        <v>42785</v>
      </c>
      <c r="D664" t="s">
        <v>23</v>
      </c>
      <c r="E664" t="s">
        <v>27</v>
      </c>
      <c r="F664" s="2">
        <v>42</v>
      </c>
      <c r="G664" t="s">
        <v>11</v>
      </c>
      <c r="H664" s="3">
        <v>17965.72</v>
      </c>
      <c r="I664" s="3">
        <v>500328</v>
      </c>
      <c r="J664" s="3">
        <v>400262.40000000002</v>
      </c>
      <c r="K664" s="3">
        <v>82099.879999999976</v>
      </c>
      <c r="L664" t="s">
        <v>16</v>
      </c>
      <c r="M664">
        <v>3.8</v>
      </c>
    </row>
    <row r="665" spans="1:13" x14ac:dyDescent="0.25">
      <c r="A665">
        <v>664</v>
      </c>
      <c r="B665" s="1">
        <v>42606</v>
      </c>
      <c r="C665" s="1">
        <v>42808</v>
      </c>
      <c r="D665" t="s">
        <v>21</v>
      </c>
      <c r="E665" t="s">
        <v>13</v>
      </c>
      <c r="F665" s="2">
        <v>248</v>
      </c>
      <c r="G665" t="s">
        <v>12</v>
      </c>
      <c r="H665" s="3">
        <v>81720.28</v>
      </c>
      <c r="I665" s="3">
        <v>2094317</v>
      </c>
      <c r="J665" s="3">
        <v>1675453.6</v>
      </c>
      <c r="K665" s="3">
        <v>337143.11999999988</v>
      </c>
      <c r="L665" t="s">
        <v>19</v>
      </c>
      <c r="M665">
        <v>4.7</v>
      </c>
    </row>
    <row r="666" spans="1:13" x14ac:dyDescent="0.25">
      <c r="A666">
        <v>665</v>
      </c>
      <c r="B666" s="1">
        <v>42607</v>
      </c>
      <c r="C666" s="1">
        <v>42845</v>
      </c>
      <c r="D666" t="s">
        <v>21</v>
      </c>
      <c r="E666" t="s">
        <v>25</v>
      </c>
      <c r="F666" s="2">
        <v>156</v>
      </c>
      <c r="G666" t="s">
        <v>12</v>
      </c>
      <c r="H666" s="3">
        <v>59720.08</v>
      </c>
      <c r="I666" s="3">
        <v>1557112</v>
      </c>
      <c r="J666" s="3">
        <v>1245689.6000000001</v>
      </c>
      <c r="K666" s="3">
        <v>251702.31999999989</v>
      </c>
      <c r="L666" t="s">
        <v>15</v>
      </c>
      <c r="M666">
        <v>4</v>
      </c>
    </row>
    <row r="667" spans="1:13" x14ac:dyDescent="0.25">
      <c r="A667">
        <v>666</v>
      </c>
      <c r="B667" s="1">
        <v>42608</v>
      </c>
      <c r="C667" s="1">
        <v>42864</v>
      </c>
      <c r="D667" t="s">
        <v>21</v>
      </c>
      <c r="E667" t="s">
        <v>26</v>
      </c>
      <c r="F667" s="2">
        <v>266</v>
      </c>
      <c r="G667" t="s">
        <v>12</v>
      </c>
      <c r="H667" s="3">
        <v>57523.199999999997</v>
      </c>
      <c r="I667" s="3">
        <v>1494465</v>
      </c>
      <c r="J667" s="3">
        <v>1195572</v>
      </c>
      <c r="K667" s="3">
        <v>241369.8</v>
      </c>
      <c r="L667" t="s">
        <v>19</v>
      </c>
      <c r="M667">
        <v>4.7</v>
      </c>
    </row>
    <row r="668" spans="1:13" x14ac:dyDescent="0.25">
      <c r="A668">
        <v>667</v>
      </c>
      <c r="B668" s="1">
        <v>42608</v>
      </c>
      <c r="C668" s="1">
        <v>42864</v>
      </c>
      <c r="D668" t="s">
        <v>22</v>
      </c>
      <c r="E668" t="s">
        <v>13</v>
      </c>
      <c r="F668" s="2">
        <v>112</v>
      </c>
      <c r="G668" t="s">
        <v>11</v>
      </c>
      <c r="H668" s="3">
        <v>25115.8</v>
      </c>
      <c r="I668" s="3">
        <v>688405</v>
      </c>
      <c r="J668" s="3">
        <v>550724</v>
      </c>
      <c r="K668" s="3">
        <v>112565.2</v>
      </c>
      <c r="L668" t="s">
        <v>18</v>
      </c>
      <c r="M668">
        <v>4.2</v>
      </c>
    </row>
    <row r="669" spans="1:13" x14ac:dyDescent="0.25">
      <c r="A669">
        <v>668</v>
      </c>
      <c r="B669" s="1">
        <v>42609</v>
      </c>
      <c r="C669" s="1">
        <v>42756</v>
      </c>
      <c r="D669" t="s">
        <v>23</v>
      </c>
      <c r="E669" t="s">
        <v>13</v>
      </c>
      <c r="F669" s="2">
        <v>189</v>
      </c>
      <c r="G669" t="s">
        <v>12</v>
      </c>
      <c r="H669" s="3">
        <v>59643.199999999997</v>
      </c>
      <c r="I669" s="3">
        <v>1549490</v>
      </c>
      <c r="J669" s="3">
        <v>1239592</v>
      </c>
      <c r="K669" s="3">
        <v>250254.8</v>
      </c>
      <c r="L669" t="s">
        <v>15</v>
      </c>
      <c r="M669">
        <v>4</v>
      </c>
    </row>
    <row r="670" spans="1:13" x14ac:dyDescent="0.25">
      <c r="A670">
        <v>669</v>
      </c>
      <c r="B670" s="1">
        <v>42609</v>
      </c>
      <c r="C670" s="1">
        <v>42749</v>
      </c>
      <c r="D670" t="s">
        <v>21</v>
      </c>
      <c r="E670" t="s">
        <v>25</v>
      </c>
      <c r="F670" s="2">
        <v>283</v>
      </c>
      <c r="G670" t="s">
        <v>12</v>
      </c>
      <c r="H670" s="3">
        <v>68847.199999999997</v>
      </c>
      <c r="I670" s="3">
        <v>1784315</v>
      </c>
      <c r="J670" s="3">
        <v>1427452</v>
      </c>
      <c r="K670" s="3">
        <v>288015.8</v>
      </c>
      <c r="L670" t="s">
        <v>19</v>
      </c>
      <c r="M670">
        <v>4.7</v>
      </c>
    </row>
    <row r="671" spans="1:13" x14ac:dyDescent="0.25">
      <c r="A671">
        <v>670</v>
      </c>
      <c r="B671" s="1">
        <v>42610</v>
      </c>
      <c r="C671" s="1">
        <v>42852</v>
      </c>
      <c r="D671" t="s">
        <v>21</v>
      </c>
      <c r="E671" t="s">
        <v>25</v>
      </c>
      <c r="F671" s="2">
        <v>286</v>
      </c>
      <c r="G671" t="s">
        <v>12</v>
      </c>
      <c r="H671" s="3">
        <v>86764.88</v>
      </c>
      <c r="I671" s="3">
        <v>2225082</v>
      </c>
      <c r="J671" s="3">
        <v>1780065.6</v>
      </c>
      <c r="K671" s="3">
        <v>358251.5199999999</v>
      </c>
      <c r="L671" t="s">
        <v>18</v>
      </c>
      <c r="M671">
        <v>3.7</v>
      </c>
    </row>
    <row r="672" spans="1:13" x14ac:dyDescent="0.25">
      <c r="A672">
        <v>671</v>
      </c>
      <c r="B672" s="1">
        <v>42610</v>
      </c>
      <c r="C672" s="1">
        <v>42832</v>
      </c>
      <c r="D672" t="s">
        <v>21</v>
      </c>
      <c r="E672" t="s">
        <v>25</v>
      </c>
      <c r="F672" s="2">
        <v>228</v>
      </c>
      <c r="G672" t="s">
        <v>12</v>
      </c>
      <c r="H672" s="3">
        <v>50174.2</v>
      </c>
      <c r="I672" s="3">
        <v>1314415</v>
      </c>
      <c r="J672" s="3">
        <v>1051532</v>
      </c>
      <c r="K672" s="3">
        <v>212708.8</v>
      </c>
      <c r="L672" t="s">
        <v>19</v>
      </c>
      <c r="M672">
        <v>4.8</v>
      </c>
    </row>
    <row r="673" spans="1:13" x14ac:dyDescent="0.25">
      <c r="A673">
        <v>672</v>
      </c>
      <c r="B673" s="1">
        <v>42610</v>
      </c>
      <c r="C673" s="1">
        <v>42871</v>
      </c>
      <c r="D673" t="s">
        <v>22</v>
      </c>
      <c r="E673" t="s">
        <v>13</v>
      </c>
      <c r="F673" s="2">
        <v>181</v>
      </c>
      <c r="G673" t="s">
        <v>12</v>
      </c>
      <c r="H673" s="3">
        <v>48354.04</v>
      </c>
      <c r="I673" s="3">
        <v>1262411</v>
      </c>
      <c r="J673" s="3">
        <v>1009928.8</v>
      </c>
      <c r="K673" s="3">
        <v>204128.15999999995</v>
      </c>
      <c r="L673" t="s">
        <v>19</v>
      </c>
      <c r="M673">
        <v>4</v>
      </c>
    </row>
    <row r="674" spans="1:13" x14ac:dyDescent="0.25">
      <c r="A674">
        <v>673</v>
      </c>
      <c r="B674" s="1">
        <v>42611</v>
      </c>
      <c r="C674" s="1">
        <v>42828</v>
      </c>
      <c r="D674" t="s">
        <v>23</v>
      </c>
      <c r="E674" t="s">
        <v>27</v>
      </c>
      <c r="F674" s="2">
        <v>62</v>
      </c>
      <c r="G674" t="s">
        <v>11</v>
      </c>
      <c r="H674" s="3">
        <v>18380.72</v>
      </c>
      <c r="I674" s="3">
        <v>515803</v>
      </c>
      <c r="J674" s="3">
        <v>412642.4</v>
      </c>
      <c r="K674" s="3">
        <v>84779.879999999976</v>
      </c>
      <c r="L674" t="s">
        <v>19</v>
      </c>
      <c r="M674">
        <v>3.8</v>
      </c>
    </row>
    <row r="675" spans="1:13" x14ac:dyDescent="0.25">
      <c r="A675">
        <v>674</v>
      </c>
      <c r="B675" s="1">
        <v>42611</v>
      </c>
      <c r="C675" s="1">
        <v>42951</v>
      </c>
      <c r="D675" t="s">
        <v>22</v>
      </c>
      <c r="E675" t="s">
        <v>24</v>
      </c>
      <c r="F675" s="2">
        <v>147</v>
      </c>
      <c r="G675" t="s">
        <v>12</v>
      </c>
      <c r="H675" s="3">
        <v>54709.72</v>
      </c>
      <c r="I675" s="3">
        <v>1428653</v>
      </c>
      <c r="J675" s="3">
        <v>1142922.3999999999</v>
      </c>
      <c r="K675" s="3">
        <v>231020.88000000009</v>
      </c>
      <c r="L675" t="s">
        <v>15</v>
      </c>
      <c r="M675">
        <v>3.6</v>
      </c>
    </row>
    <row r="676" spans="1:13" x14ac:dyDescent="0.25">
      <c r="A676">
        <v>675</v>
      </c>
      <c r="B676" s="1">
        <v>42611</v>
      </c>
      <c r="C676" s="1">
        <v>42865</v>
      </c>
      <c r="D676" t="s">
        <v>23</v>
      </c>
      <c r="E676" t="s">
        <v>13</v>
      </c>
      <c r="F676" s="2">
        <v>55</v>
      </c>
      <c r="G676" t="s">
        <v>11</v>
      </c>
      <c r="H676" s="3">
        <v>12492.64</v>
      </c>
      <c r="I676" s="3">
        <v>366201</v>
      </c>
      <c r="J676" s="3">
        <v>292960.8</v>
      </c>
      <c r="K676" s="3">
        <v>60747.560000000012</v>
      </c>
      <c r="L676" t="s">
        <v>15</v>
      </c>
      <c r="M676">
        <v>3.7</v>
      </c>
    </row>
    <row r="677" spans="1:13" x14ac:dyDescent="0.25">
      <c r="A677">
        <v>676</v>
      </c>
      <c r="B677" s="1">
        <v>42611</v>
      </c>
      <c r="C677" s="1">
        <v>42731</v>
      </c>
      <c r="D677" t="s">
        <v>22</v>
      </c>
      <c r="E677" t="s">
        <v>27</v>
      </c>
      <c r="F677" s="2">
        <v>40</v>
      </c>
      <c r="G677" t="s">
        <v>11</v>
      </c>
      <c r="H677" s="3">
        <v>11467.52</v>
      </c>
      <c r="I677" s="3">
        <v>348048</v>
      </c>
      <c r="J677" s="3">
        <v>278438.40000000002</v>
      </c>
      <c r="K677" s="3">
        <v>58142.079999999973</v>
      </c>
      <c r="L677" t="s">
        <v>14</v>
      </c>
      <c r="M677">
        <v>3.8</v>
      </c>
    </row>
    <row r="678" spans="1:13" x14ac:dyDescent="0.25">
      <c r="A678">
        <v>677</v>
      </c>
      <c r="B678" s="1">
        <v>42612</v>
      </c>
      <c r="C678" s="1">
        <v>42759</v>
      </c>
      <c r="D678" t="s">
        <v>22</v>
      </c>
      <c r="E678" t="s">
        <v>27</v>
      </c>
      <c r="F678" s="2">
        <v>49</v>
      </c>
      <c r="G678" t="s">
        <v>11</v>
      </c>
      <c r="H678" s="3">
        <v>8151.12</v>
      </c>
      <c r="I678" s="3">
        <v>263663</v>
      </c>
      <c r="J678" s="3">
        <v>210930.4</v>
      </c>
      <c r="K678" s="3">
        <v>44581.48</v>
      </c>
      <c r="L678" t="s">
        <v>16</v>
      </c>
      <c r="M678">
        <v>4.9000000000000004</v>
      </c>
    </row>
    <row r="679" spans="1:13" x14ac:dyDescent="0.25">
      <c r="A679">
        <v>678</v>
      </c>
      <c r="B679" s="1">
        <v>42612</v>
      </c>
      <c r="C679" s="1">
        <v>42764</v>
      </c>
      <c r="D679" t="s">
        <v>22</v>
      </c>
      <c r="E679" t="s">
        <v>13</v>
      </c>
      <c r="F679" s="2">
        <v>219</v>
      </c>
      <c r="G679" t="s">
        <v>12</v>
      </c>
      <c r="H679" s="3">
        <v>48616</v>
      </c>
      <c r="I679" s="3">
        <v>1275785</v>
      </c>
      <c r="J679" s="3">
        <v>1020628</v>
      </c>
      <c r="K679" s="3">
        <v>206541</v>
      </c>
      <c r="L679" t="s">
        <v>18</v>
      </c>
      <c r="M679">
        <v>4.9000000000000004</v>
      </c>
    </row>
    <row r="680" spans="1:13" x14ac:dyDescent="0.25">
      <c r="A680">
        <v>679</v>
      </c>
      <c r="B680" s="1">
        <v>42612</v>
      </c>
      <c r="C680" s="1">
        <v>42841</v>
      </c>
      <c r="D680" t="s">
        <v>22</v>
      </c>
      <c r="E680" t="s">
        <v>28</v>
      </c>
      <c r="F680" s="2">
        <v>106</v>
      </c>
      <c r="G680" t="s">
        <v>12</v>
      </c>
      <c r="H680" s="3">
        <v>41935.760000000002</v>
      </c>
      <c r="I680" s="3">
        <v>1111454</v>
      </c>
      <c r="J680" s="3">
        <v>889163.2</v>
      </c>
      <c r="K680" s="3">
        <v>180355.04000000004</v>
      </c>
      <c r="L680" t="s">
        <v>16</v>
      </c>
      <c r="M680">
        <v>4.4000000000000004</v>
      </c>
    </row>
    <row r="681" spans="1:13" x14ac:dyDescent="0.25">
      <c r="A681">
        <v>680</v>
      </c>
      <c r="B681" s="1">
        <v>42612</v>
      </c>
      <c r="C681" s="1">
        <v>42861</v>
      </c>
      <c r="D681" t="s">
        <v>23</v>
      </c>
      <c r="E681" t="s">
        <v>29</v>
      </c>
      <c r="F681" s="2">
        <v>243</v>
      </c>
      <c r="G681" t="s">
        <v>12</v>
      </c>
      <c r="H681" s="3">
        <v>39966.559999999998</v>
      </c>
      <c r="I681" s="3">
        <v>1066349</v>
      </c>
      <c r="J681" s="3">
        <v>853079.2</v>
      </c>
      <c r="K681" s="3">
        <v>173303.24000000005</v>
      </c>
      <c r="L681" t="s">
        <v>14</v>
      </c>
      <c r="M681">
        <v>4.2</v>
      </c>
    </row>
    <row r="682" spans="1:13" x14ac:dyDescent="0.25">
      <c r="A682">
        <v>681</v>
      </c>
      <c r="B682" s="1">
        <v>42612</v>
      </c>
      <c r="C682" s="1">
        <v>42833</v>
      </c>
      <c r="D682" t="s">
        <v>20</v>
      </c>
      <c r="E682" t="s">
        <v>13</v>
      </c>
      <c r="F682" s="2">
        <v>280</v>
      </c>
      <c r="G682" t="s">
        <v>12</v>
      </c>
      <c r="H682" s="3">
        <v>45757.16</v>
      </c>
      <c r="I682" s="3">
        <v>1202589</v>
      </c>
      <c r="J682" s="3">
        <v>962071.2</v>
      </c>
      <c r="K682" s="3">
        <v>194760.64000000004</v>
      </c>
      <c r="L682" t="s">
        <v>17</v>
      </c>
      <c r="M682">
        <v>4.9000000000000004</v>
      </c>
    </row>
    <row r="683" spans="1:13" x14ac:dyDescent="0.25">
      <c r="A683">
        <v>682</v>
      </c>
      <c r="B683" s="1">
        <v>42612</v>
      </c>
      <c r="C683" s="1">
        <v>42866</v>
      </c>
      <c r="D683" t="s">
        <v>23</v>
      </c>
      <c r="E683" t="s">
        <v>28</v>
      </c>
      <c r="F683" s="2">
        <v>271</v>
      </c>
      <c r="G683" t="s">
        <v>12</v>
      </c>
      <c r="H683" s="3">
        <v>61896.68</v>
      </c>
      <c r="I683" s="3">
        <v>1614177</v>
      </c>
      <c r="J683" s="3">
        <v>1291341.6000000001</v>
      </c>
      <c r="K683" s="3">
        <v>260938.71999999991</v>
      </c>
      <c r="L683" t="s">
        <v>16</v>
      </c>
      <c r="M683">
        <v>3.8</v>
      </c>
    </row>
    <row r="684" spans="1:13" x14ac:dyDescent="0.25">
      <c r="A684">
        <v>683</v>
      </c>
      <c r="B684" s="1">
        <v>42612</v>
      </c>
      <c r="C684" s="1">
        <v>42893</v>
      </c>
      <c r="D684" t="s">
        <v>22</v>
      </c>
      <c r="E684" t="s">
        <v>28</v>
      </c>
      <c r="F684" s="2">
        <v>116</v>
      </c>
      <c r="G684" t="s">
        <v>12</v>
      </c>
      <c r="H684" s="3">
        <v>41324.32</v>
      </c>
      <c r="I684" s="3">
        <v>1085918</v>
      </c>
      <c r="J684" s="3">
        <v>868734.4</v>
      </c>
      <c r="K684" s="3">
        <v>175859.27999999997</v>
      </c>
      <c r="L684" t="s">
        <v>17</v>
      </c>
      <c r="M684">
        <v>4.3</v>
      </c>
    </row>
    <row r="685" spans="1:13" x14ac:dyDescent="0.25">
      <c r="A685">
        <v>684</v>
      </c>
      <c r="B685" s="1">
        <v>42613</v>
      </c>
      <c r="C685" s="1">
        <v>42801</v>
      </c>
      <c r="D685" t="s">
        <v>22</v>
      </c>
      <c r="E685" t="s">
        <v>27</v>
      </c>
      <c r="F685" s="2">
        <v>243</v>
      </c>
      <c r="G685" t="s">
        <v>12</v>
      </c>
      <c r="H685" s="3">
        <v>90278.76</v>
      </c>
      <c r="I685" s="3">
        <v>2321729</v>
      </c>
      <c r="J685" s="3">
        <v>1857383.2</v>
      </c>
      <c r="K685" s="3">
        <v>374067.04000000004</v>
      </c>
      <c r="L685" t="s">
        <v>18</v>
      </c>
      <c r="M685">
        <v>4.7</v>
      </c>
    </row>
    <row r="686" spans="1:13" x14ac:dyDescent="0.25">
      <c r="A686">
        <v>685</v>
      </c>
      <c r="B686" s="1">
        <v>42613</v>
      </c>
      <c r="C686" s="1">
        <v>42852</v>
      </c>
      <c r="D686" t="s">
        <v>23</v>
      </c>
      <c r="E686" t="s">
        <v>28</v>
      </c>
      <c r="F686" s="2">
        <v>93</v>
      </c>
      <c r="G686" t="s">
        <v>11</v>
      </c>
      <c r="H686" s="3">
        <v>25757.64</v>
      </c>
      <c r="I686" s="3">
        <v>698801</v>
      </c>
      <c r="J686" s="3">
        <v>559040.80000000005</v>
      </c>
      <c r="K686" s="3">
        <v>114002.55999999995</v>
      </c>
      <c r="L686" t="s">
        <v>14</v>
      </c>
      <c r="M686">
        <v>4.3</v>
      </c>
    </row>
    <row r="687" spans="1:13" x14ac:dyDescent="0.25">
      <c r="A687">
        <v>686</v>
      </c>
      <c r="B687" s="1">
        <v>42613</v>
      </c>
      <c r="C687" s="1">
        <v>42740</v>
      </c>
      <c r="D687" t="s">
        <v>23</v>
      </c>
      <c r="E687" t="s">
        <v>28</v>
      </c>
      <c r="F687" s="2">
        <v>50</v>
      </c>
      <c r="G687" t="s">
        <v>11</v>
      </c>
      <c r="H687" s="3">
        <v>12172.84</v>
      </c>
      <c r="I687" s="3">
        <v>367256</v>
      </c>
      <c r="J687" s="3">
        <v>293804.79999999999</v>
      </c>
      <c r="K687" s="3">
        <v>61278.360000000015</v>
      </c>
      <c r="L687" t="s">
        <v>18</v>
      </c>
      <c r="M687">
        <v>4.2</v>
      </c>
    </row>
    <row r="688" spans="1:13" x14ac:dyDescent="0.25">
      <c r="A688">
        <v>687</v>
      </c>
      <c r="B688" s="1">
        <v>42614</v>
      </c>
      <c r="C688" s="1">
        <v>42834</v>
      </c>
      <c r="D688" t="s">
        <v>21</v>
      </c>
      <c r="E688" t="s">
        <v>28</v>
      </c>
      <c r="F688" s="2">
        <v>235</v>
      </c>
      <c r="G688" t="s">
        <v>12</v>
      </c>
      <c r="H688" s="3">
        <v>47989.2</v>
      </c>
      <c r="I688" s="3">
        <v>1251365</v>
      </c>
      <c r="J688" s="3">
        <v>1001092</v>
      </c>
      <c r="K688" s="3">
        <v>202283.8</v>
      </c>
      <c r="L688" t="s">
        <v>19</v>
      </c>
      <c r="M688">
        <v>4.3</v>
      </c>
    </row>
    <row r="689" spans="1:13" x14ac:dyDescent="0.25">
      <c r="A689">
        <v>688</v>
      </c>
      <c r="B689" s="1">
        <v>42614</v>
      </c>
      <c r="C689" s="1">
        <v>42717</v>
      </c>
      <c r="D689" t="s">
        <v>23</v>
      </c>
      <c r="E689" t="s">
        <v>24</v>
      </c>
      <c r="F689" s="2">
        <v>159</v>
      </c>
      <c r="G689" t="s">
        <v>11</v>
      </c>
      <c r="H689" s="3">
        <v>26566.52</v>
      </c>
      <c r="I689" s="3">
        <v>725323</v>
      </c>
      <c r="J689" s="3">
        <v>580258.4</v>
      </c>
      <c r="K689" s="3">
        <v>118498.07999999997</v>
      </c>
      <c r="L689" t="s">
        <v>19</v>
      </c>
      <c r="M689">
        <v>4.5</v>
      </c>
    </row>
    <row r="690" spans="1:13" x14ac:dyDescent="0.25">
      <c r="A690">
        <v>689</v>
      </c>
      <c r="B690" s="1">
        <v>42615</v>
      </c>
      <c r="C690" s="1">
        <v>42921</v>
      </c>
      <c r="D690" t="s">
        <v>20</v>
      </c>
      <c r="E690" t="s">
        <v>24</v>
      </c>
      <c r="F690" s="2">
        <v>60</v>
      </c>
      <c r="G690" t="s">
        <v>11</v>
      </c>
      <c r="H690" s="3">
        <v>23776.76</v>
      </c>
      <c r="I690" s="3">
        <v>658629</v>
      </c>
      <c r="J690" s="3">
        <v>526903.19999999995</v>
      </c>
      <c r="K690" s="3">
        <v>107949.04000000005</v>
      </c>
      <c r="L690" t="s">
        <v>18</v>
      </c>
      <c r="M690">
        <v>4.7</v>
      </c>
    </row>
    <row r="691" spans="1:13" x14ac:dyDescent="0.25">
      <c r="A691">
        <v>690</v>
      </c>
      <c r="B691" s="1">
        <v>42615</v>
      </c>
      <c r="C691" s="1">
        <v>42926</v>
      </c>
      <c r="D691" t="s">
        <v>22</v>
      </c>
      <c r="E691" t="s">
        <v>25</v>
      </c>
      <c r="F691" s="2">
        <v>78</v>
      </c>
      <c r="G691" t="s">
        <v>11</v>
      </c>
      <c r="H691" s="3">
        <v>28191.68</v>
      </c>
      <c r="I691" s="3">
        <v>759977</v>
      </c>
      <c r="J691" s="3">
        <v>607981.6</v>
      </c>
      <c r="K691" s="3">
        <v>123803.72000000003</v>
      </c>
      <c r="L691" t="s">
        <v>16</v>
      </c>
      <c r="M691">
        <v>4.8</v>
      </c>
    </row>
    <row r="692" spans="1:13" x14ac:dyDescent="0.25">
      <c r="A692">
        <v>691</v>
      </c>
      <c r="B692" s="1">
        <v>42615</v>
      </c>
      <c r="C692" s="1">
        <v>42816</v>
      </c>
      <c r="D692" t="s">
        <v>21</v>
      </c>
      <c r="E692" t="s">
        <v>26</v>
      </c>
      <c r="F692" s="2">
        <v>114</v>
      </c>
      <c r="G692" t="s">
        <v>12</v>
      </c>
      <c r="H692" s="3">
        <v>32445.48</v>
      </c>
      <c r="I692" s="3">
        <v>863547</v>
      </c>
      <c r="J692" s="3">
        <v>690837.6</v>
      </c>
      <c r="K692" s="3">
        <v>140263.92000000001</v>
      </c>
      <c r="L692" t="s">
        <v>16</v>
      </c>
      <c r="M692">
        <v>4.5999999999999996</v>
      </c>
    </row>
    <row r="693" spans="1:13" x14ac:dyDescent="0.25">
      <c r="A693">
        <v>692</v>
      </c>
      <c r="B693" s="1">
        <v>42615</v>
      </c>
      <c r="C693" s="1">
        <v>42854</v>
      </c>
      <c r="D693" t="s">
        <v>22</v>
      </c>
      <c r="E693" t="s">
        <v>27</v>
      </c>
      <c r="F693" s="2">
        <v>173</v>
      </c>
      <c r="G693" t="s">
        <v>12</v>
      </c>
      <c r="H693" s="3">
        <v>39780.32</v>
      </c>
      <c r="I693" s="3">
        <v>1059368</v>
      </c>
      <c r="J693" s="3">
        <v>847494.4</v>
      </c>
      <c r="K693" s="3">
        <v>172093.27999999997</v>
      </c>
      <c r="L693" t="s">
        <v>18</v>
      </c>
      <c r="M693">
        <v>4.5999999999999996</v>
      </c>
    </row>
    <row r="694" spans="1:13" x14ac:dyDescent="0.25">
      <c r="A694">
        <v>693</v>
      </c>
      <c r="B694" s="1">
        <v>42616</v>
      </c>
      <c r="C694" s="1">
        <v>42725</v>
      </c>
      <c r="D694" t="s">
        <v>20</v>
      </c>
      <c r="E694" t="s">
        <v>26</v>
      </c>
      <c r="F694" s="2">
        <v>262</v>
      </c>
      <c r="G694" t="s">
        <v>12</v>
      </c>
      <c r="H694" s="3">
        <v>68289.279999999999</v>
      </c>
      <c r="I694" s="3">
        <v>1758892</v>
      </c>
      <c r="J694" s="3">
        <v>1407113.6</v>
      </c>
      <c r="K694" s="3">
        <v>283489.11999999988</v>
      </c>
      <c r="L694" t="s">
        <v>17</v>
      </c>
      <c r="M694">
        <v>4.4000000000000004</v>
      </c>
    </row>
    <row r="695" spans="1:13" x14ac:dyDescent="0.25">
      <c r="A695">
        <v>694</v>
      </c>
      <c r="B695" s="1">
        <v>42616</v>
      </c>
      <c r="C695" s="1">
        <v>42763</v>
      </c>
      <c r="D695" t="s">
        <v>22</v>
      </c>
      <c r="E695" t="s">
        <v>25</v>
      </c>
      <c r="F695" s="2">
        <v>83</v>
      </c>
      <c r="G695" t="s">
        <v>11</v>
      </c>
      <c r="H695" s="3">
        <v>15053.28</v>
      </c>
      <c r="I695" s="3">
        <v>429317</v>
      </c>
      <c r="J695" s="3">
        <v>343453.6</v>
      </c>
      <c r="K695" s="3">
        <v>70810.120000000024</v>
      </c>
      <c r="L695" t="s">
        <v>18</v>
      </c>
      <c r="M695">
        <v>3.7</v>
      </c>
    </row>
    <row r="696" spans="1:13" x14ac:dyDescent="0.25">
      <c r="A696">
        <v>695</v>
      </c>
      <c r="B696" s="1">
        <v>42616</v>
      </c>
      <c r="C696" s="1">
        <v>42857</v>
      </c>
      <c r="D696" t="s">
        <v>23</v>
      </c>
      <c r="E696" t="s">
        <v>26</v>
      </c>
      <c r="F696" s="2">
        <v>201</v>
      </c>
      <c r="G696" t="s">
        <v>12</v>
      </c>
      <c r="H696" s="3">
        <v>60346.400000000001</v>
      </c>
      <c r="I696" s="3">
        <v>1561070</v>
      </c>
      <c r="J696" s="3">
        <v>1248856</v>
      </c>
      <c r="K696" s="3">
        <v>251867.6</v>
      </c>
      <c r="L696" t="s">
        <v>15</v>
      </c>
      <c r="M696">
        <v>3.9</v>
      </c>
    </row>
    <row r="697" spans="1:13" x14ac:dyDescent="0.25">
      <c r="A697">
        <v>696</v>
      </c>
      <c r="B697" s="1">
        <v>42617</v>
      </c>
      <c r="C697" s="1">
        <v>42821</v>
      </c>
      <c r="D697" t="s">
        <v>23</v>
      </c>
      <c r="E697" t="s">
        <v>29</v>
      </c>
      <c r="F697" s="2">
        <v>251</v>
      </c>
      <c r="G697" t="s">
        <v>12</v>
      </c>
      <c r="H697" s="3">
        <v>54512.12</v>
      </c>
      <c r="I697" s="3">
        <v>1415813</v>
      </c>
      <c r="J697" s="3">
        <v>1132650.3999999999</v>
      </c>
      <c r="K697" s="3">
        <v>228650.4800000001</v>
      </c>
      <c r="L697" t="s">
        <v>19</v>
      </c>
      <c r="M697">
        <v>3.7</v>
      </c>
    </row>
    <row r="698" spans="1:13" x14ac:dyDescent="0.25">
      <c r="A698">
        <v>697</v>
      </c>
      <c r="B698" s="1">
        <v>42617</v>
      </c>
      <c r="C698" s="1">
        <v>42951</v>
      </c>
      <c r="D698" t="s">
        <v>21</v>
      </c>
      <c r="E698" t="s">
        <v>26</v>
      </c>
      <c r="F698" s="2">
        <v>156</v>
      </c>
      <c r="G698" t="s">
        <v>12</v>
      </c>
      <c r="H698" s="3">
        <v>61745.64</v>
      </c>
      <c r="I698" s="3">
        <v>1606501</v>
      </c>
      <c r="J698" s="3">
        <v>1285200.8</v>
      </c>
      <c r="K698" s="3">
        <v>259554.55999999994</v>
      </c>
      <c r="L698" t="s">
        <v>14</v>
      </c>
      <c r="M698">
        <v>4.5999999999999996</v>
      </c>
    </row>
    <row r="699" spans="1:13" x14ac:dyDescent="0.25">
      <c r="A699">
        <v>698</v>
      </c>
      <c r="B699" s="1">
        <v>42618</v>
      </c>
      <c r="C699" s="1">
        <v>42871</v>
      </c>
      <c r="D699" t="s">
        <v>20</v>
      </c>
      <c r="E699" t="s">
        <v>29</v>
      </c>
      <c r="F699" s="2">
        <v>182</v>
      </c>
      <c r="G699" t="s">
        <v>12</v>
      </c>
      <c r="H699" s="3">
        <v>30431.599999999999</v>
      </c>
      <c r="I699" s="3">
        <v>825625</v>
      </c>
      <c r="J699" s="3">
        <v>660500</v>
      </c>
      <c r="K699" s="3">
        <v>134693.4</v>
      </c>
      <c r="L699" t="s">
        <v>14</v>
      </c>
      <c r="M699">
        <v>4.8</v>
      </c>
    </row>
    <row r="700" spans="1:13" x14ac:dyDescent="0.25">
      <c r="A700">
        <v>699</v>
      </c>
      <c r="B700" s="1">
        <v>42618</v>
      </c>
      <c r="C700" s="1">
        <v>42900</v>
      </c>
      <c r="D700" t="s">
        <v>23</v>
      </c>
      <c r="E700" t="s">
        <v>28</v>
      </c>
      <c r="F700" s="2">
        <v>67</v>
      </c>
      <c r="G700" t="s">
        <v>11</v>
      </c>
      <c r="H700" s="3">
        <v>21026.959999999999</v>
      </c>
      <c r="I700" s="3">
        <v>579459</v>
      </c>
      <c r="J700" s="3">
        <v>463567.2</v>
      </c>
      <c r="K700" s="3">
        <v>94864.84</v>
      </c>
      <c r="L700" t="s">
        <v>19</v>
      </c>
      <c r="M700">
        <v>4.5999999999999996</v>
      </c>
    </row>
    <row r="701" spans="1:13" x14ac:dyDescent="0.25">
      <c r="A701">
        <v>700</v>
      </c>
      <c r="B701" s="1">
        <v>42619</v>
      </c>
      <c r="C701" s="1">
        <v>42755</v>
      </c>
      <c r="D701" t="s">
        <v>23</v>
      </c>
      <c r="E701" t="s">
        <v>25</v>
      </c>
      <c r="F701" s="2">
        <v>293</v>
      </c>
      <c r="G701" t="s">
        <v>12</v>
      </c>
      <c r="H701" s="3">
        <v>49006.6</v>
      </c>
      <c r="I701" s="3">
        <v>1287800</v>
      </c>
      <c r="J701" s="3">
        <v>1030240</v>
      </c>
      <c r="K701" s="3">
        <v>208553.4</v>
      </c>
      <c r="L701" t="s">
        <v>19</v>
      </c>
      <c r="M701">
        <v>4.3</v>
      </c>
    </row>
    <row r="702" spans="1:13" x14ac:dyDescent="0.25">
      <c r="A702">
        <v>701</v>
      </c>
      <c r="B702" s="1">
        <v>42619</v>
      </c>
      <c r="C702" s="1">
        <v>42731</v>
      </c>
      <c r="D702" t="s">
        <v>20</v>
      </c>
      <c r="E702" t="s">
        <v>27</v>
      </c>
      <c r="F702" s="2">
        <v>219</v>
      </c>
      <c r="G702" t="s">
        <v>12</v>
      </c>
      <c r="H702" s="3">
        <v>79728</v>
      </c>
      <c r="I702" s="3">
        <v>2059685</v>
      </c>
      <c r="J702" s="3">
        <v>1647748</v>
      </c>
      <c r="K702" s="3">
        <v>332209</v>
      </c>
      <c r="L702" t="s">
        <v>16</v>
      </c>
      <c r="M702">
        <v>4.5999999999999996</v>
      </c>
    </row>
    <row r="703" spans="1:13" x14ac:dyDescent="0.25">
      <c r="A703">
        <v>702</v>
      </c>
      <c r="B703" s="1">
        <v>42620</v>
      </c>
      <c r="C703" s="1">
        <v>42749</v>
      </c>
      <c r="D703" t="s">
        <v>20</v>
      </c>
      <c r="E703" t="s">
        <v>13</v>
      </c>
      <c r="F703" s="2">
        <v>289</v>
      </c>
      <c r="G703" t="s">
        <v>12</v>
      </c>
      <c r="H703" s="3">
        <v>101180</v>
      </c>
      <c r="I703" s="3">
        <v>2589710</v>
      </c>
      <c r="J703" s="3">
        <v>2071768</v>
      </c>
      <c r="K703" s="3">
        <v>416762</v>
      </c>
      <c r="L703" t="s">
        <v>14</v>
      </c>
      <c r="M703">
        <v>3.9</v>
      </c>
    </row>
    <row r="704" spans="1:13" x14ac:dyDescent="0.25">
      <c r="A704">
        <v>703</v>
      </c>
      <c r="B704" s="1">
        <v>42620</v>
      </c>
      <c r="C704" s="1">
        <v>42941</v>
      </c>
      <c r="D704" t="s">
        <v>22</v>
      </c>
      <c r="E704" t="s">
        <v>24</v>
      </c>
      <c r="F704" s="2">
        <v>154</v>
      </c>
      <c r="G704" t="s">
        <v>12</v>
      </c>
      <c r="H704" s="3">
        <v>52448.800000000003</v>
      </c>
      <c r="I704" s="3">
        <v>1377605</v>
      </c>
      <c r="J704" s="3">
        <v>1102084</v>
      </c>
      <c r="K704" s="3">
        <v>223072.2</v>
      </c>
      <c r="L704" t="s">
        <v>18</v>
      </c>
      <c r="M704">
        <v>4</v>
      </c>
    </row>
    <row r="705" spans="1:13" x14ac:dyDescent="0.25">
      <c r="A705">
        <v>704</v>
      </c>
      <c r="B705" s="1">
        <v>42621</v>
      </c>
      <c r="C705" s="1">
        <v>42837</v>
      </c>
      <c r="D705" t="s">
        <v>20</v>
      </c>
      <c r="E705" t="s">
        <v>28</v>
      </c>
      <c r="F705" s="2">
        <v>272</v>
      </c>
      <c r="G705" t="s">
        <v>12</v>
      </c>
      <c r="H705" s="3">
        <v>100939.56</v>
      </c>
      <c r="I705" s="3">
        <v>2576849</v>
      </c>
      <c r="J705" s="3">
        <v>2061479.2</v>
      </c>
      <c r="K705" s="3">
        <v>414430.24000000005</v>
      </c>
      <c r="L705" t="s">
        <v>14</v>
      </c>
      <c r="M705">
        <v>4.7</v>
      </c>
    </row>
    <row r="706" spans="1:13" x14ac:dyDescent="0.25">
      <c r="A706">
        <v>705</v>
      </c>
      <c r="B706" s="1">
        <v>42621</v>
      </c>
      <c r="C706" s="1">
        <v>42776</v>
      </c>
      <c r="D706" t="s">
        <v>21</v>
      </c>
      <c r="E706" t="s">
        <v>26</v>
      </c>
      <c r="F706" s="2">
        <v>264</v>
      </c>
      <c r="G706" t="s">
        <v>12</v>
      </c>
      <c r="H706" s="3">
        <v>45902.68</v>
      </c>
      <c r="I706" s="3">
        <v>1202327</v>
      </c>
      <c r="J706" s="3">
        <v>961861.6</v>
      </c>
      <c r="K706" s="3">
        <v>194562.72000000003</v>
      </c>
      <c r="L706" t="s">
        <v>19</v>
      </c>
      <c r="M706">
        <v>4.5</v>
      </c>
    </row>
    <row r="707" spans="1:13" x14ac:dyDescent="0.25">
      <c r="A707">
        <v>706</v>
      </c>
      <c r="B707" s="1">
        <v>42621</v>
      </c>
      <c r="C707" s="1">
        <v>42740</v>
      </c>
      <c r="D707" t="s">
        <v>20</v>
      </c>
      <c r="E707" t="s">
        <v>29</v>
      </c>
      <c r="F707" s="2">
        <v>255</v>
      </c>
      <c r="G707" t="s">
        <v>12</v>
      </c>
      <c r="H707" s="3">
        <v>59437.4</v>
      </c>
      <c r="I707" s="3">
        <v>1538045</v>
      </c>
      <c r="J707" s="3">
        <v>1230436</v>
      </c>
      <c r="K707" s="3">
        <v>248171.6</v>
      </c>
      <c r="L707" t="s">
        <v>16</v>
      </c>
      <c r="M707">
        <v>3.6</v>
      </c>
    </row>
    <row r="708" spans="1:13" x14ac:dyDescent="0.25">
      <c r="A708">
        <v>707</v>
      </c>
      <c r="B708" s="1">
        <v>42621</v>
      </c>
      <c r="C708" s="1">
        <v>42882</v>
      </c>
      <c r="D708" t="s">
        <v>22</v>
      </c>
      <c r="E708" t="s">
        <v>25</v>
      </c>
      <c r="F708" s="2">
        <v>209</v>
      </c>
      <c r="G708" t="s">
        <v>12</v>
      </c>
      <c r="H708" s="3">
        <v>67322.8</v>
      </c>
      <c r="I708" s="3">
        <v>1749605</v>
      </c>
      <c r="J708" s="3">
        <v>1399684</v>
      </c>
      <c r="K708" s="3">
        <v>282598.2</v>
      </c>
      <c r="L708" t="s">
        <v>14</v>
      </c>
      <c r="M708">
        <v>4.7</v>
      </c>
    </row>
    <row r="709" spans="1:13" x14ac:dyDescent="0.25">
      <c r="A709">
        <v>708</v>
      </c>
      <c r="B709" s="1">
        <v>42621</v>
      </c>
      <c r="C709" s="1">
        <v>42858</v>
      </c>
      <c r="D709" t="s">
        <v>21</v>
      </c>
      <c r="E709" t="s">
        <v>25</v>
      </c>
      <c r="F709" s="2">
        <v>154</v>
      </c>
      <c r="G709" t="s">
        <v>12</v>
      </c>
      <c r="H709" s="3">
        <v>44299.48</v>
      </c>
      <c r="I709" s="3">
        <v>1160497</v>
      </c>
      <c r="J709" s="3">
        <v>928397.6</v>
      </c>
      <c r="K709" s="3">
        <v>187799.92</v>
      </c>
      <c r="L709" t="s">
        <v>15</v>
      </c>
      <c r="M709">
        <v>4.3</v>
      </c>
    </row>
    <row r="710" spans="1:13" x14ac:dyDescent="0.25">
      <c r="A710">
        <v>709</v>
      </c>
      <c r="B710" s="1">
        <v>42622</v>
      </c>
      <c r="C710" s="1">
        <v>42929</v>
      </c>
      <c r="D710" t="s">
        <v>20</v>
      </c>
      <c r="E710" t="s">
        <v>28</v>
      </c>
      <c r="F710" s="2">
        <v>203</v>
      </c>
      <c r="G710" t="s">
        <v>12</v>
      </c>
      <c r="H710" s="3">
        <v>46221.8</v>
      </c>
      <c r="I710" s="3">
        <v>1218155</v>
      </c>
      <c r="J710" s="3">
        <v>974524</v>
      </c>
      <c r="K710" s="3">
        <v>197409.2</v>
      </c>
      <c r="L710" t="s">
        <v>17</v>
      </c>
      <c r="M710">
        <v>4.5</v>
      </c>
    </row>
    <row r="711" spans="1:13" x14ac:dyDescent="0.25">
      <c r="A711">
        <v>710</v>
      </c>
      <c r="B711" s="1">
        <v>42622</v>
      </c>
      <c r="C711" s="1">
        <v>42879</v>
      </c>
      <c r="D711" t="s">
        <v>20</v>
      </c>
      <c r="E711" t="s">
        <v>13</v>
      </c>
      <c r="F711" s="2">
        <v>270</v>
      </c>
      <c r="G711" t="s">
        <v>12</v>
      </c>
      <c r="H711" s="3">
        <v>50665.440000000002</v>
      </c>
      <c r="I711" s="3">
        <v>1328121</v>
      </c>
      <c r="J711" s="3">
        <v>1062496.8</v>
      </c>
      <c r="K711" s="3">
        <v>214958.75999999995</v>
      </c>
      <c r="L711" t="s">
        <v>18</v>
      </c>
      <c r="M711">
        <v>4.0999999999999996</v>
      </c>
    </row>
    <row r="712" spans="1:13" x14ac:dyDescent="0.25">
      <c r="A712">
        <v>711</v>
      </c>
      <c r="B712" s="1">
        <v>42623</v>
      </c>
      <c r="C712" s="1">
        <v>42718</v>
      </c>
      <c r="D712" t="s">
        <v>20</v>
      </c>
      <c r="E712" t="s">
        <v>13</v>
      </c>
      <c r="F712" s="2">
        <v>283</v>
      </c>
      <c r="G712" t="s">
        <v>12</v>
      </c>
      <c r="H712" s="3">
        <v>83723.399999999994</v>
      </c>
      <c r="I712" s="3">
        <v>2150520</v>
      </c>
      <c r="J712" s="3">
        <v>1720416</v>
      </c>
      <c r="K712" s="3">
        <v>346380.6</v>
      </c>
      <c r="L712" t="s">
        <v>19</v>
      </c>
      <c r="M712">
        <v>4.8</v>
      </c>
    </row>
    <row r="713" spans="1:13" x14ac:dyDescent="0.25">
      <c r="A713">
        <v>712</v>
      </c>
      <c r="B713" s="1">
        <v>42623</v>
      </c>
      <c r="C713" s="1">
        <v>42932</v>
      </c>
      <c r="D713" t="s">
        <v>20</v>
      </c>
      <c r="E713" t="s">
        <v>24</v>
      </c>
      <c r="F713" s="2">
        <v>237</v>
      </c>
      <c r="G713" t="s">
        <v>12</v>
      </c>
      <c r="H713" s="3">
        <v>90414.720000000001</v>
      </c>
      <c r="I713" s="3">
        <v>2317153</v>
      </c>
      <c r="J713" s="3">
        <v>1853722.4</v>
      </c>
      <c r="K713" s="3">
        <v>373015.88000000012</v>
      </c>
      <c r="L713" t="s">
        <v>18</v>
      </c>
      <c r="M713">
        <v>4.5</v>
      </c>
    </row>
    <row r="714" spans="1:13" x14ac:dyDescent="0.25">
      <c r="A714">
        <v>713</v>
      </c>
      <c r="B714" s="1">
        <v>42623</v>
      </c>
      <c r="C714" s="1">
        <v>42955</v>
      </c>
      <c r="D714" t="s">
        <v>21</v>
      </c>
      <c r="E714" t="s">
        <v>27</v>
      </c>
      <c r="F714" s="2">
        <v>70</v>
      </c>
      <c r="G714" t="s">
        <v>11</v>
      </c>
      <c r="H714" s="3">
        <v>26764.52</v>
      </c>
      <c r="I714" s="3">
        <v>724948</v>
      </c>
      <c r="J714" s="3">
        <v>579958.4</v>
      </c>
      <c r="K714" s="3">
        <v>118225.07999999997</v>
      </c>
      <c r="L714" t="s">
        <v>19</v>
      </c>
      <c r="M714">
        <v>5</v>
      </c>
    </row>
    <row r="715" spans="1:13" x14ac:dyDescent="0.25">
      <c r="A715">
        <v>714</v>
      </c>
      <c r="B715" s="1">
        <v>42623</v>
      </c>
      <c r="C715" s="1">
        <v>42869</v>
      </c>
      <c r="D715" t="s">
        <v>23</v>
      </c>
      <c r="E715" t="s">
        <v>26</v>
      </c>
      <c r="F715" s="2">
        <v>228</v>
      </c>
      <c r="G715" t="s">
        <v>12</v>
      </c>
      <c r="H715" s="3">
        <v>84474.4</v>
      </c>
      <c r="I715" s="3">
        <v>2171695</v>
      </c>
      <c r="J715" s="3">
        <v>1737356</v>
      </c>
      <c r="K715" s="3">
        <v>349864.6</v>
      </c>
      <c r="L715" t="s">
        <v>15</v>
      </c>
      <c r="M715">
        <v>3.6</v>
      </c>
    </row>
    <row r="716" spans="1:13" x14ac:dyDescent="0.25">
      <c r="A716">
        <v>715</v>
      </c>
      <c r="B716" s="1">
        <v>42623</v>
      </c>
      <c r="C716" s="1">
        <v>42754</v>
      </c>
      <c r="D716" t="s">
        <v>22</v>
      </c>
      <c r="E716" t="s">
        <v>29</v>
      </c>
      <c r="F716" s="2">
        <v>40</v>
      </c>
      <c r="G716" t="s">
        <v>11</v>
      </c>
      <c r="H716" s="3">
        <v>11948.24</v>
      </c>
      <c r="I716" s="3">
        <v>366166</v>
      </c>
      <c r="J716" s="3">
        <v>292932.8</v>
      </c>
      <c r="K716" s="3">
        <v>61284.960000000014</v>
      </c>
      <c r="L716" t="s">
        <v>17</v>
      </c>
      <c r="M716">
        <v>4.3</v>
      </c>
    </row>
    <row r="717" spans="1:13" x14ac:dyDescent="0.25">
      <c r="A717">
        <v>716</v>
      </c>
      <c r="B717" s="1">
        <v>42623</v>
      </c>
      <c r="C717" s="1">
        <v>42981</v>
      </c>
      <c r="D717" t="s">
        <v>22</v>
      </c>
      <c r="E717" t="s">
        <v>29</v>
      </c>
      <c r="F717" s="2">
        <v>201</v>
      </c>
      <c r="G717" t="s">
        <v>12</v>
      </c>
      <c r="H717" s="3">
        <v>71070.92</v>
      </c>
      <c r="I717" s="3">
        <v>1830333</v>
      </c>
      <c r="J717" s="3">
        <v>1464266.4</v>
      </c>
      <c r="K717" s="3">
        <v>294995.68000000011</v>
      </c>
      <c r="L717" t="s">
        <v>19</v>
      </c>
      <c r="M717">
        <v>4.4000000000000004</v>
      </c>
    </row>
    <row r="718" spans="1:13" x14ac:dyDescent="0.25">
      <c r="A718">
        <v>717</v>
      </c>
      <c r="B718" s="1">
        <v>42623</v>
      </c>
      <c r="C718" s="1">
        <v>42789</v>
      </c>
      <c r="D718" t="s">
        <v>23</v>
      </c>
      <c r="E718" t="s">
        <v>13</v>
      </c>
      <c r="F718" s="2">
        <v>41</v>
      </c>
      <c r="G718" t="s">
        <v>11</v>
      </c>
      <c r="H718" s="3">
        <v>17075.919999999998</v>
      </c>
      <c r="I718" s="3">
        <v>493983</v>
      </c>
      <c r="J718" s="3">
        <v>395186.4</v>
      </c>
      <c r="K718" s="3">
        <v>81720.679999999978</v>
      </c>
      <c r="L718" t="s">
        <v>17</v>
      </c>
      <c r="M718">
        <v>3.7</v>
      </c>
    </row>
    <row r="719" spans="1:13" x14ac:dyDescent="0.25">
      <c r="A719">
        <v>718</v>
      </c>
      <c r="B719" s="1">
        <v>42624</v>
      </c>
      <c r="C719" s="1">
        <v>42792</v>
      </c>
      <c r="D719" t="s">
        <v>22</v>
      </c>
      <c r="E719" t="s">
        <v>25</v>
      </c>
      <c r="F719" s="2">
        <v>154</v>
      </c>
      <c r="G719" t="s">
        <v>11</v>
      </c>
      <c r="H719" s="3">
        <v>28461.68</v>
      </c>
      <c r="I719" s="3">
        <v>772577</v>
      </c>
      <c r="J719" s="3">
        <v>618061.6</v>
      </c>
      <c r="K719" s="3">
        <v>126053.72000000003</v>
      </c>
      <c r="L719" t="s">
        <v>18</v>
      </c>
      <c r="M719">
        <v>4.4000000000000004</v>
      </c>
    </row>
    <row r="720" spans="1:13" x14ac:dyDescent="0.25">
      <c r="A720">
        <v>719</v>
      </c>
      <c r="B720" s="1">
        <v>42624</v>
      </c>
      <c r="C720" s="1">
        <v>42901</v>
      </c>
      <c r="D720" t="s">
        <v>20</v>
      </c>
      <c r="E720" t="s">
        <v>24</v>
      </c>
      <c r="F720" s="2">
        <v>276</v>
      </c>
      <c r="G720" t="s">
        <v>12</v>
      </c>
      <c r="H720" s="3">
        <v>61854.559999999998</v>
      </c>
      <c r="I720" s="3">
        <v>1602324</v>
      </c>
      <c r="J720" s="3">
        <v>1281859.2</v>
      </c>
      <c r="K720" s="3">
        <v>258610.24000000005</v>
      </c>
      <c r="L720" t="s">
        <v>15</v>
      </c>
      <c r="M720">
        <v>3.8</v>
      </c>
    </row>
    <row r="721" spans="1:13" x14ac:dyDescent="0.25">
      <c r="A721">
        <v>720</v>
      </c>
      <c r="B721" s="1">
        <v>42624</v>
      </c>
      <c r="C721" s="1">
        <v>42925</v>
      </c>
      <c r="D721" t="s">
        <v>22</v>
      </c>
      <c r="E721" t="s">
        <v>27</v>
      </c>
      <c r="F721" s="2">
        <v>220</v>
      </c>
      <c r="G721" t="s">
        <v>12</v>
      </c>
      <c r="H721" s="3">
        <v>87883.32</v>
      </c>
      <c r="I721" s="3">
        <v>2253093</v>
      </c>
      <c r="J721" s="3">
        <v>1802474.4</v>
      </c>
      <c r="K721" s="3">
        <v>362735.28000000009</v>
      </c>
      <c r="L721" t="s">
        <v>19</v>
      </c>
      <c r="M721">
        <v>3.7</v>
      </c>
    </row>
    <row r="722" spans="1:13" x14ac:dyDescent="0.25">
      <c r="A722">
        <v>721</v>
      </c>
      <c r="B722" s="1">
        <v>42625</v>
      </c>
      <c r="C722" s="1">
        <v>42848</v>
      </c>
      <c r="D722" t="s">
        <v>23</v>
      </c>
      <c r="E722" t="s">
        <v>26</v>
      </c>
      <c r="F722" s="2">
        <v>39</v>
      </c>
      <c r="G722" t="s">
        <v>11</v>
      </c>
      <c r="H722" s="3">
        <v>9638.84</v>
      </c>
      <c r="I722" s="3">
        <v>303081</v>
      </c>
      <c r="J722" s="3">
        <v>242464.8</v>
      </c>
      <c r="K722" s="3">
        <v>50977.360000000015</v>
      </c>
      <c r="L722" t="s">
        <v>19</v>
      </c>
      <c r="M722">
        <v>4.3</v>
      </c>
    </row>
    <row r="723" spans="1:13" x14ac:dyDescent="0.25">
      <c r="A723">
        <v>722</v>
      </c>
      <c r="B723" s="1">
        <v>42625</v>
      </c>
      <c r="C723" s="1">
        <v>42776</v>
      </c>
      <c r="D723" t="s">
        <v>21</v>
      </c>
      <c r="E723" t="s">
        <v>27</v>
      </c>
      <c r="F723" s="2">
        <v>79</v>
      </c>
      <c r="G723" t="s">
        <v>11</v>
      </c>
      <c r="H723" s="3">
        <v>23298.84</v>
      </c>
      <c r="I723" s="3">
        <v>648031</v>
      </c>
      <c r="J723" s="3">
        <v>518424.8</v>
      </c>
      <c r="K723" s="3">
        <v>106307.36000000002</v>
      </c>
      <c r="L723" t="s">
        <v>14</v>
      </c>
      <c r="M723">
        <v>3.9</v>
      </c>
    </row>
    <row r="724" spans="1:13" x14ac:dyDescent="0.25">
      <c r="A724">
        <v>723</v>
      </c>
      <c r="B724" s="1">
        <v>42625</v>
      </c>
      <c r="C724" s="1">
        <v>42782</v>
      </c>
      <c r="D724" t="s">
        <v>23</v>
      </c>
      <c r="E724" t="s">
        <v>28</v>
      </c>
      <c r="F724" s="2">
        <v>50</v>
      </c>
      <c r="G724" t="s">
        <v>11</v>
      </c>
      <c r="H724" s="3">
        <v>19549.32</v>
      </c>
      <c r="I724" s="3">
        <v>554993</v>
      </c>
      <c r="J724" s="3">
        <v>443994.4</v>
      </c>
      <c r="K724" s="3">
        <v>91449.27999999997</v>
      </c>
      <c r="L724" t="s">
        <v>18</v>
      </c>
      <c r="M724">
        <v>3.9</v>
      </c>
    </row>
    <row r="725" spans="1:13" x14ac:dyDescent="0.25">
      <c r="A725">
        <v>724</v>
      </c>
      <c r="B725" s="1">
        <v>42625</v>
      </c>
      <c r="C725" s="1">
        <v>42923</v>
      </c>
      <c r="D725" t="s">
        <v>23</v>
      </c>
      <c r="E725" t="s">
        <v>28</v>
      </c>
      <c r="F725" s="2">
        <v>236</v>
      </c>
      <c r="G725" t="s">
        <v>12</v>
      </c>
      <c r="H725" s="3">
        <v>82572.92</v>
      </c>
      <c r="I725" s="3">
        <v>2121858</v>
      </c>
      <c r="J725" s="3">
        <v>1697486.4</v>
      </c>
      <c r="K725" s="3">
        <v>341798.68000000011</v>
      </c>
      <c r="L725" t="s">
        <v>16</v>
      </c>
      <c r="M725">
        <v>4.2</v>
      </c>
    </row>
    <row r="726" spans="1:13" x14ac:dyDescent="0.25">
      <c r="A726">
        <v>725</v>
      </c>
      <c r="B726" s="1">
        <v>42626</v>
      </c>
      <c r="C726" s="1">
        <v>42773</v>
      </c>
      <c r="D726" t="s">
        <v>21</v>
      </c>
      <c r="E726" t="s">
        <v>13</v>
      </c>
      <c r="F726" s="2">
        <v>173</v>
      </c>
      <c r="G726" t="s">
        <v>12</v>
      </c>
      <c r="H726" s="3">
        <v>35283.199999999997</v>
      </c>
      <c r="I726" s="3">
        <v>938465</v>
      </c>
      <c r="J726" s="3">
        <v>750772</v>
      </c>
      <c r="K726" s="3">
        <v>152409.79999999999</v>
      </c>
      <c r="L726" t="s">
        <v>14</v>
      </c>
      <c r="M726">
        <v>4</v>
      </c>
    </row>
    <row r="727" spans="1:13" x14ac:dyDescent="0.25">
      <c r="A727">
        <v>726</v>
      </c>
      <c r="B727" s="1">
        <v>42626</v>
      </c>
      <c r="C727" s="1">
        <v>42858</v>
      </c>
      <c r="D727" t="s">
        <v>23</v>
      </c>
      <c r="E727" t="s">
        <v>28</v>
      </c>
      <c r="F727" s="2">
        <v>108</v>
      </c>
      <c r="G727" t="s">
        <v>12</v>
      </c>
      <c r="H727" s="3">
        <v>42509.4</v>
      </c>
      <c r="I727" s="3">
        <v>1117845</v>
      </c>
      <c r="J727" s="3">
        <v>894276</v>
      </c>
      <c r="K727" s="3">
        <v>181059.6</v>
      </c>
      <c r="L727" t="s">
        <v>18</v>
      </c>
      <c r="M727">
        <v>4.9000000000000004</v>
      </c>
    </row>
    <row r="728" spans="1:13" x14ac:dyDescent="0.25">
      <c r="A728">
        <v>727</v>
      </c>
      <c r="B728" s="1">
        <v>42628</v>
      </c>
      <c r="C728" s="1">
        <v>42734</v>
      </c>
      <c r="D728" t="s">
        <v>20</v>
      </c>
      <c r="E728" t="s">
        <v>24</v>
      </c>
      <c r="F728" s="2">
        <v>188</v>
      </c>
      <c r="G728" t="s">
        <v>12</v>
      </c>
      <c r="H728" s="3">
        <v>46116.6</v>
      </c>
      <c r="I728" s="3">
        <v>1204925</v>
      </c>
      <c r="J728" s="3">
        <v>963940</v>
      </c>
      <c r="K728" s="3">
        <v>194868.4</v>
      </c>
      <c r="L728" t="s">
        <v>19</v>
      </c>
      <c r="M728">
        <v>4.4000000000000004</v>
      </c>
    </row>
    <row r="729" spans="1:13" x14ac:dyDescent="0.25">
      <c r="A729">
        <v>728</v>
      </c>
      <c r="B729" s="1">
        <v>42629</v>
      </c>
      <c r="C729" s="1">
        <v>42858</v>
      </c>
      <c r="D729" t="s">
        <v>22</v>
      </c>
      <c r="E729" t="s">
        <v>24</v>
      </c>
      <c r="F729" s="2">
        <v>135</v>
      </c>
      <c r="G729" t="s">
        <v>11</v>
      </c>
      <c r="H729" s="3">
        <v>22454.84</v>
      </c>
      <c r="I729" s="3">
        <v>622231</v>
      </c>
      <c r="J729" s="3">
        <v>497784.8</v>
      </c>
      <c r="K729" s="3">
        <v>101991.36000000002</v>
      </c>
      <c r="L729" t="s">
        <v>15</v>
      </c>
      <c r="M729">
        <v>4.7</v>
      </c>
    </row>
    <row r="730" spans="1:13" x14ac:dyDescent="0.25">
      <c r="A730">
        <v>729</v>
      </c>
      <c r="B730" s="1">
        <v>42629</v>
      </c>
      <c r="C730" s="1">
        <v>42993</v>
      </c>
      <c r="D730" t="s">
        <v>22</v>
      </c>
      <c r="E730" t="s">
        <v>29</v>
      </c>
      <c r="F730" s="2">
        <v>190</v>
      </c>
      <c r="G730" t="s">
        <v>12</v>
      </c>
      <c r="H730" s="3">
        <v>74979.48</v>
      </c>
      <c r="I730" s="3">
        <v>1941672</v>
      </c>
      <c r="J730" s="3">
        <v>1553337.6</v>
      </c>
      <c r="K730" s="3">
        <v>313354.91999999993</v>
      </c>
      <c r="L730" t="s">
        <v>15</v>
      </c>
      <c r="M730">
        <v>3.6</v>
      </c>
    </row>
    <row r="731" spans="1:13" x14ac:dyDescent="0.25">
      <c r="A731">
        <v>730</v>
      </c>
      <c r="B731" s="1">
        <v>42629</v>
      </c>
      <c r="C731" s="1">
        <v>42737</v>
      </c>
      <c r="D731" t="s">
        <v>22</v>
      </c>
      <c r="E731" t="s">
        <v>29</v>
      </c>
      <c r="F731" s="2">
        <v>279</v>
      </c>
      <c r="G731" t="s">
        <v>12</v>
      </c>
      <c r="H731" s="3">
        <v>72450.559999999998</v>
      </c>
      <c r="I731" s="3">
        <v>1867149</v>
      </c>
      <c r="J731" s="3">
        <v>1493719.2</v>
      </c>
      <c r="K731" s="3">
        <v>300979.24000000005</v>
      </c>
      <c r="L731" t="s">
        <v>15</v>
      </c>
      <c r="M731">
        <v>4.4000000000000004</v>
      </c>
    </row>
    <row r="732" spans="1:13" x14ac:dyDescent="0.25">
      <c r="A732">
        <v>731</v>
      </c>
      <c r="B732" s="1">
        <v>42629</v>
      </c>
      <c r="C732" s="1">
        <v>42835</v>
      </c>
      <c r="D732" t="s">
        <v>21</v>
      </c>
      <c r="E732" t="s">
        <v>28</v>
      </c>
      <c r="F732" s="2">
        <v>106</v>
      </c>
      <c r="G732" t="s">
        <v>11</v>
      </c>
      <c r="H732" s="3">
        <v>21480.84</v>
      </c>
      <c r="I732" s="3">
        <v>591731</v>
      </c>
      <c r="J732" s="3">
        <v>473384.8</v>
      </c>
      <c r="K732" s="3">
        <v>96865.360000000015</v>
      </c>
      <c r="L732" t="s">
        <v>16</v>
      </c>
      <c r="M732">
        <v>3.6</v>
      </c>
    </row>
    <row r="733" spans="1:13" x14ac:dyDescent="0.25">
      <c r="A733">
        <v>732</v>
      </c>
      <c r="B733" s="1">
        <v>42629</v>
      </c>
      <c r="C733" s="1">
        <v>42727</v>
      </c>
      <c r="D733" t="s">
        <v>23</v>
      </c>
      <c r="E733" t="s">
        <v>29</v>
      </c>
      <c r="F733" s="2">
        <v>114</v>
      </c>
      <c r="G733" t="s">
        <v>11</v>
      </c>
      <c r="H733" s="3">
        <v>25262.720000000001</v>
      </c>
      <c r="I733" s="3">
        <v>689228</v>
      </c>
      <c r="J733" s="3">
        <v>551382.4</v>
      </c>
      <c r="K733" s="3">
        <v>112582.87999999998</v>
      </c>
      <c r="L733" t="s">
        <v>15</v>
      </c>
      <c r="M733">
        <v>4.2</v>
      </c>
    </row>
    <row r="734" spans="1:13" x14ac:dyDescent="0.25">
      <c r="A734">
        <v>733</v>
      </c>
      <c r="B734" s="1">
        <v>42630</v>
      </c>
      <c r="C734" s="1">
        <v>42954</v>
      </c>
      <c r="D734" t="s">
        <v>23</v>
      </c>
      <c r="E734" t="s">
        <v>24</v>
      </c>
      <c r="F734" s="2">
        <v>160</v>
      </c>
      <c r="G734" t="s">
        <v>12</v>
      </c>
      <c r="H734" s="3">
        <v>47958.76</v>
      </c>
      <c r="I734" s="3">
        <v>1261729</v>
      </c>
      <c r="J734" s="3">
        <v>1009383.2</v>
      </c>
      <c r="K734" s="3">
        <v>204387.04000000004</v>
      </c>
      <c r="L734" t="s">
        <v>17</v>
      </c>
      <c r="M734">
        <v>4.0999999999999996</v>
      </c>
    </row>
    <row r="735" spans="1:13" x14ac:dyDescent="0.25">
      <c r="A735">
        <v>734</v>
      </c>
      <c r="B735" s="1">
        <v>42630</v>
      </c>
      <c r="C735" s="1">
        <v>42908</v>
      </c>
      <c r="D735" t="s">
        <v>20</v>
      </c>
      <c r="E735" t="s">
        <v>13</v>
      </c>
      <c r="F735" s="2">
        <v>81</v>
      </c>
      <c r="G735" t="s">
        <v>11</v>
      </c>
      <c r="H735" s="3">
        <v>24839.8</v>
      </c>
      <c r="I735" s="3">
        <v>680955</v>
      </c>
      <c r="J735" s="3">
        <v>544764</v>
      </c>
      <c r="K735" s="3">
        <v>111351.2</v>
      </c>
      <c r="L735" t="s">
        <v>18</v>
      </c>
      <c r="M735">
        <v>3.6</v>
      </c>
    </row>
    <row r="736" spans="1:13" x14ac:dyDescent="0.25">
      <c r="A736">
        <v>735</v>
      </c>
      <c r="B736" s="1">
        <v>42631</v>
      </c>
      <c r="C736" s="1">
        <v>42912</v>
      </c>
      <c r="D736" t="s">
        <v>23</v>
      </c>
      <c r="E736" t="s">
        <v>25</v>
      </c>
      <c r="F736" s="2">
        <v>83</v>
      </c>
      <c r="G736" t="s">
        <v>11</v>
      </c>
      <c r="H736" s="3">
        <v>22716.92</v>
      </c>
      <c r="I736" s="3">
        <v>624508</v>
      </c>
      <c r="J736" s="3">
        <v>499606.4</v>
      </c>
      <c r="K736" s="3">
        <v>102184.67999999998</v>
      </c>
      <c r="L736" t="s">
        <v>16</v>
      </c>
      <c r="M736">
        <v>3.6</v>
      </c>
    </row>
    <row r="737" spans="1:13" x14ac:dyDescent="0.25">
      <c r="A737">
        <v>736</v>
      </c>
      <c r="B737" s="1">
        <v>42632</v>
      </c>
      <c r="C737" s="1">
        <v>42915</v>
      </c>
      <c r="D737" t="s">
        <v>23</v>
      </c>
      <c r="E737" t="s">
        <v>25</v>
      </c>
      <c r="F737" s="2">
        <v>106</v>
      </c>
      <c r="G737" t="s">
        <v>12</v>
      </c>
      <c r="H737" s="3">
        <v>32600.400000000001</v>
      </c>
      <c r="I737" s="3">
        <v>877045</v>
      </c>
      <c r="J737" s="3">
        <v>701636</v>
      </c>
      <c r="K737" s="3">
        <v>142808.6</v>
      </c>
      <c r="L737" t="s">
        <v>15</v>
      </c>
      <c r="M737">
        <v>4.5</v>
      </c>
    </row>
    <row r="738" spans="1:13" x14ac:dyDescent="0.25">
      <c r="A738">
        <v>737</v>
      </c>
      <c r="B738" s="1">
        <v>42632</v>
      </c>
      <c r="C738" s="1">
        <v>42936</v>
      </c>
      <c r="D738" t="s">
        <v>21</v>
      </c>
      <c r="E738" t="s">
        <v>25</v>
      </c>
      <c r="F738" s="2">
        <v>82</v>
      </c>
      <c r="G738" t="s">
        <v>12</v>
      </c>
      <c r="H738" s="3">
        <v>30481.200000000001</v>
      </c>
      <c r="I738" s="3">
        <v>817465</v>
      </c>
      <c r="J738" s="3">
        <v>653972</v>
      </c>
      <c r="K738" s="3">
        <v>133011.79999999999</v>
      </c>
      <c r="L738" t="s">
        <v>16</v>
      </c>
      <c r="M738">
        <v>3.7</v>
      </c>
    </row>
    <row r="739" spans="1:13" x14ac:dyDescent="0.25">
      <c r="A739">
        <v>738</v>
      </c>
      <c r="B739" s="1">
        <v>42632</v>
      </c>
      <c r="C739" s="1">
        <v>42766</v>
      </c>
      <c r="D739" t="s">
        <v>20</v>
      </c>
      <c r="E739" t="s">
        <v>24</v>
      </c>
      <c r="F739" s="2">
        <v>288</v>
      </c>
      <c r="G739" t="s">
        <v>12</v>
      </c>
      <c r="H739" s="3">
        <v>46899.12</v>
      </c>
      <c r="I739" s="3">
        <v>1238063</v>
      </c>
      <c r="J739" s="3">
        <v>990450.4</v>
      </c>
      <c r="K739" s="3">
        <v>200713.47999999998</v>
      </c>
      <c r="L739" t="s">
        <v>19</v>
      </c>
      <c r="M739">
        <v>4.4000000000000004</v>
      </c>
    </row>
    <row r="740" spans="1:13" x14ac:dyDescent="0.25">
      <c r="A740">
        <v>739</v>
      </c>
      <c r="B740" s="1">
        <v>42633</v>
      </c>
      <c r="C740" s="1">
        <v>42776</v>
      </c>
      <c r="D740" t="s">
        <v>20</v>
      </c>
      <c r="E740" t="s">
        <v>29</v>
      </c>
      <c r="F740" s="2">
        <v>245</v>
      </c>
      <c r="G740" t="s">
        <v>12</v>
      </c>
      <c r="H740" s="3">
        <v>60475</v>
      </c>
      <c r="I740" s="3">
        <v>1564235</v>
      </c>
      <c r="J740" s="3">
        <v>1251388</v>
      </c>
      <c r="K740" s="3">
        <v>252372</v>
      </c>
      <c r="L740" t="s">
        <v>19</v>
      </c>
      <c r="M740">
        <v>3.6</v>
      </c>
    </row>
    <row r="741" spans="1:13" x14ac:dyDescent="0.25">
      <c r="A741">
        <v>740</v>
      </c>
      <c r="B741" s="1">
        <v>42634</v>
      </c>
      <c r="C741" s="1">
        <v>42741</v>
      </c>
      <c r="D741" t="s">
        <v>22</v>
      </c>
      <c r="E741" t="s">
        <v>27</v>
      </c>
      <c r="F741" s="2">
        <v>249</v>
      </c>
      <c r="G741" t="s">
        <v>12</v>
      </c>
      <c r="H741" s="3">
        <v>91920.72</v>
      </c>
      <c r="I741" s="3">
        <v>2364903</v>
      </c>
      <c r="J741" s="3">
        <v>1891922.4</v>
      </c>
      <c r="K741" s="3">
        <v>381059.88000000012</v>
      </c>
      <c r="L741" t="s">
        <v>16</v>
      </c>
      <c r="M741">
        <v>4.5999999999999996</v>
      </c>
    </row>
    <row r="742" spans="1:13" x14ac:dyDescent="0.25">
      <c r="A742">
        <v>741</v>
      </c>
      <c r="B742" s="1">
        <v>42634</v>
      </c>
      <c r="C742" s="1">
        <v>42944</v>
      </c>
      <c r="D742" t="s">
        <v>22</v>
      </c>
      <c r="E742" t="s">
        <v>13</v>
      </c>
      <c r="F742" s="2">
        <v>121</v>
      </c>
      <c r="G742" t="s">
        <v>12</v>
      </c>
      <c r="H742" s="3">
        <v>46625.96</v>
      </c>
      <c r="I742" s="3">
        <v>1220759</v>
      </c>
      <c r="J742" s="3">
        <v>976607.2</v>
      </c>
      <c r="K742" s="3">
        <v>197525.84000000005</v>
      </c>
      <c r="L742" t="s">
        <v>18</v>
      </c>
      <c r="M742">
        <v>4.3</v>
      </c>
    </row>
    <row r="743" spans="1:13" x14ac:dyDescent="0.25">
      <c r="A743">
        <v>742</v>
      </c>
      <c r="B743" s="1">
        <v>42635</v>
      </c>
      <c r="C743" s="1">
        <v>42731</v>
      </c>
      <c r="D743" t="s">
        <v>23</v>
      </c>
      <c r="E743" t="s">
        <v>28</v>
      </c>
      <c r="F743" s="2">
        <v>211</v>
      </c>
      <c r="G743" t="s">
        <v>12</v>
      </c>
      <c r="H743" s="3">
        <v>52237.440000000002</v>
      </c>
      <c r="I743" s="3">
        <v>1366721</v>
      </c>
      <c r="J743" s="3">
        <v>1093376.8</v>
      </c>
      <c r="K743" s="3">
        <v>221106.75999999995</v>
      </c>
      <c r="L743" t="s">
        <v>15</v>
      </c>
      <c r="M743">
        <v>5</v>
      </c>
    </row>
    <row r="744" spans="1:13" x14ac:dyDescent="0.25">
      <c r="A744">
        <v>743</v>
      </c>
      <c r="B744" s="1">
        <v>42635</v>
      </c>
      <c r="C744" s="1">
        <v>42986</v>
      </c>
      <c r="D744" t="s">
        <v>21</v>
      </c>
      <c r="E744" t="s">
        <v>24</v>
      </c>
      <c r="F744" s="2">
        <v>52</v>
      </c>
      <c r="G744" t="s">
        <v>11</v>
      </c>
      <c r="H744" s="3">
        <v>21096.560000000001</v>
      </c>
      <c r="I744" s="3">
        <v>579349</v>
      </c>
      <c r="J744" s="3">
        <v>463479.2</v>
      </c>
      <c r="K744" s="3">
        <v>94773.239999999991</v>
      </c>
      <c r="L744" t="s">
        <v>18</v>
      </c>
      <c r="M744">
        <v>4.8</v>
      </c>
    </row>
    <row r="745" spans="1:13" x14ac:dyDescent="0.25">
      <c r="A745">
        <v>744</v>
      </c>
      <c r="B745" s="1">
        <v>42635</v>
      </c>
      <c r="C745" s="1">
        <v>42905</v>
      </c>
      <c r="D745" t="s">
        <v>22</v>
      </c>
      <c r="E745" t="s">
        <v>13</v>
      </c>
      <c r="F745" s="2">
        <v>92</v>
      </c>
      <c r="G745" t="s">
        <v>11</v>
      </c>
      <c r="H745" s="3">
        <v>20933.599999999999</v>
      </c>
      <c r="I745" s="3">
        <v>574550</v>
      </c>
      <c r="J745" s="3">
        <v>459640</v>
      </c>
      <c r="K745" s="3">
        <v>93976.4</v>
      </c>
      <c r="L745" t="s">
        <v>17</v>
      </c>
      <c r="M745">
        <v>4.9000000000000004</v>
      </c>
    </row>
    <row r="746" spans="1:13" x14ac:dyDescent="0.25">
      <c r="A746">
        <v>745</v>
      </c>
      <c r="B746" s="1">
        <v>42635</v>
      </c>
      <c r="C746" s="1">
        <v>42765</v>
      </c>
      <c r="D746" t="s">
        <v>23</v>
      </c>
      <c r="E746" t="s">
        <v>28</v>
      </c>
      <c r="F746" s="2">
        <v>76</v>
      </c>
      <c r="G746" t="s">
        <v>11</v>
      </c>
      <c r="H746" s="3">
        <v>16686.8</v>
      </c>
      <c r="I746" s="3">
        <v>481780</v>
      </c>
      <c r="J746" s="3">
        <v>385424</v>
      </c>
      <c r="K746" s="3">
        <v>79669.2</v>
      </c>
      <c r="L746" t="s">
        <v>15</v>
      </c>
      <c r="M746">
        <v>4.5999999999999996</v>
      </c>
    </row>
    <row r="747" spans="1:13" x14ac:dyDescent="0.25">
      <c r="A747">
        <v>746</v>
      </c>
      <c r="B747" s="1">
        <v>42635</v>
      </c>
      <c r="C747" s="1">
        <v>42836</v>
      </c>
      <c r="D747" t="s">
        <v>22</v>
      </c>
      <c r="E747" t="s">
        <v>29</v>
      </c>
      <c r="F747" s="2">
        <v>132</v>
      </c>
      <c r="G747" t="s">
        <v>11</v>
      </c>
      <c r="H747" s="3">
        <v>29263.24</v>
      </c>
      <c r="I747" s="3">
        <v>797541</v>
      </c>
      <c r="J747" s="3">
        <v>638032.80000000005</v>
      </c>
      <c r="K747" s="3">
        <v>130244.95999999995</v>
      </c>
      <c r="L747" t="s">
        <v>17</v>
      </c>
      <c r="M747">
        <v>3.6</v>
      </c>
    </row>
    <row r="748" spans="1:13" x14ac:dyDescent="0.25">
      <c r="A748">
        <v>747</v>
      </c>
      <c r="B748" s="1">
        <v>42635</v>
      </c>
      <c r="C748" s="1">
        <v>42728</v>
      </c>
      <c r="D748" t="s">
        <v>21</v>
      </c>
      <c r="E748" t="s">
        <v>26</v>
      </c>
      <c r="F748" s="2">
        <v>172</v>
      </c>
      <c r="G748" t="s">
        <v>12</v>
      </c>
      <c r="H748" s="3">
        <v>53593.8</v>
      </c>
      <c r="I748" s="3">
        <v>1391955</v>
      </c>
      <c r="J748" s="3">
        <v>1113564</v>
      </c>
      <c r="K748" s="3">
        <v>224797.2</v>
      </c>
      <c r="L748" t="s">
        <v>18</v>
      </c>
      <c r="M748">
        <v>3.7</v>
      </c>
    </row>
    <row r="749" spans="1:13" x14ac:dyDescent="0.25">
      <c r="A749">
        <v>748</v>
      </c>
      <c r="B749" s="1">
        <v>42635</v>
      </c>
      <c r="C749" s="1">
        <v>42907</v>
      </c>
      <c r="D749" t="s">
        <v>23</v>
      </c>
      <c r="E749" t="s">
        <v>13</v>
      </c>
      <c r="F749" s="2">
        <v>225</v>
      </c>
      <c r="G749" t="s">
        <v>12</v>
      </c>
      <c r="H749" s="3">
        <v>85106.2</v>
      </c>
      <c r="I749" s="3">
        <v>2181965</v>
      </c>
      <c r="J749" s="3">
        <v>1745572</v>
      </c>
      <c r="K749" s="3">
        <v>351286.8</v>
      </c>
      <c r="L749" t="s">
        <v>18</v>
      </c>
      <c r="M749">
        <v>4.5999999999999996</v>
      </c>
    </row>
    <row r="750" spans="1:13" x14ac:dyDescent="0.25">
      <c r="A750">
        <v>749</v>
      </c>
      <c r="B750" s="1">
        <v>42636</v>
      </c>
      <c r="C750" s="1">
        <v>42994</v>
      </c>
      <c r="D750" t="s">
        <v>21</v>
      </c>
      <c r="E750" t="s">
        <v>27</v>
      </c>
      <c r="F750" s="2">
        <v>109</v>
      </c>
      <c r="G750" t="s">
        <v>11</v>
      </c>
      <c r="H750" s="3">
        <v>25966.16</v>
      </c>
      <c r="I750" s="3">
        <v>716039</v>
      </c>
      <c r="J750" s="3">
        <v>572831.19999999995</v>
      </c>
      <c r="K750" s="3">
        <v>117241.64000000004</v>
      </c>
      <c r="L750" t="s">
        <v>15</v>
      </c>
      <c r="M750">
        <v>4.4000000000000004</v>
      </c>
    </row>
    <row r="751" spans="1:13" x14ac:dyDescent="0.25">
      <c r="A751">
        <v>750</v>
      </c>
      <c r="B751" s="1">
        <v>42636</v>
      </c>
      <c r="C751" s="1">
        <v>42930</v>
      </c>
      <c r="D751" t="s">
        <v>21</v>
      </c>
      <c r="E751" t="s">
        <v>25</v>
      </c>
      <c r="F751" s="2">
        <v>290</v>
      </c>
      <c r="G751" t="s">
        <v>12</v>
      </c>
      <c r="H751" s="3">
        <v>52635.44</v>
      </c>
      <c r="I751" s="3">
        <v>1372421</v>
      </c>
      <c r="J751" s="3">
        <v>1097936.8</v>
      </c>
      <c r="K751" s="3">
        <v>221848.75999999995</v>
      </c>
      <c r="L751" t="s">
        <v>14</v>
      </c>
      <c r="M751">
        <v>4.8</v>
      </c>
    </row>
    <row r="752" spans="1:13" x14ac:dyDescent="0.25">
      <c r="A752">
        <v>751</v>
      </c>
      <c r="B752" s="1">
        <v>42636</v>
      </c>
      <c r="C752" s="1">
        <v>42989</v>
      </c>
      <c r="D752" t="s">
        <v>21</v>
      </c>
      <c r="E752" t="s">
        <v>26</v>
      </c>
      <c r="F752" s="2">
        <v>129</v>
      </c>
      <c r="G752" t="s">
        <v>11</v>
      </c>
      <c r="H752" s="3">
        <v>21409.64</v>
      </c>
      <c r="I752" s="3">
        <v>592601</v>
      </c>
      <c r="J752" s="3">
        <v>474080.8</v>
      </c>
      <c r="K752" s="3">
        <v>97110.560000000012</v>
      </c>
      <c r="L752" t="s">
        <v>19</v>
      </c>
      <c r="M752">
        <v>5</v>
      </c>
    </row>
    <row r="753" spans="1:13" x14ac:dyDescent="0.25">
      <c r="A753">
        <v>752</v>
      </c>
      <c r="B753" s="1">
        <v>42638</v>
      </c>
      <c r="C753" s="1">
        <v>42952</v>
      </c>
      <c r="D753" t="s">
        <v>23</v>
      </c>
      <c r="E753" t="s">
        <v>28</v>
      </c>
      <c r="F753" s="2">
        <v>178</v>
      </c>
      <c r="G753" t="s">
        <v>12</v>
      </c>
      <c r="H753" s="3">
        <v>59200.88</v>
      </c>
      <c r="I753" s="3">
        <v>1546357</v>
      </c>
      <c r="J753" s="3">
        <v>1237085.6000000001</v>
      </c>
      <c r="K753" s="3">
        <v>250070.5199999999</v>
      </c>
      <c r="L753" t="s">
        <v>19</v>
      </c>
      <c r="M753">
        <v>4.5999999999999996</v>
      </c>
    </row>
    <row r="754" spans="1:13" x14ac:dyDescent="0.25">
      <c r="A754">
        <v>753</v>
      </c>
      <c r="B754" s="1">
        <v>42638</v>
      </c>
      <c r="C754" s="1">
        <v>42960</v>
      </c>
      <c r="D754" t="s">
        <v>20</v>
      </c>
      <c r="E754" t="s">
        <v>26</v>
      </c>
      <c r="F754" s="2">
        <v>61</v>
      </c>
      <c r="G754" t="s">
        <v>11</v>
      </c>
      <c r="H754" s="3">
        <v>15395.2</v>
      </c>
      <c r="I754" s="3">
        <v>436140</v>
      </c>
      <c r="J754" s="3">
        <v>348912</v>
      </c>
      <c r="K754" s="3">
        <v>71832.800000000003</v>
      </c>
      <c r="L754" t="s">
        <v>19</v>
      </c>
      <c r="M754">
        <v>4.3</v>
      </c>
    </row>
    <row r="755" spans="1:13" x14ac:dyDescent="0.25">
      <c r="A755">
        <v>754</v>
      </c>
      <c r="B755" s="1">
        <v>42638</v>
      </c>
      <c r="C755" s="1">
        <v>42875</v>
      </c>
      <c r="D755" t="s">
        <v>22</v>
      </c>
      <c r="E755" t="s">
        <v>13</v>
      </c>
      <c r="F755" s="2">
        <v>244</v>
      </c>
      <c r="G755" t="s">
        <v>12</v>
      </c>
      <c r="H755" s="3">
        <v>47564.28</v>
      </c>
      <c r="I755" s="3">
        <v>1243042</v>
      </c>
      <c r="J755" s="3">
        <v>994433.6</v>
      </c>
      <c r="K755" s="3">
        <v>201044.12000000002</v>
      </c>
      <c r="L755" t="s">
        <v>18</v>
      </c>
      <c r="M755">
        <v>3.7</v>
      </c>
    </row>
    <row r="756" spans="1:13" x14ac:dyDescent="0.25">
      <c r="A756">
        <v>755</v>
      </c>
      <c r="B756" s="1">
        <v>42638</v>
      </c>
      <c r="C756" s="1">
        <v>42841</v>
      </c>
      <c r="D756" t="s">
        <v>22</v>
      </c>
      <c r="E756" t="s">
        <v>29</v>
      </c>
      <c r="F756" s="2">
        <v>232</v>
      </c>
      <c r="G756" t="s">
        <v>12</v>
      </c>
      <c r="H756" s="3">
        <v>87508.2</v>
      </c>
      <c r="I756" s="3">
        <v>2239140</v>
      </c>
      <c r="J756" s="3">
        <v>1791312</v>
      </c>
      <c r="K756" s="3">
        <v>360319.8</v>
      </c>
      <c r="L756" t="s">
        <v>15</v>
      </c>
      <c r="M756">
        <v>4.9000000000000004</v>
      </c>
    </row>
    <row r="757" spans="1:13" x14ac:dyDescent="0.25">
      <c r="A757">
        <v>756</v>
      </c>
      <c r="B757" s="1">
        <v>42639</v>
      </c>
      <c r="C757" s="1">
        <v>42957</v>
      </c>
      <c r="D757" t="s">
        <v>21</v>
      </c>
      <c r="E757" t="s">
        <v>29</v>
      </c>
      <c r="F757" s="2">
        <v>43</v>
      </c>
      <c r="G757" t="s">
        <v>11</v>
      </c>
      <c r="H757" s="3">
        <v>11316</v>
      </c>
      <c r="I757" s="3">
        <v>345335</v>
      </c>
      <c r="J757" s="3">
        <v>276268</v>
      </c>
      <c r="K757" s="3">
        <v>57751</v>
      </c>
      <c r="L757" t="s">
        <v>15</v>
      </c>
      <c r="M757">
        <v>4.0999999999999996</v>
      </c>
    </row>
    <row r="758" spans="1:13" x14ac:dyDescent="0.25">
      <c r="A758">
        <v>757</v>
      </c>
      <c r="B758" s="1">
        <v>42639</v>
      </c>
      <c r="C758" s="1">
        <v>42902</v>
      </c>
      <c r="D758" t="s">
        <v>22</v>
      </c>
      <c r="E758" t="s">
        <v>24</v>
      </c>
      <c r="F758" s="2">
        <v>39</v>
      </c>
      <c r="G758" t="s">
        <v>11</v>
      </c>
      <c r="H758" s="3">
        <v>11562.04</v>
      </c>
      <c r="I758" s="3">
        <v>343211</v>
      </c>
      <c r="J758" s="3">
        <v>274568.8</v>
      </c>
      <c r="K758" s="3">
        <v>57080.160000000011</v>
      </c>
      <c r="L758" t="s">
        <v>17</v>
      </c>
      <c r="M758">
        <v>4</v>
      </c>
    </row>
    <row r="759" spans="1:13" x14ac:dyDescent="0.25">
      <c r="A759">
        <v>758</v>
      </c>
      <c r="B759" s="1">
        <v>42639</v>
      </c>
      <c r="C759" s="1">
        <v>42942</v>
      </c>
      <c r="D759" t="s">
        <v>21</v>
      </c>
      <c r="E759" t="s">
        <v>26</v>
      </c>
      <c r="F759" s="2">
        <v>266</v>
      </c>
      <c r="G759" t="s">
        <v>12</v>
      </c>
      <c r="H759" s="3">
        <v>60696.72</v>
      </c>
      <c r="I759" s="3">
        <v>1571653</v>
      </c>
      <c r="J759" s="3">
        <v>1257322.3999999999</v>
      </c>
      <c r="K759" s="3">
        <v>253633.88000000009</v>
      </c>
      <c r="L759" t="s">
        <v>19</v>
      </c>
      <c r="M759">
        <v>3.8</v>
      </c>
    </row>
    <row r="760" spans="1:13" x14ac:dyDescent="0.25">
      <c r="A760">
        <v>759</v>
      </c>
      <c r="B760" s="1">
        <v>42639</v>
      </c>
      <c r="C760" s="1">
        <v>42754</v>
      </c>
      <c r="D760" t="s">
        <v>23</v>
      </c>
      <c r="E760" t="s">
        <v>28</v>
      </c>
      <c r="F760" s="2">
        <v>113</v>
      </c>
      <c r="G760" t="s">
        <v>12</v>
      </c>
      <c r="H760" s="3">
        <v>31921.200000000001</v>
      </c>
      <c r="I760" s="3">
        <v>860165</v>
      </c>
      <c r="J760" s="3">
        <v>688132</v>
      </c>
      <c r="K760" s="3">
        <v>140111.79999999999</v>
      </c>
      <c r="L760" t="s">
        <v>18</v>
      </c>
      <c r="M760">
        <v>4.7</v>
      </c>
    </row>
    <row r="761" spans="1:13" x14ac:dyDescent="0.25">
      <c r="A761">
        <v>760</v>
      </c>
      <c r="B761" s="1">
        <v>42639</v>
      </c>
      <c r="C761" s="1">
        <v>42930</v>
      </c>
      <c r="D761" t="s">
        <v>21</v>
      </c>
      <c r="E761" t="s">
        <v>29</v>
      </c>
      <c r="F761" s="2">
        <v>296</v>
      </c>
      <c r="G761" t="s">
        <v>12</v>
      </c>
      <c r="H761" s="3">
        <v>66733.2</v>
      </c>
      <c r="I761" s="3">
        <v>1731815</v>
      </c>
      <c r="J761" s="3">
        <v>1385452</v>
      </c>
      <c r="K761" s="3">
        <v>279629.8</v>
      </c>
      <c r="L761" t="s">
        <v>16</v>
      </c>
      <c r="M761">
        <v>5</v>
      </c>
    </row>
    <row r="762" spans="1:13" x14ac:dyDescent="0.25">
      <c r="A762">
        <v>761</v>
      </c>
      <c r="B762" s="1">
        <v>42639</v>
      </c>
      <c r="C762" s="1">
        <v>42740</v>
      </c>
      <c r="D762" t="s">
        <v>21</v>
      </c>
      <c r="E762" t="s">
        <v>13</v>
      </c>
      <c r="F762" s="2">
        <v>45</v>
      </c>
      <c r="G762" t="s">
        <v>11</v>
      </c>
      <c r="H762" s="3">
        <v>15498</v>
      </c>
      <c r="I762" s="3">
        <v>448185</v>
      </c>
      <c r="J762" s="3">
        <v>358548</v>
      </c>
      <c r="K762" s="3">
        <v>74139</v>
      </c>
      <c r="L762" t="s">
        <v>14</v>
      </c>
      <c r="M762">
        <v>4.2</v>
      </c>
    </row>
    <row r="763" spans="1:13" x14ac:dyDescent="0.25">
      <c r="A763">
        <v>762</v>
      </c>
      <c r="B763" s="1">
        <v>42639</v>
      </c>
      <c r="C763" s="1">
        <v>42961</v>
      </c>
      <c r="D763" t="s">
        <v>22</v>
      </c>
      <c r="E763" t="s">
        <v>29</v>
      </c>
      <c r="F763" s="2">
        <v>44</v>
      </c>
      <c r="G763" t="s">
        <v>11</v>
      </c>
      <c r="H763" s="3">
        <v>13996.48</v>
      </c>
      <c r="I763" s="3">
        <v>408197</v>
      </c>
      <c r="J763" s="3">
        <v>326557.59999999998</v>
      </c>
      <c r="K763" s="3">
        <v>67642.920000000027</v>
      </c>
      <c r="L763" t="s">
        <v>18</v>
      </c>
      <c r="M763">
        <v>4</v>
      </c>
    </row>
    <row r="764" spans="1:13" x14ac:dyDescent="0.25">
      <c r="A764">
        <v>763</v>
      </c>
      <c r="B764" s="1">
        <v>42640</v>
      </c>
      <c r="C764" s="1">
        <v>42794</v>
      </c>
      <c r="D764" t="s">
        <v>20</v>
      </c>
      <c r="E764" t="s">
        <v>29</v>
      </c>
      <c r="F764" s="2">
        <v>284</v>
      </c>
      <c r="G764" t="s">
        <v>12</v>
      </c>
      <c r="H764" s="3">
        <v>95764.32</v>
      </c>
      <c r="I764" s="3">
        <v>2448293</v>
      </c>
      <c r="J764" s="3">
        <v>1958634.4</v>
      </c>
      <c r="K764" s="3">
        <v>393894.28000000009</v>
      </c>
      <c r="L764" t="s">
        <v>16</v>
      </c>
      <c r="M764">
        <v>4.8</v>
      </c>
    </row>
    <row r="765" spans="1:13" x14ac:dyDescent="0.25">
      <c r="A765">
        <v>764</v>
      </c>
      <c r="B765" s="1">
        <v>42640</v>
      </c>
      <c r="C765" s="1">
        <v>42974</v>
      </c>
      <c r="D765" t="s">
        <v>21</v>
      </c>
      <c r="E765" t="s">
        <v>26</v>
      </c>
      <c r="F765" s="2">
        <v>205</v>
      </c>
      <c r="G765" t="s">
        <v>12</v>
      </c>
      <c r="H765" s="3">
        <v>43947.6</v>
      </c>
      <c r="I765" s="3">
        <v>1158725</v>
      </c>
      <c r="J765" s="3">
        <v>926980</v>
      </c>
      <c r="K765" s="3">
        <v>187797.4</v>
      </c>
      <c r="L765" t="s">
        <v>15</v>
      </c>
      <c r="M765">
        <v>4</v>
      </c>
    </row>
    <row r="766" spans="1:13" x14ac:dyDescent="0.25">
      <c r="A766">
        <v>765</v>
      </c>
      <c r="B766" s="1">
        <v>42641</v>
      </c>
      <c r="C766" s="1">
        <v>42761</v>
      </c>
      <c r="D766" t="s">
        <v>22</v>
      </c>
      <c r="E766" t="s">
        <v>13</v>
      </c>
      <c r="F766" s="2">
        <v>287</v>
      </c>
      <c r="G766" t="s">
        <v>12</v>
      </c>
      <c r="H766" s="3">
        <v>93303.24</v>
      </c>
      <c r="I766" s="3">
        <v>2390966</v>
      </c>
      <c r="J766" s="3">
        <v>1912772.8</v>
      </c>
      <c r="K766" s="3">
        <v>384889.95999999996</v>
      </c>
      <c r="L766" t="s">
        <v>14</v>
      </c>
      <c r="M766">
        <v>4</v>
      </c>
    </row>
    <row r="767" spans="1:13" x14ac:dyDescent="0.25">
      <c r="A767">
        <v>766</v>
      </c>
      <c r="B767" s="1">
        <v>42642</v>
      </c>
      <c r="C767" s="1">
        <v>42842</v>
      </c>
      <c r="D767" t="s">
        <v>22</v>
      </c>
      <c r="E767" t="s">
        <v>13</v>
      </c>
      <c r="F767" s="2">
        <v>200</v>
      </c>
      <c r="G767" t="s">
        <v>12</v>
      </c>
      <c r="H767" s="3">
        <v>40555.199999999997</v>
      </c>
      <c r="I767" s="3">
        <v>1080965</v>
      </c>
      <c r="J767" s="3">
        <v>864772</v>
      </c>
      <c r="K767" s="3">
        <v>175637.8</v>
      </c>
      <c r="L767" t="s">
        <v>17</v>
      </c>
      <c r="M767">
        <v>4.9000000000000004</v>
      </c>
    </row>
    <row r="768" spans="1:13" x14ac:dyDescent="0.25">
      <c r="A768">
        <v>767</v>
      </c>
      <c r="B768" s="1">
        <v>42642</v>
      </c>
      <c r="C768" s="1">
        <v>42862</v>
      </c>
      <c r="D768" t="s">
        <v>20</v>
      </c>
      <c r="E768" t="s">
        <v>24</v>
      </c>
      <c r="F768" s="2">
        <v>90</v>
      </c>
      <c r="G768" t="s">
        <v>11</v>
      </c>
      <c r="H768" s="3">
        <v>19475</v>
      </c>
      <c r="I768" s="3">
        <v>546635</v>
      </c>
      <c r="J768" s="3">
        <v>437308</v>
      </c>
      <c r="K768" s="3">
        <v>89852</v>
      </c>
      <c r="L768" t="s">
        <v>17</v>
      </c>
      <c r="M768">
        <v>4</v>
      </c>
    </row>
    <row r="769" spans="1:13" x14ac:dyDescent="0.25">
      <c r="A769">
        <v>768</v>
      </c>
      <c r="B769" s="1">
        <v>42642</v>
      </c>
      <c r="C769" s="1">
        <v>42910</v>
      </c>
      <c r="D769" t="s">
        <v>22</v>
      </c>
      <c r="E769" t="s">
        <v>13</v>
      </c>
      <c r="F769" s="2">
        <v>226</v>
      </c>
      <c r="G769" t="s">
        <v>12</v>
      </c>
      <c r="H769" s="3">
        <v>47906.48</v>
      </c>
      <c r="I769" s="3">
        <v>1249697</v>
      </c>
      <c r="J769" s="3">
        <v>999757.6</v>
      </c>
      <c r="K769" s="3">
        <v>202032.92</v>
      </c>
      <c r="L769" t="s">
        <v>14</v>
      </c>
      <c r="M769">
        <v>4.5999999999999996</v>
      </c>
    </row>
    <row r="770" spans="1:13" x14ac:dyDescent="0.25">
      <c r="A770">
        <v>769</v>
      </c>
      <c r="B770" s="1">
        <v>42645</v>
      </c>
      <c r="C770" s="1">
        <v>42972</v>
      </c>
      <c r="D770" t="s">
        <v>22</v>
      </c>
      <c r="E770" t="s">
        <v>28</v>
      </c>
      <c r="F770" s="2">
        <v>154</v>
      </c>
      <c r="G770" t="s">
        <v>12</v>
      </c>
      <c r="H770" s="3">
        <v>45753.24</v>
      </c>
      <c r="I770" s="3">
        <v>1198616</v>
      </c>
      <c r="J770" s="3">
        <v>958892.8</v>
      </c>
      <c r="K770" s="3">
        <v>193969.95999999996</v>
      </c>
      <c r="L770" t="s">
        <v>15</v>
      </c>
      <c r="M770">
        <v>3.7</v>
      </c>
    </row>
    <row r="771" spans="1:13" x14ac:dyDescent="0.25">
      <c r="A771">
        <v>770</v>
      </c>
      <c r="B771" s="1">
        <v>42647</v>
      </c>
      <c r="C771" s="1">
        <v>42842</v>
      </c>
      <c r="D771" t="s">
        <v>22</v>
      </c>
      <c r="E771" t="s">
        <v>24</v>
      </c>
      <c r="F771" s="2">
        <v>180</v>
      </c>
      <c r="G771" t="s">
        <v>12</v>
      </c>
      <c r="H771" s="3">
        <v>52649.599999999999</v>
      </c>
      <c r="I771" s="3">
        <v>1380325</v>
      </c>
      <c r="J771" s="3">
        <v>1104260</v>
      </c>
      <c r="K771" s="3">
        <v>223415.4</v>
      </c>
      <c r="L771" t="s">
        <v>14</v>
      </c>
      <c r="M771">
        <v>4.8</v>
      </c>
    </row>
    <row r="772" spans="1:13" x14ac:dyDescent="0.25">
      <c r="A772">
        <v>771</v>
      </c>
      <c r="B772" s="1">
        <v>42647</v>
      </c>
      <c r="C772" s="1">
        <v>43004</v>
      </c>
      <c r="D772" t="s">
        <v>23</v>
      </c>
      <c r="E772" t="s">
        <v>24</v>
      </c>
      <c r="F772" s="2">
        <v>39</v>
      </c>
      <c r="G772" t="s">
        <v>11</v>
      </c>
      <c r="H772" s="3">
        <v>8063.56</v>
      </c>
      <c r="I772" s="3">
        <v>260049</v>
      </c>
      <c r="J772" s="3">
        <v>208039.2</v>
      </c>
      <c r="K772" s="3">
        <v>43946.239999999991</v>
      </c>
      <c r="L772" t="s">
        <v>19</v>
      </c>
      <c r="M772">
        <v>3.9</v>
      </c>
    </row>
    <row r="773" spans="1:13" x14ac:dyDescent="0.25">
      <c r="A773">
        <v>772</v>
      </c>
      <c r="B773" s="1">
        <v>42647</v>
      </c>
      <c r="C773" s="1">
        <v>42737</v>
      </c>
      <c r="D773" t="s">
        <v>22</v>
      </c>
      <c r="E773" t="s">
        <v>24</v>
      </c>
      <c r="F773" s="2">
        <v>271</v>
      </c>
      <c r="G773" t="s">
        <v>12</v>
      </c>
      <c r="H773" s="3">
        <v>53890.92</v>
      </c>
      <c r="I773" s="3">
        <v>1400433</v>
      </c>
      <c r="J773" s="3">
        <v>1120346.3999999999</v>
      </c>
      <c r="K773" s="3">
        <v>226195.68000000011</v>
      </c>
      <c r="L773" t="s">
        <v>17</v>
      </c>
      <c r="M773">
        <v>3.9</v>
      </c>
    </row>
    <row r="774" spans="1:13" x14ac:dyDescent="0.25">
      <c r="A774">
        <v>773</v>
      </c>
      <c r="B774" s="1">
        <v>42647</v>
      </c>
      <c r="C774" s="1">
        <v>42882</v>
      </c>
      <c r="D774" t="s">
        <v>23</v>
      </c>
      <c r="E774" t="s">
        <v>24</v>
      </c>
      <c r="F774" s="2">
        <v>53</v>
      </c>
      <c r="G774" t="s">
        <v>11</v>
      </c>
      <c r="H774" s="3">
        <v>18568.759999999998</v>
      </c>
      <c r="I774" s="3">
        <v>521229</v>
      </c>
      <c r="J774" s="3">
        <v>416983.2</v>
      </c>
      <c r="K774" s="3">
        <v>85677.04</v>
      </c>
      <c r="L774" t="s">
        <v>16</v>
      </c>
      <c r="M774">
        <v>5</v>
      </c>
    </row>
    <row r="775" spans="1:13" x14ac:dyDescent="0.25">
      <c r="A775">
        <v>774</v>
      </c>
      <c r="B775" s="1">
        <v>42648</v>
      </c>
      <c r="C775" s="1">
        <v>42891</v>
      </c>
      <c r="D775" t="s">
        <v>20</v>
      </c>
      <c r="E775" t="s">
        <v>27</v>
      </c>
      <c r="F775" s="2">
        <v>240</v>
      </c>
      <c r="G775" t="s">
        <v>12</v>
      </c>
      <c r="H775" s="3">
        <v>92064.08</v>
      </c>
      <c r="I775" s="3">
        <v>2368637</v>
      </c>
      <c r="J775" s="3">
        <v>1894909.6</v>
      </c>
      <c r="K775" s="3">
        <v>381663.31999999989</v>
      </c>
      <c r="L775" t="s">
        <v>16</v>
      </c>
      <c r="M775">
        <v>3.8</v>
      </c>
    </row>
    <row r="776" spans="1:13" x14ac:dyDescent="0.25">
      <c r="A776">
        <v>775</v>
      </c>
      <c r="B776" s="1">
        <v>42648</v>
      </c>
      <c r="C776" s="1">
        <v>42941</v>
      </c>
      <c r="D776" t="s">
        <v>21</v>
      </c>
      <c r="E776" t="s">
        <v>26</v>
      </c>
      <c r="F776" s="2">
        <v>197</v>
      </c>
      <c r="G776" t="s">
        <v>12</v>
      </c>
      <c r="H776" s="3">
        <v>63124</v>
      </c>
      <c r="I776" s="3">
        <v>1642985</v>
      </c>
      <c r="J776" s="3">
        <v>1314388</v>
      </c>
      <c r="K776" s="3">
        <v>265473</v>
      </c>
      <c r="L776" t="s">
        <v>14</v>
      </c>
      <c r="M776">
        <v>3.9</v>
      </c>
    </row>
    <row r="777" spans="1:13" x14ac:dyDescent="0.25">
      <c r="A777">
        <v>776</v>
      </c>
      <c r="B777" s="1">
        <v>42648</v>
      </c>
      <c r="C777" s="1">
        <v>42781</v>
      </c>
      <c r="D777" t="s">
        <v>21</v>
      </c>
      <c r="E777" t="s">
        <v>28</v>
      </c>
      <c r="F777" s="2">
        <v>69</v>
      </c>
      <c r="G777" t="s">
        <v>11</v>
      </c>
      <c r="H777" s="3">
        <v>15702.4</v>
      </c>
      <c r="I777" s="3">
        <v>447645</v>
      </c>
      <c r="J777" s="3">
        <v>358116</v>
      </c>
      <c r="K777" s="3">
        <v>73826.600000000006</v>
      </c>
      <c r="L777" t="s">
        <v>16</v>
      </c>
      <c r="M777">
        <v>4.4000000000000004</v>
      </c>
    </row>
    <row r="778" spans="1:13" x14ac:dyDescent="0.25">
      <c r="A778">
        <v>777</v>
      </c>
      <c r="B778" s="1">
        <v>42648</v>
      </c>
      <c r="C778" s="1">
        <v>42904</v>
      </c>
      <c r="D778" t="s">
        <v>20</v>
      </c>
      <c r="E778" t="s">
        <v>13</v>
      </c>
      <c r="F778" s="2">
        <v>61</v>
      </c>
      <c r="G778" t="s">
        <v>11</v>
      </c>
      <c r="H778" s="3">
        <v>23234.84</v>
      </c>
      <c r="I778" s="3">
        <v>648281</v>
      </c>
      <c r="J778" s="3">
        <v>518624.8</v>
      </c>
      <c r="K778" s="3">
        <v>106421.36000000002</v>
      </c>
      <c r="L778" t="s">
        <v>19</v>
      </c>
      <c r="M778">
        <v>3.6</v>
      </c>
    </row>
    <row r="779" spans="1:13" x14ac:dyDescent="0.25">
      <c r="A779">
        <v>778</v>
      </c>
      <c r="B779" s="1">
        <v>42649</v>
      </c>
      <c r="C779" s="1">
        <v>42964</v>
      </c>
      <c r="D779" t="s">
        <v>23</v>
      </c>
      <c r="E779" t="s">
        <v>27</v>
      </c>
      <c r="F779" s="2">
        <v>225</v>
      </c>
      <c r="G779" t="s">
        <v>12</v>
      </c>
      <c r="H779" s="3">
        <v>61583.28</v>
      </c>
      <c r="I779" s="3">
        <v>1591217</v>
      </c>
      <c r="J779" s="3">
        <v>1272973.6000000001</v>
      </c>
      <c r="K779" s="3">
        <v>256660.11999999991</v>
      </c>
      <c r="L779" t="s">
        <v>17</v>
      </c>
      <c r="M779">
        <v>3.8</v>
      </c>
    </row>
    <row r="780" spans="1:13" x14ac:dyDescent="0.25">
      <c r="A780">
        <v>779</v>
      </c>
      <c r="B780" s="1">
        <v>42649</v>
      </c>
      <c r="C780" s="1">
        <v>42839</v>
      </c>
      <c r="D780" t="s">
        <v>23</v>
      </c>
      <c r="E780" t="s">
        <v>24</v>
      </c>
      <c r="F780" s="2">
        <v>252</v>
      </c>
      <c r="G780" t="s">
        <v>12</v>
      </c>
      <c r="H780" s="3">
        <v>74075.399999999994</v>
      </c>
      <c r="I780" s="3">
        <v>1914245</v>
      </c>
      <c r="J780" s="3">
        <v>1531396</v>
      </c>
      <c r="K780" s="3">
        <v>308773.59999999998</v>
      </c>
      <c r="L780" t="s">
        <v>18</v>
      </c>
      <c r="M780">
        <v>4.0999999999999996</v>
      </c>
    </row>
    <row r="781" spans="1:13" x14ac:dyDescent="0.25">
      <c r="A781">
        <v>780</v>
      </c>
      <c r="B781" s="1">
        <v>42649</v>
      </c>
      <c r="C781" s="1">
        <v>42822</v>
      </c>
      <c r="D781" t="s">
        <v>21</v>
      </c>
      <c r="E781" t="s">
        <v>24</v>
      </c>
      <c r="F781" s="2">
        <v>179</v>
      </c>
      <c r="G781" t="s">
        <v>12</v>
      </c>
      <c r="H781" s="3">
        <v>63620.2</v>
      </c>
      <c r="I781" s="3">
        <v>1643765</v>
      </c>
      <c r="J781" s="3">
        <v>1315012</v>
      </c>
      <c r="K781" s="3">
        <v>265132.79999999999</v>
      </c>
      <c r="L781" t="s">
        <v>14</v>
      </c>
      <c r="M781">
        <v>4.9000000000000004</v>
      </c>
    </row>
    <row r="782" spans="1:13" x14ac:dyDescent="0.25">
      <c r="A782">
        <v>781</v>
      </c>
      <c r="B782" s="1">
        <v>42649</v>
      </c>
      <c r="C782" s="1">
        <v>42852</v>
      </c>
      <c r="D782" t="s">
        <v>21</v>
      </c>
      <c r="E782" t="s">
        <v>24</v>
      </c>
      <c r="F782" s="2">
        <v>154</v>
      </c>
      <c r="G782" t="s">
        <v>12</v>
      </c>
      <c r="H782" s="3">
        <v>47808.6</v>
      </c>
      <c r="I782" s="3">
        <v>1253875</v>
      </c>
      <c r="J782" s="3">
        <v>1003100</v>
      </c>
      <c r="K782" s="3">
        <v>202966.39999999999</v>
      </c>
      <c r="L782" t="s">
        <v>19</v>
      </c>
      <c r="M782">
        <v>4.7</v>
      </c>
    </row>
    <row r="783" spans="1:13" x14ac:dyDescent="0.25">
      <c r="A783">
        <v>782</v>
      </c>
      <c r="B783" s="1">
        <v>42649</v>
      </c>
      <c r="C783" s="1">
        <v>42980</v>
      </c>
      <c r="D783" t="s">
        <v>23</v>
      </c>
      <c r="E783" t="s">
        <v>26</v>
      </c>
      <c r="F783" s="2">
        <v>67</v>
      </c>
      <c r="G783" t="s">
        <v>11</v>
      </c>
      <c r="H783" s="3">
        <v>11288.84</v>
      </c>
      <c r="I783" s="3">
        <v>336481</v>
      </c>
      <c r="J783" s="3">
        <v>269184.8</v>
      </c>
      <c r="K783" s="3">
        <v>56007.360000000015</v>
      </c>
      <c r="L783" t="s">
        <v>18</v>
      </c>
      <c r="M783">
        <v>5</v>
      </c>
    </row>
    <row r="784" spans="1:13" x14ac:dyDescent="0.25">
      <c r="A784">
        <v>783</v>
      </c>
      <c r="B784" s="1">
        <v>42649</v>
      </c>
      <c r="C784" s="1">
        <v>42763</v>
      </c>
      <c r="D784" t="s">
        <v>21</v>
      </c>
      <c r="E784" t="s">
        <v>24</v>
      </c>
      <c r="F784" s="2">
        <v>214</v>
      </c>
      <c r="G784" t="s">
        <v>12</v>
      </c>
      <c r="H784" s="3">
        <v>57205.72</v>
      </c>
      <c r="I784" s="3">
        <v>1492178</v>
      </c>
      <c r="J784" s="3">
        <v>1193742.3999999999</v>
      </c>
      <c r="K784" s="3">
        <v>241229.88000000009</v>
      </c>
      <c r="L784" t="s">
        <v>16</v>
      </c>
      <c r="M784">
        <v>4.7</v>
      </c>
    </row>
    <row r="785" spans="1:13" x14ac:dyDescent="0.25">
      <c r="A785">
        <v>784</v>
      </c>
      <c r="B785" s="1">
        <v>42649</v>
      </c>
      <c r="C785" s="1">
        <v>42989</v>
      </c>
      <c r="D785" t="s">
        <v>23</v>
      </c>
      <c r="E785" t="s">
        <v>27</v>
      </c>
      <c r="F785" s="2">
        <v>80</v>
      </c>
      <c r="G785" t="s">
        <v>12</v>
      </c>
      <c r="H785" s="3">
        <v>29978.240000000002</v>
      </c>
      <c r="I785" s="3">
        <v>815191</v>
      </c>
      <c r="J785" s="3">
        <v>652152.80000000005</v>
      </c>
      <c r="K785" s="3">
        <v>133059.95999999996</v>
      </c>
      <c r="L785" t="s">
        <v>18</v>
      </c>
      <c r="M785">
        <v>4</v>
      </c>
    </row>
    <row r="786" spans="1:13" x14ac:dyDescent="0.25">
      <c r="A786">
        <v>785</v>
      </c>
      <c r="B786" s="1">
        <v>42649</v>
      </c>
      <c r="C786" s="1">
        <v>43013</v>
      </c>
      <c r="D786" t="s">
        <v>21</v>
      </c>
      <c r="E786" t="s">
        <v>26</v>
      </c>
      <c r="F786" s="2">
        <v>225</v>
      </c>
      <c r="G786" t="s">
        <v>12</v>
      </c>
      <c r="H786" s="3">
        <v>66461.919999999998</v>
      </c>
      <c r="I786" s="3">
        <v>1721633</v>
      </c>
      <c r="J786" s="3">
        <v>1377306.4</v>
      </c>
      <c r="K786" s="3">
        <v>277864.68000000011</v>
      </c>
      <c r="L786" t="s">
        <v>19</v>
      </c>
      <c r="M786">
        <v>4.8</v>
      </c>
    </row>
    <row r="787" spans="1:13" x14ac:dyDescent="0.25">
      <c r="A787">
        <v>786</v>
      </c>
      <c r="B787" s="1">
        <v>42649</v>
      </c>
      <c r="C787" s="1">
        <v>42919</v>
      </c>
      <c r="D787" t="s">
        <v>21</v>
      </c>
      <c r="E787" t="s">
        <v>29</v>
      </c>
      <c r="F787" s="2">
        <v>217</v>
      </c>
      <c r="G787" t="s">
        <v>12</v>
      </c>
      <c r="H787" s="3">
        <v>35322.92</v>
      </c>
      <c r="I787" s="3">
        <v>949733</v>
      </c>
      <c r="J787" s="3">
        <v>759786.4</v>
      </c>
      <c r="K787" s="3">
        <v>154623.67999999999</v>
      </c>
      <c r="L787" t="s">
        <v>17</v>
      </c>
      <c r="M787">
        <v>4.8</v>
      </c>
    </row>
    <row r="788" spans="1:13" x14ac:dyDescent="0.25">
      <c r="A788">
        <v>787</v>
      </c>
      <c r="B788" s="1">
        <v>42649</v>
      </c>
      <c r="C788" s="1">
        <v>42862</v>
      </c>
      <c r="D788" t="s">
        <v>21</v>
      </c>
      <c r="E788" t="s">
        <v>13</v>
      </c>
      <c r="F788" s="2">
        <v>274</v>
      </c>
      <c r="G788" t="s">
        <v>12</v>
      </c>
      <c r="H788" s="3">
        <v>81985.16</v>
      </c>
      <c r="I788" s="3">
        <v>2101364</v>
      </c>
      <c r="J788" s="3">
        <v>1681091.2</v>
      </c>
      <c r="K788" s="3">
        <v>338287.64</v>
      </c>
      <c r="L788" t="s">
        <v>18</v>
      </c>
      <c r="M788">
        <v>3.6</v>
      </c>
    </row>
    <row r="789" spans="1:13" x14ac:dyDescent="0.25">
      <c r="A789">
        <v>788</v>
      </c>
      <c r="B789" s="1">
        <v>42650</v>
      </c>
      <c r="C789" s="1">
        <v>43003</v>
      </c>
      <c r="D789" t="s">
        <v>21</v>
      </c>
      <c r="E789" t="s">
        <v>27</v>
      </c>
      <c r="F789" s="2">
        <v>85</v>
      </c>
      <c r="G789" t="s">
        <v>12</v>
      </c>
      <c r="H789" s="3">
        <v>33322.080000000002</v>
      </c>
      <c r="I789" s="3">
        <v>890337</v>
      </c>
      <c r="J789" s="3">
        <v>712269.6</v>
      </c>
      <c r="K789" s="3">
        <v>144745.32</v>
      </c>
      <c r="L789" t="s">
        <v>14</v>
      </c>
      <c r="M789">
        <v>5</v>
      </c>
    </row>
    <row r="790" spans="1:13" x14ac:dyDescent="0.25">
      <c r="A790">
        <v>789</v>
      </c>
      <c r="B790" s="1">
        <v>42650</v>
      </c>
      <c r="C790" s="1">
        <v>42939</v>
      </c>
      <c r="D790" t="s">
        <v>21</v>
      </c>
      <c r="E790" t="s">
        <v>24</v>
      </c>
      <c r="F790" s="2">
        <v>245</v>
      </c>
      <c r="G790" t="s">
        <v>12</v>
      </c>
      <c r="H790" s="3">
        <v>70033.960000000006</v>
      </c>
      <c r="I790" s="3">
        <v>1818334</v>
      </c>
      <c r="J790" s="3">
        <v>1454667.2</v>
      </c>
      <c r="K790" s="3">
        <v>293632.84000000003</v>
      </c>
      <c r="L790" t="s">
        <v>19</v>
      </c>
      <c r="M790">
        <v>3.8</v>
      </c>
    </row>
    <row r="791" spans="1:13" x14ac:dyDescent="0.25">
      <c r="A791">
        <v>790</v>
      </c>
      <c r="B791" s="1">
        <v>42650</v>
      </c>
      <c r="C791" s="1">
        <v>42804</v>
      </c>
      <c r="D791" t="s">
        <v>22</v>
      </c>
      <c r="E791" t="s">
        <v>26</v>
      </c>
      <c r="F791" s="2">
        <v>101</v>
      </c>
      <c r="G791" t="s">
        <v>11</v>
      </c>
      <c r="H791" s="3">
        <v>25205.4</v>
      </c>
      <c r="I791" s="3">
        <v>683945</v>
      </c>
      <c r="J791" s="3">
        <v>547156</v>
      </c>
      <c r="K791" s="3">
        <v>111583.6</v>
      </c>
      <c r="L791" t="s">
        <v>19</v>
      </c>
      <c r="M791">
        <v>3.9</v>
      </c>
    </row>
    <row r="792" spans="1:13" x14ac:dyDescent="0.25">
      <c r="A792">
        <v>791</v>
      </c>
      <c r="B792" s="1">
        <v>42651</v>
      </c>
      <c r="C792" s="1">
        <v>42944</v>
      </c>
      <c r="D792" t="s">
        <v>20</v>
      </c>
      <c r="E792" t="s">
        <v>29</v>
      </c>
      <c r="F792" s="2">
        <v>108</v>
      </c>
      <c r="G792" t="s">
        <v>12</v>
      </c>
      <c r="H792" s="3">
        <v>33815.839999999997</v>
      </c>
      <c r="I792" s="3">
        <v>905681</v>
      </c>
      <c r="J792" s="3">
        <v>724544.8</v>
      </c>
      <c r="K792" s="3">
        <v>147320.35999999996</v>
      </c>
      <c r="L792" t="s">
        <v>17</v>
      </c>
      <c r="M792">
        <v>4.4000000000000004</v>
      </c>
    </row>
    <row r="793" spans="1:13" x14ac:dyDescent="0.25">
      <c r="A793">
        <v>792</v>
      </c>
      <c r="B793" s="1">
        <v>42651</v>
      </c>
      <c r="C793" s="1">
        <v>43010</v>
      </c>
      <c r="D793" t="s">
        <v>21</v>
      </c>
      <c r="E793" t="s">
        <v>25</v>
      </c>
      <c r="F793" s="2">
        <v>289</v>
      </c>
      <c r="G793" t="s">
        <v>12</v>
      </c>
      <c r="H793" s="3">
        <v>61755.8</v>
      </c>
      <c r="I793" s="3">
        <v>1601605</v>
      </c>
      <c r="J793" s="3">
        <v>1281284</v>
      </c>
      <c r="K793" s="3">
        <v>258565.2</v>
      </c>
      <c r="L793" t="s">
        <v>16</v>
      </c>
      <c r="M793">
        <v>5</v>
      </c>
    </row>
    <row r="794" spans="1:13" x14ac:dyDescent="0.25">
      <c r="A794">
        <v>793</v>
      </c>
      <c r="B794" s="1">
        <v>42651</v>
      </c>
      <c r="C794" s="1">
        <v>42984</v>
      </c>
      <c r="D794" t="s">
        <v>23</v>
      </c>
      <c r="E794" t="s">
        <v>24</v>
      </c>
      <c r="F794" s="2">
        <v>85</v>
      </c>
      <c r="G794" t="s">
        <v>11</v>
      </c>
      <c r="H794" s="3">
        <v>19289.8</v>
      </c>
      <c r="I794" s="3">
        <v>543805</v>
      </c>
      <c r="J794" s="3">
        <v>435044</v>
      </c>
      <c r="K794" s="3">
        <v>89471.2</v>
      </c>
      <c r="L794" t="s">
        <v>18</v>
      </c>
      <c r="M794">
        <v>4.7</v>
      </c>
    </row>
    <row r="795" spans="1:13" x14ac:dyDescent="0.25">
      <c r="A795">
        <v>794</v>
      </c>
      <c r="B795" s="1">
        <v>42653</v>
      </c>
      <c r="C795" s="1">
        <v>42803</v>
      </c>
      <c r="D795" t="s">
        <v>20</v>
      </c>
      <c r="E795" t="s">
        <v>26</v>
      </c>
      <c r="F795" s="2">
        <v>273</v>
      </c>
      <c r="G795" t="s">
        <v>12</v>
      </c>
      <c r="H795" s="3">
        <v>60121.84</v>
      </c>
      <c r="I795" s="3">
        <v>1559431</v>
      </c>
      <c r="J795" s="3">
        <v>1247544.8</v>
      </c>
      <c r="K795" s="3">
        <v>251764.35999999996</v>
      </c>
      <c r="L795" t="s">
        <v>16</v>
      </c>
      <c r="M795">
        <v>3.9</v>
      </c>
    </row>
    <row r="796" spans="1:13" x14ac:dyDescent="0.25">
      <c r="A796">
        <v>795</v>
      </c>
      <c r="B796" s="1">
        <v>42653</v>
      </c>
      <c r="C796" s="1">
        <v>42874</v>
      </c>
      <c r="D796" t="s">
        <v>22</v>
      </c>
      <c r="E796" t="s">
        <v>26</v>
      </c>
      <c r="F796" s="2">
        <v>71</v>
      </c>
      <c r="G796" t="s">
        <v>11</v>
      </c>
      <c r="H796" s="3">
        <v>12384.04</v>
      </c>
      <c r="I796" s="3">
        <v>374961</v>
      </c>
      <c r="J796" s="3">
        <v>299968.8</v>
      </c>
      <c r="K796" s="3">
        <v>62608.160000000011</v>
      </c>
      <c r="L796" t="s">
        <v>17</v>
      </c>
      <c r="M796">
        <v>5</v>
      </c>
    </row>
    <row r="797" spans="1:13" x14ac:dyDescent="0.25">
      <c r="A797">
        <v>796</v>
      </c>
      <c r="B797" s="1">
        <v>42653</v>
      </c>
      <c r="C797" s="1">
        <v>42894</v>
      </c>
      <c r="D797" t="s">
        <v>21</v>
      </c>
      <c r="E797" t="s">
        <v>13</v>
      </c>
      <c r="F797" s="2">
        <v>103</v>
      </c>
      <c r="G797" t="s">
        <v>12</v>
      </c>
      <c r="H797" s="3">
        <v>37387.599999999999</v>
      </c>
      <c r="I797" s="3">
        <v>986775</v>
      </c>
      <c r="J797" s="3">
        <v>789420</v>
      </c>
      <c r="K797" s="3">
        <v>159967.4</v>
      </c>
      <c r="L797" t="s">
        <v>14</v>
      </c>
      <c r="M797">
        <v>4.5999999999999996</v>
      </c>
    </row>
    <row r="798" spans="1:13" x14ac:dyDescent="0.25">
      <c r="A798">
        <v>797</v>
      </c>
      <c r="B798" s="1">
        <v>42654</v>
      </c>
      <c r="C798" s="1">
        <v>42859</v>
      </c>
      <c r="D798" t="s">
        <v>23</v>
      </c>
      <c r="E798" t="s">
        <v>25</v>
      </c>
      <c r="F798" s="2">
        <v>248</v>
      </c>
      <c r="G798" t="s">
        <v>12</v>
      </c>
      <c r="H798" s="3">
        <v>56542.2</v>
      </c>
      <c r="I798" s="3">
        <v>1478765</v>
      </c>
      <c r="J798" s="3">
        <v>1183012</v>
      </c>
      <c r="K798" s="3">
        <v>239210.8</v>
      </c>
      <c r="L798" t="s">
        <v>17</v>
      </c>
      <c r="M798">
        <v>4.7</v>
      </c>
    </row>
    <row r="799" spans="1:13" x14ac:dyDescent="0.25">
      <c r="A799">
        <v>798</v>
      </c>
      <c r="B799" s="1">
        <v>42654</v>
      </c>
      <c r="C799" s="1">
        <v>43002</v>
      </c>
      <c r="D799" t="s">
        <v>23</v>
      </c>
      <c r="E799" t="s">
        <v>26</v>
      </c>
      <c r="F799" s="2">
        <v>215</v>
      </c>
      <c r="G799" t="s">
        <v>12</v>
      </c>
      <c r="H799" s="3">
        <v>58406.68</v>
      </c>
      <c r="I799" s="3">
        <v>1515227</v>
      </c>
      <c r="J799" s="3">
        <v>1212181.6000000001</v>
      </c>
      <c r="K799" s="3">
        <v>244638.71999999991</v>
      </c>
      <c r="L799" t="s">
        <v>17</v>
      </c>
      <c r="M799">
        <v>3.7</v>
      </c>
    </row>
    <row r="800" spans="1:13" x14ac:dyDescent="0.25">
      <c r="A800">
        <v>799</v>
      </c>
      <c r="B800" s="1">
        <v>42654</v>
      </c>
      <c r="C800" s="1">
        <v>42793</v>
      </c>
      <c r="D800" t="s">
        <v>21</v>
      </c>
      <c r="E800" t="s">
        <v>26</v>
      </c>
      <c r="F800" s="2">
        <v>273</v>
      </c>
      <c r="G800" t="s">
        <v>12</v>
      </c>
      <c r="H800" s="3">
        <v>87701.88</v>
      </c>
      <c r="I800" s="3">
        <v>2246307</v>
      </c>
      <c r="J800" s="3">
        <v>1797045.6</v>
      </c>
      <c r="K800" s="3">
        <v>361559.5199999999</v>
      </c>
      <c r="L800" t="s">
        <v>17</v>
      </c>
      <c r="M800">
        <v>3.9</v>
      </c>
    </row>
    <row r="801" spans="1:13" x14ac:dyDescent="0.25">
      <c r="A801">
        <v>800</v>
      </c>
      <c r="B801" s="1">
        <v>42655</v>
      </c>
      <c r="C801" s="1">
        <v>42785</v>
      </c>
      <c r="D801" t="s">
        <v>23</v>
      </c>
      <c r="E801" t="s">
        <v>29</v>
      </c>
      <c r="F801" s="2">
        <v>61</v>
      </c>
      <c r="G801" t="s">
        <v>11</v>
      </c>
      <c r="H801" s="3">
        <v>25040</v>
      </c>
      <c r="I801" s="3">
        <v>689735</v>
      </c>
      <c r="J801" s="3">
        <v>551788</v>
      </c>
      <c r="K801" s="3">
        <v>112907</v>
      </c>
      <c r="L801" t="s">
        <v>18</v>
      </c>
      <c r="M801">
        <v>4.8</v>
      </c>
    </row>
    <row r="802" spans="1:13" x14ac:dyDescent="0.25">
      <c r="A802">
        <v>801</v>
      </c>
      <c r="B802" s="1">
        <v>42656</v>
      </c>
      <c r="C802" s="1">
        <v>42973</v>
      </c>
      <c r="D802" t="s">
        <v>23</v>
      </c>
      <c r="E802" t="s">
        <v>24</v>
      </c>
      <c r="F802" s="2">
        <v>156</v>
      </c>
      <c r="G802" t="s">
        <v>12</v>
      </c>
      <c r="H802" s="3">
        <v>52296.92</v>
      </c>
      <c r="I802" s="3">
        <v>1359683</v>
      </c>
      <c r="J802" s="3">
        <v>1087746.3999999999</v>
      </c>
      <c r="K802" s="3">
        <v>219639.68000000011</v>
      </c>
      <c r="L802" t="s">
        <v>17</v>
      </c>
      <c r="M802">
        <v>3.6</v>
      </c>
    </row>
    <row r="803" spans="1:13" x14ac:dyDescent="0.25">
      <c r="A803">
        <v>802</v>
      </c>
      <c r="B803" s="1">
        <v>42656</v>
      </c>
      <c r="C803" s="1">
        <v>42793</v>
      </c>
      <c r="D803" t="s">
        <v>23</v>
      </c>
      <c r="E803" t="s">
        <v>24</v>
      </c>
      <c r="F803" s="2">
        <v>111</v>
      </c>
      <c r="G803" t="s">
        <v>12</v>
      </c>
      <c r="H803" s="3">
        <v>43362.12</v>
      </c>
      <c r="I803" s="3">
        <v>1142513</v>
      </c>
      <c r="J803" s="3">
        <v>914010.4</v>
      </c>
      <c r="K803" s="3">
        <v>185140.47999999998</v>
      </c>
      <c r="L803" t="s">
        <v>18</v>
      </c>
      <c r="M803">
        <v>3.6</v>
      </c>
    </row>
    <row r="804" spans="1:13" x14ac:dyDescent="0.25">
      <c r="A804">
        <v>803</v>
      </c>
      <c r="B804" s="1">
        <v>42656</v>
      </c>
      <c r="C804" s="1">
        <v>42808</v>
      </c>
      <c r="D804" t="s">
        <v>21</v>
      </c>
      <c r="E804" t="s">
        <v>28</v>
      </c>
      <c r="F804" s="2">
        <v>157</v>
      </c>
      <c r="G804" t="s">
        <v>12</v>
      </c>
      <c r="H804" s="3">
        <v>44015.360000000001</v>
      </c>
      <c r="I804" s="3">
        <v>1151894</v>
      </c>
      <c r="J804" s="3">
        <v>921515.2</v>
      </c>
      <c r="K804" s="3">
        <v>186363.44000000006</v>
      </c>
      <c r="L804" t="s">
        <v>18</v>
      </c>
      <c r="M804">
        <v>4.0999999999999996</v>
      </c>
    </row>
    <row r="805" spans="1:13" x14ac:dyDescent="0.25">
      <c r="A805">
        <v>804</v>
      </c>
      <c r="B805" s="1">
        <v>42656</v>
      </c>
      <c r="C805" s="1">
        <v>42822</v>
      </c>
      <c r="D805" t="s">
        <v>23</v>
      </c>
      <c r="E805" t="s">
        <v>28</v>
      </c>
      <c r="F805" s="2">
        <v>108</v>
      </c>
      <c r="G805" t="s">
        <v>11</v>
      </c>
      <c r="H805" s="3">
        <v>21961.279999999999</v>
      </c>
      <c r="I805" s="3">
        <v>616517</v>
      </c>
      <c r="J805" s="3">
        <v>493213.6</v>
      </c>
      <c r="K805" s="3">
        <v>101342.12000000002</v>
      </c>
      <c r="L805" t="s">
        <v>17</v>
      </c>
      <c r="M805">
        <v>4.9000000000000004</v>
      </c>
    </row>
    <row r="806" spans="1:13" x14ac:dyDescent="0.25">
      <c r="A806">
        <v>805</v>
      </c>
      <c r="B806" s="1">
        <v>42657</v>
      </c>
      <c r="C806" s="1">
        <v>42784</v>
      </c>
      <c r="D806" t="s">
        <v>21</v>
      </c>
      <c r="E806" t="s">
        <v>24</v>
      </c>
      <c r="F806" s="2">
        <v>238</v>
      </c>
      <c r="G806" t="s">
        <v>12</v>
      </c>
      <c r="H806" s="3">
        <v>57659.12</v>
      </c>
      <c r="I806" s="3">
        <v>1505663</v>
      </c>
      <c r="J806" s="3">
        <v>1204530.3999999999</v>
      </c>
      <c r="K806" s="3">
        <v>243473.4800000001</v>
      </c>
      <c r="L806" t="s">
        <v>15</v>
      </c>
      <c r="M806">
        <v>3.7</v>
      </c>
    </row>
    <row r="807" spans="1:13" x14ac:dyDescent="0.25">
      <c r="A807">
        <v>806</v>
      </c>
      <c r="B807" s="1">
        <v>42657</v>
      </c>
      <c r="C807" s="1">
        <v>42751</v>
      </c>
      <c r="D807" t="s">
        <v>21</v>
      </c>
      <c r="E807" t="s">
        <v>13</v>
      </c>
      <c r="F807" s="2">
        <v>37</v>
      </c>
      <c r="G807" t="s">
        <v>11</v>
      </c>
      <c r="H807" s="3">
        <v>15993.08</v>
      </c>
      <c r="I807" s="3">
        <v>452037</v>
      </c>
      <c r="J807" s="3">
        <v>361629.6</v>
      </c>
      <c r="K807" s="3">
        <v>74414.320000000022</v>
      </c>
      <c r="L807" t="s">
        <v>19</v>
      </c>
      <c r="M807">
        <v>3.9</v>
      </c>
    </row>
    <row r="808" spans="1:13" x14ac:dyDescent="0.25">
      <c r="A808">
        <v>807</v>
      </c>
      <c r="B808" s="1">
        <v>42658</v>
      </c>
      <c r="C808" s="1">
        <v>42934</v>
      </c>
      <c r="D808" t="s">
        <v>20</v>
      </c>
      <c r="E808" t="s">
        <v>28</v>
      </c>
      <c r="F808" s="2">
        <v>253</v>
      </c>
      <c r="G808" t="s">
        <v>12</v>
      </c>
      <c r="H808" s="3">
        <v>74531.44</v>
      </c>
      <c r="I808" s="3">
        <v>1928221</v>
      </c>
      <c r="J808" s="3">
        <v>1542576.8</v>
      </c>
      <c r="K808" s="3">
        <v>311112.75999999995</v>
      </c>
      <c r="L808" t="s">
        <v>18</v>
      </c>
      <c r="M808">
        <v>4.8</v>
      </c>
    </row>
    <row r="809" spans="1:13" x14ac:dyDescent="0.25">
      <c r="A809">
        <v>808</v>
      </c>
      <c r="B809" s="1">
        <v>42658</v>
      </c>
      <c r="C809" s="1">
        <v>42834</v>
      </c>
      <c r="D809" t="s">
        <v>22</v>
      </c>
      <c r="E809" t="s">
        <v>25</v>
      </c>
      <c r="F809" s="2">
        <v>115</v>
      </c>
      <c r="G809" t="s">
        <v>11</v>
      </c>
      <c r="H809" s="3">
        <v>24546.959999999999</v>
      </c>
      <c r="I809" s="3">
        <v>666709</v>
      </c>
      <c r="J809" s="3">
        <v>533367.19999999995</v>
      </c>
      <c r="K809" s="3">
        <v>108794.84000000005</v>
      </c>
      <c r="L809" t="s">
        <v>16</v>
      </c>
      <c r="M809">
        <v>4.5999999999999996</v>
      </c>
    </row>
    <row r="810" spans="1:13" x14ac:dyDescent="0.25">
      <c r="A810">
        <v>809</v>
      </c>
      <c r="B810" s="1">
        <v>42658</v>
      </c>
      <c r="C810" s="1">
        <v>43009</v>
      </c>
      <c r="D810" t="s">
        <v>23</v>
      </c>
      <c r="E810" t="s">
        <v>26</v>
      </c>
      <c r="F810" s="2">
        <v>217</v>
      </c>
      <c r="G810" t="s">
        <v>12</v>
      </c>
      <c r="H810" s="3">
        <v>50961.36</v>
      </c>
      <c r="I810" s="3">
        <v>1328969</v>
      </c>
      <c r="J810" s="3">
        <v>1063175.2</v>
      </c>
      <c r="K810" s="3">
        <v>214832.44000000006</v>
      </c>
      <c r="L810" t="s">
        <v>15</v>
      </c>
      <c r="M810">
        <v>4.9000000000000004</v>
      </c>
    </row>
    <row r="811" spans="1:13" x14ac:dyDescent="0.25">
      <c r="A811">
        <v>810</v>
      </c>
      <c r="B811" s="1">
        <v>42658</v>
      </c>
      <c r="C811" s="1">
        <v>43003</v>
      </c>
      <c r="D811" t="s">
        <v>22</v>
      </c>
      <c r="E811" t="s">
        <v>28</v>
      </c>
      <c r="F811" s="2">
        <v>45</v>
      </c>
      <c r="G811" t="s">
        <v>11</v>
      </c>
      <c r="H811" s="3">
        <v>12507.2</v>
      </c>
      <c r="I811" s="3">
        <v>370790</v>
      </c>
      <c r="J811" s="3">
        <v>296632</v>
      </c>
      <c r="K811" s="3">
        <v>61650.8</v>
      </c>
      <c r="L811" t="s">
        <v>14</v>
      </c>
      <c r="M811">
        <v>5</v>
      </c>
    </row>
    <row r="812" spans="1:13" x14ac:dyDescent="0.25">
      <c r="A812">
        <v>811</v>
      </c>
      <c r="B812" s="1">
        <v>42659</v>
      </c>
      <c r="C812" s="1">
        <v>42977</v>
      </c>
      <c r="D812" t="s">
        <v>22</v>
      </c>
      <c r="E812" t="s">
        <v>28</v>
      </c>
      <c r="F812" s="2">
        <v>208</v>
      </c>
      <c r="G812" t="s">
        <v>12</v>
      </c>
      <c r="H812" s="3">
        <v>71331.72</v>
      </c>
      <c r="I812" s="3">
        <v>1842003</v>
      </c>
      <c r="J812" s="3">
        <v>1473602.4</v>
      </c>
      <c r="K812" s="3">
        <v>297068.88000000012</v>
      </c>
      <c r="L812" t="s">
        <v>14</v>
      </c>
      <c r="M812">
        <v>4.2</v>
      </c>
    </row>
    <row r="813" spans="1:13" x14ac:dyDescent="0.25">
      <c r="A813">
        <v>812</v>
      </c>
      <c r="B813" s="1">
        <v>42659</v>
      </c>
      <c r="C813" s="1">
        <v>42846</v>
      </c>
      <c r="D813" t="s">
        <v>20</v>
      </c>
      <c r="E813" t="s">
        <v>13</v>
      </c>
      <c r="F813" s="2">
        <v>232</v>
      </c>
      <c r="G813" t="s">
        <v>12</v>
      </c>
      <c r="H813" s="3">
        <v>87406.080000000002</v>
      </c>
      <c r="I813" s="3">
        <v>2244737</v>
      </c>
      <c r="J813" s="3">
        <v>1795789.6</v>
      </c>
      <c r="K813" s="3">
        <v>361541.31999999989</v>
      </c>
      <c r="L813" t="s">
        <v>15</v>
      </c>
      <c r="M813">
        <v>4.7</v>
      </c>
    </row>
    <row r="814" spans="1:13" x14ac:dyDescent="0.25">
      <c r="A814">
        <v>813</v>
      </c>
      <c r="B814" s="1">
        <v>42660</v>
      </c>
      <c r="C814" s="1">
        <v>42829</v>
      </c>
      <c r="D814" t="s">
        <v>22</v>
      </c>
      <c r="E814" t="s">
        <v>29</v>
      </c>
      <c r="F814" s="2">
        <v>131</v>
      </c>
      <c r="G814" t="s">
        <v>11</v>
      </c>
      <c r="H814" s="3">
        <v>28418.799999999999</v>
      </c>
      <c r="I814" s="3">
        <v>769955</v>
      </c>
      <c r="J814" s="3">
        <v>615964</v>
      </c>
      <c r="K814" s="3">
        <v>125572.2</v>
      </c>
      <c r="L814" t="s">
        <v>15</v>
      </c>
      <c r="M814">
        <v>5</v>
      </c>
    </row>
    <row r="815" spans="1:13" x14ac:dyDescent="0.25">
      <c r="A815">
        <v>814</v>
      </c>
      <c r="B815" s="1">
        <v>42660</v>
      </c>
      <c r="C815" s="1">
        <v>42762</v>
      </c>
      <c r="D815" t="s">
        <v>22</v>
      </c>
      <c r="E815" t="s">
        <v>26</v>
      </c>
      <c r="F815" s="2">
        <v>189</v>
      </c>
      <c r="G815" t="s">
        <v>12</v>
      </c>
      <c r="H815" s="3">
        <v>63870</v>
      </c>
      <c r="I815" s="3">
        <v>1663685</v>
      </c>
      <c r="J815" s="3">
        <v>1330948</v>
      </c>
      <c r="K815" s="3">
        <v>268867</v>
      </c>
      <c r="L815" t="s">
        <v>19</v>
      </c>
      <c r="M815">
        <v>4.9000000000000004</v>
      </c>
    </row>
    <row r="816" spans="1:13" x14ac:dyDescent="0.25">
      <c r="A816">
        <v>815</v>
      </c>
      <c r="B816" s="1">
        <v>42660</v>
      </c>
      <c r="C816" s="1">
        <v>42982</v>
      </c>
      <c r="D816" t="s">
        <v>23</v>
      </c>
      <c r="E816" t="s">
        <v>26</v>
      </c>
      <c r="F816" s="2">
        <v>179</v>
      </c>
      <c r="G816" t="s">
        <v>12</v>
      </c>
      <c r="H816" s="3">
        <v>66589.64</v>
      </c>
      <c r="I816" s="3">
        <v>1726901</v>
      </c>
      <c r="J816" s="3">
        <v>1381520.8</v>
      </c>
      <c r="K816" s="3">
        <v>278790.55999999994</v>
      </c>
      <c r="L816" t="s">
        <v>15</v>
      </c>
      <c r="M816">
        <v>4.7</v>
      </c>
    </row>
    <row r="817" spans="1:13" x14ac:dyDescent="0.25">
      <c r="A817">
        <v>816</v>
      </c>
      <c r="B817" s="1">
        <v>42661</v>
      </c>
      <c r="C817" s="1">
        <v>42935</v>
      </c>
      <c r="D817" t="s">
        <v>23</v>
      </c>
      <c r="E817" t="s">
        <v>28</v>
      </c>
      <c r="F817" s="2">
        <v>225</v>
      </c>
      <c r="G817" t="s">
        <v>12</v>
      </c>
      <c r="H817" s="3">
        <v>86513.16</v>
      </c>
      <c r="I817" s="3">
        <v>2216589</v>
      </c>
      <c r="J817" s="3">
        <v>1773271.2</v>
      </c>
      <c r="K817" s="3">
        <v>356804.64</v>
      </c>
      <c r="L817" t="s">
        <v>16</v>
      </c>
      <c r="M817">
        <v>4.9000000000000004</v>
      </c>
    </row>
    <row r="818" spans="1:13" x14ac:dyDescent="0.25">
      <c r="A818">
        <v>817</v>
      </c>
      <c r="B818" s="1">
        <v>42661</v>
      </c>
      <c r="C818" s="1">
        <v>42860</v>
      </c>
      <c r="D818" t="s">
        <v>22</v>
      </c>
      <c r="E818" t="s">
        <v>27</v>
      </c>
      <c r="F818" s="2">
        <v>155</v>
      </c>
      <c r="G818" t="s">
        <v>12</v>
      </c>
      <c r="H818" s="3">
        <v>33989.519999999997</v>
      </c>
      <c r="I818" s="3">
        <v>915123</v>
      </c>
      <c r="J818" s="3">
        <v>732098.4</v>
      </c>
      <c r="K818" s="3">
        <v>149035.07999999999</v>
      </c>
      <c r="L818" t="s">
        <v>16</v>
      </c>
      <c r="M818">
        <v>3.9</v>
      </c>
    </row>
    <row r="819" spans="1:13" x14ac:dyDescent="0.25">
      <c r="A819">
        <v>818</v>
      </c>
      <c r="B819" s="1">
        <v>42661</v>
      </c>
      <c r="C819" s="1">
        <v>42846</v>
      </c>
      <c r="D819" t="s">
        <v>23</v>
      </c>
      <c r="E819" t="s">
        <v>28</v>
      </c>
      <c r="F819" s="2">
        <v>43</v>
      </c>
      <c r="G819" t="s">
        <v>11</v>
      </c>
      <c r="H819" s="3">
        <v>8827.32</v>
      </c>
      <c r="I819" s="3">
        <v>281093</v>
      </c>
      <c r="J819" s="3">
        <v>224874.4</v>
      </c>
      <c r="K819" s="3">
        <v>47391.280000000006</v>
      </c>
      <c r="L819" t="s">
        <v>15</v>
      </c>
      <c r="M819">
        <v>4.0999999999999996</v>
      </c>
    </row>
    <row r="820" spans="1:13" x14ac:dyDescent="0.25">
      <c r="A820">
        <v>819</v>
      </c>
      <c r="B820" s="1">
        <v>42662</v>
      </c>
      <c r="C820" s="1">
        <v>42979</v>
      </c>
      <c r="D820" t="s">
        <v>21</v>
      </c>
      <c r="E820" t="s">
        <v>25</v>
      </c>
      <c r="F820" s="2">
        <v>95</v>
      </c>
      <c r="G820" t="s">
        <v>11</v>
      </c>
      <c r="H820" s="3">
        <v>21468.28</v>
      </c>
      <c r="I820" s="3">
        <v>599117</v>
      </c>
      <c r="J820" s="3">
        <v>479293.6</v>
      </c>
      <c r="K820" s="3">
        <v>98355.120000000024</v>
      </c>
      <c r="L820" t="s">
        <v>19</v>
      </c>
      <c r="M820">
        <v>4.2</v>
      </c>
    </row>
    <row r="821" spans="1:13" x14ac:dyDescent="0.25">
      <c r="A821">
        <v>820</v>
      </c>
      <c r="B821" s="1">
        <v>42662</v>
      </c>
      <c r="C821" s="1">
        <v>42933</v>
      </c>
      <c r="D821" t="s">
        <v>23</v>
      </c>
      <c r="E821" t="s">
        <v>27</v>
      </c>
      <c r="F821" s="2">
        <v>199</v>
      </c>
      <c r="G821" t="s">
        <v>12</v>
      </c>
      <c r="H821" s="3">
        <v>66462.8</v>
      </c>
      <c r="I821" s="3">
        <v>1724655</v>
      </c>
      <c r="J821" s="3">
        <v>1379724</v>
      </c>
      <c r="K821" s="3">
        <v>278468.2</v>
      </c>
      <c r="L821" t="s">
        <v>17</v>
      </c>
      <c r="M821">
        <v>3.8</v>
      </c>
    </row>
    <row r="822" spans="1:13" x14ac:dyDescent="0.25">
      <c r="A822">
        <v>821</v>
      </c>
      <c r="B822" s="1">
        <v>42662</v>
      </c>
      <c r="C822" s="1">
        <v>42928</v>
      </c>
      <c r="D822" t="s">
        <v>21</v>
      </c>
      <c r="E822" t="s">
        <v>29</v>
      </c>
      <c r="F822" s="2">
        <v>154</v>
      </c>
      <c r="G822" t="s">
        <v>12</v>
      </c>
      <c r="H822" s="3">
        <v>54520.24</v>
      </c>
      <c r="I822" s="3">
        <v>1428491</v>
      </c>
      <c r="J822" s="3">
        <v>1142792.8</v>
      </c>
      <c r="K822" s="3">
        <v>231177.95999999996</v>
      </c>
      <c r="L822" t="s">
        <v>18</v>
      </c>
      <c r="M822">
        <v>4.5</v>
      </c>
    </row>
    <row r="823" spans="1:13" x14ac:dyDescent="0.25">
      <c r="A823">
        <v>822</v>
      </c>
      <c r="B823" s="1">
        <v>42663</v>
      </c>
      <c r="C823" s="1">
        <v>42956</v>
      </c>
      <c r="D823" t="s">
        <v>22</v>
      </c>
      <c r="E823" t="s">
        <v>24</v>
      </c>
      <c r="F823" s="2">
        <v>254</v>
      </c>
      <c r="G823" t="s">
        <v>12</v>
      </c>
      <c r="H823" s="3">
        <v>64048.32</v>
      </c>
      <c r="I823" s="3">
        <v>1664818</v>
      </c>
      <c r="J823" s="3">
        <v>1331854.3999999999</v>
      </c>
      <c r="K823" s="3">
        <v>268915.28000000009</v>
      </c>
      <c r="L823" t="s">
        <v>18</v>
      </c>
      <c r="M823">
        <v>4.0999999999999996</v>
      </c>
    </row>
    <row r="824" spans="1:13" x14ac:dyDescent="0.25">
      <c r="A824">
        <v>823</v>
      </c>
      <c r="B824" s="1">
        <v>42663</v>
      </c>
      <c r="C824" s="1">
        <v>42814</v>
      </c>
      <c r="D824" t="s">
        <v>21</v>
      </c>
      <c r="E824" t="s">
        <v>25</v>
      </c>
      <c r="F824" s="2">
        <v>171</v>
      </c>
      <c r="G824" t="s">
        <v>12</v>
      </c>
      <c r="H824" s="3">
        <v>39099.72</v>
      </c>
      <c r="I824" s="3">
        <v>1029278</v>
      </c>
      <c r="J824" s="3">
        <v>823422.4</v>
      </c>
      <c r="K824" s="3">
        <v>166755.87999999998</v>
      </c>
      <c r="L824" t="s">
        <v>14</v>
      </c>
      <c r="M824">
        <v>4.8</v>
      </c>
    </row>
    <row r="825" spans="1:13" x14ac:dyDescent="0.25">
      <c r="A825">
        <v>824</v>
      </c>
      <c r="B825" s="1">
        <v>42664</v>
      </c>
      <c r="C825" s="1">
        <v>42971</v>
      </c>
      <c r="D825" t="s">
        <v>21</v>
      </c>
      <c r="E825" t="s">
        <v>24</v>
      </c>
      <c r="F825" s="2">
        <v>54</v>
      </c>
      <c r="G825" t="s">
        <v>11</v>
      </c>
      <c r="H825" s="3">
        <v>18773.400000000001</v>
      </c>
      <c r="I825" s="3">
        <v>521045</v>
      </c>
      <c r="J825" s="3">
        <v>416836</v>
      </c>
      <c r="K825" s="3">
        <v>85435.6</v>
      </c>
      <c r="L825" t="s">
        <v>17</v>
      </c>
      <c r="M825">
        <v>3.9</v>
      </c>
    </row>
    <row r="826" spans="1:13" x14ac:dyDescent="0.25">
      <c r="A826">
        <v>825</v>
      </c>
      <c r="B826" s="1">
        <v>42664</v>
      </c>
      <c r="C826" s="1">
        <v>42979</v>
      </c>
      <c r="D826" t="s">
        <v>21</v>
      </c>
      <c r="E826" t="s">
        <v>13</v>
      </c>
      <c r="F826" s="2">
        <v>168</v>
      </c>
      <c r="G826" t="s">
        <v>12</v>
      </c>
      <c r="H826" s="3">
        <v>33789.199999999997</v>
      </c>
      <c r="I826" s="3">
        <v>903365</v>
      </c>
      <c r="J826" s="3">
        <v>722692</v>
      </c>
      <c r="K826" s="3">
        <v>146883.79999999999</v>
      </c>
      <c r="L826" t="s">
        <v>19</v>
      </c>
      <c r="M826">
        <v>4.8</v>
      </c>
    </row>
    <row r="827" spans="1:13" x14ac:dyDescent="0.25">
      <c r="A827">
        <v>826</v>
      </c>
      <c r="B827" s="1">
        <v>42664</v>
      </c>
      <c r="C827" s="1">
        <v>42896</v>
      </c>
      <c r="D827" t="s">
        <v>20</v>
      </c>
      <c r="E827" t="s">
        <v>27</v>
      </c>
      <c r="F827" s="2">
        <v>232</v>
      </c>
      <c r="G827" t="s">
        <v>12</v>
      </c>
      <c r="H827" s="3">
        <v>67325.679999999993</v>
      </c>
      <c r="I827" s="3">
        <v>1746052</v>
      </c>
      <c r="J827" s="3">
        <v>1396841.6</v>
      </c>
      <c r="K827" s="3">
        <v>281884.71999999991</v>
      </c>
      <c r="L827" t="s">
        <v>17</v>
      </c>
      <c r="M827">
        <v>4.3</v>
      </c>
    </row>
    <row r="828" spans="1:13" x14ac:dyDescent="0.25">
      <c r="A828">
        <v>827</v>
      </c>
      <c r="B828" s="1">
        <v>42665</v>
      </c>
      <c r="C828" s="1">
        <v>42953</v>
      </c>
      <c r="D828" t="s">
        <v>22</v>
      </c>
      <c r="E828" t="s">
        <v>26</v>
      </c>
      <c r="F828" s="2">
        <v>144</v>
      </c>
      <c r="G828" t="s">
        <v>12</v>
      </c>
      <c r="H828" s="3">
        <v>54501.36</v>
      </c>
      <c r="I828" s="3">
        <v>1428294</v>
      </c>
      <c r="J828" s="3">
        <v>1142635.2</v>
      </c>
      <c r="K828" s="3">
        <v>231157.44000000006</v>
      </c>
      <c r="L828" t="s">
        <v>15</v>
      </c>
      <c r="M828">
        <v>4.9000000000000004</v>
      </c>
    </row>
    <row r="829" spans="1:13" x14ac:dyDescent="0.25">
      <c r="A829">
        <v>828</v>
      </c>
      <c r="B829" s="1">
        <v>42666</v>
      </c>
      <c r="C829" s="1">
        <v>42831</v>
      </c>
      <c r="D829" t="s">
        <v>23</v>
      </c>
      <c r="E829" t="s">
        <v>25</v>
      </c>
      <c r="F829" s="2">
        <v>193</v>
      </c>
      <c r="G829" t="s">
        <v>12</v>
      </c>
      <c r="H829" s="3">
        <v>50068.959999999999</v>
      </c>
      <c r="I829" s="3">
        <v>1315259</v>
      </c>
      <c r="J829" s="3">
        <v>1052207.2</v>
      </c>
      <c r="K829" s="3">
        <v>212982.84000000005</v>
      </c>
      <c r="L829" t="s">
        <v>15</v>
      </c>
      <c r="M829">
        <v>4.5</v>
      </c>
    </row>
    <row r="830" spans="1:13" x14ac:dyDescent="0.25">
      <c r="A830">
        <v>829</v>
      </c>
      <c r="B830" s="1">
        <v>42666</v>
      </c>
      <c r="C830" s="1">
        <v>42798</v>
      </c>
      <c r="D830" t="s">
        <v>21</v>
      </c>
      <c r="E830" t="s">
        <v>28</v>
      </c>
      <c r="F830" s="2">
        <v>147</v>
      </c>
      <c r="G830" t="s">
        <v>12</v>
      </c>
      <c r="H830" s="3">
        <v>47705.52</v>
      </c>
      <c r="I830" s="3">
        <v>1255373</v>
      </c>
      <c r="J830" s="3">
        <v>1004298.4</v>
      </c>
      <c r="K830" s="3">
        <v>203369.08</v>
      </c>
      <c r="L830" t="s">
        <v>16</v>
      </c>
      <c r="M830">
        <v>4.9000000000000004</v>
      </c>
    </row>
    <row r="831" spans="1:13" x14ac:dyDescent="0.25">
      <c r="A831">
        <v>830</v>
      </c>
      <c r="B831" s="1">
        <v>42667</v>
      </c>
      <c r="C831" s="1">
        <v>42848</v>
      </c>
      <c r="D831" t="s">
        <v>23</v>
      </c>
      <c r="E831" t="s">
        <v>28</v>
      </c>
      <c r="F831" s="2">
        <v>138</v>
      </c>
      <c r="G831" t="s">
        <v>12</v>
      </c>
      <c r="H831" s="3">
        <v>55207.040000000001</v>
      </c>
      <c r="I831" s="3">
        <v>1446036</v>
      </c>
      <c r="J831" s="3">
        <v>1156828.8</v>
      </c>
      <c r="K831" s="3">
        <v>234000.15999999995</v>
      </c>
      <c r="L831" t="s">
        <v>17</v>
      </c>
      <c r="M831">
        <v>4.2</v>
      </c>
    </row>
    <row r="832" spans="1:13" x14ac:dyDescent="0.25">
      <c r="A832">
        <v>831</v>
      </c>
      <c r="B832" s="1">
        <v>42667</v>
      </c>
      <c r="C832" s="1">
        <v>42920</v>
      </c>
      <c r="D832" t="s">
        <v>21</v>
      </c>
      <c r="E832" t="s">
        <v>26</v>
      </c>
      <c r="F832" s="2">
        <v>109</v>
      </c>
      <c r="G832" t="s">
        <v>12</v>
      </c>
      <c r="H832" s="3">
        <v>34117</v>
      </c>
      <c r="I832" s="3">
        <v>917385</v>
      </c>
      <c r="J832" s="3">
        <v>733908</v>
      </c>
      <c r="K832" s="3">
        <v>149360</v>
      </c>
      <c r="L832" t="s">
        <v>14</v>
      </c>
      <c r="M832">
        <v>3.7</v>
      </c>
    </row>
    <row r="833" spans="1:13" x14ac:dyDescent="0.25">
      <c r="A833">
        <v>832</v>
      </c>
      <c r="B833" s="1">
        <v>42667</v>
      </c>
      <c r="C833" s="1">
        <v>42874</v>
      </c>
      <c r="D833" t="s">
        <v>20</v>
      </c>
      <c r="E833" t="s">
        <v>24</v>
      </c>
      <c r="F833" s="2">
        <v>82</v>
      </c>
      <c r="G833" t="s">
        <v>11</v>
      </c>
      <c r="H833" s="3">
        <v>22188</v>
      </c>
      <c r="I833" s="3">
        <v>610685</v>
      </c>
      <c r="J833" s="3">
        <v>488548</v>
      </c>
      <c r="K833" s="3">
        <v>99949</v>
      </c>
      <c r="L833" t="s">
        <v>14</v>
      </c>
      <c r="M833">
        <v>4.9000000000000004</v>
      </c>
    </row>
    <row r="834" spans="1:13" x14ac:dyDescent="0.25">
      <c r="A834">
        <v>833</v>
      </c>
      <c r="B834" s="1">
        <v>42667</v>
      </c>
      <c r="C834" s="1">
        <v>43031</v>
      </c>
      <c r="D834" t="s">
        <v>20</v>
      </c>
      <c r="E834" t="s">
        <v>28</v>
      </c>
      <c r="F834" s="2">
        <v>208</v>
      </c>
      <c r="G834" t="s">
        <v>12</v>
      </c>
      <c r="H834" s="3">
        <v>77756.28</v>
      </c>
      <c r="I834" s="3">
        <v>2005117</v>
      </c>
      <c r="J834" s="3">
        <v>1604093.6</v>
      </c>
      <c r="K834" s="3">
        <v>323267.11999999988</v>
      </c>
      <c r="L834" t="s">
        <v>15</v>
      </c>
      <c r="M834">
        <v>3.7</v>
      </c>
    </row>
    <row r="835" spans="1:13" x14ac:dyDescent="0.25">
      <c r="A835">
        <v>834</v>
      </c>
      <c r="B835" s="1">
        <v>42667</v>
      </c>
      <c r="C835" s="1">
        <v>42815</v>
      </c>
      <c r="D835" t="s">
        <v>22</v>
      </c>
      <c r="E835" t="s">
        <v>26</v>
      </c>
      <c r="F835" s="2">
        <v>67</v>
      </c>
      <c r="G835" t="s">
        <v>11</v>
      </c>
      <c r="H835" s="3">
        <v>22680.12</v>
      </c>
      <c r="I835" s="3">
        <v>628588</v>
      </c>
      <c r="J835" s="3">
        <v>502870.4</v>
      </c>
      <c r="K835" s="3">
        <v>103037.47999999998</v>
      </c>
      <c r="L835" t="s">
        <v>17</v>
      </c>
      <c r="M835">
        <v>4.8</v>
      </c>
    </row>
    <row r="836" spans="1:13" x14ac:dyDescent="0.25">
      <c r="A836">
        <v>835</v>
      </c>
      <c r="B836" s="1">
        <v>42668</v>
      </c>
      <c r="C836" s="1">
        <v>42941</v>
      </c>
      <c r="D836" t="s">
        <v>21</v>
      </c>
      <c r="E836" t="s">
        <v>29</v>
      </c>
      <c r="F836" s="2">
        <v>161</v>
      </c>
      <c r="G836" t="s">
        <v>12</v>
      </c>
      <c r="H836" s="3">
        <v>50083</v>
      </c>
      <c r="I836" s="3">
        <v>1313285</v>
      </c>
      <c r="J836" s="3">
        <v>1050628</v>
      </c>
      <c r="K836" s="3">
        <v>212574</v>
      </c>
      <c r="L836" t="s">
        <v>14</v>
      </c>
      <c r="M836">
        <v>4.5</v>
      </c>
    </row>
    <row r="837" spans="1:13" x14ac:dyDescent="0.25">
      <c r="A837">
        <v>836</v>
      </c>
      <c r="B837" s="1">
        <v>42668</v>
      </c>
      <c r="C837" s="1">
        <v>42787</v>
      </c>
      <c r="D837" t="s">
        <v>22</v>
      </c>
      <c r="E837" t="s">
        <v>28</v>
      </c>
      <c r="F837" s="2">
        <v>271</v>
      </c>
      <c r="G837" t="s">
        <v>12</v>
      </c>
      <c r="H837" s="3">
        <v>84137.84</v>
      </c>
      <c r="I837" s="3">
        <v>2161081</v>
      </c>
      <c r="J837" s="3">
        <v>1728864.8</v>
      </c>
      <c r="K837" s="3">
        <v>348078.36</v>
      </c>
      <c r="L837" t="s">
        <v>14</v>
      </c>
      <c r="M837">
        <v>4.3</v>
      </c>
    </row>
    <row r="838" spans="1:13" x14ac:dyDescent="0.25">
      <c r="A838">
        <v>837</v>
      </c>
      <c r="B838" s="1">
        <v>42670</v>
      </c>
      <c r="C838" s="1">
        <v>42876</v>
      </c>
      <c r="D838" t="s">
        <v>21</v>
      </c>
      <c r="E838" t="s">
        <v>13</v>
      </c>
      <c r="F838" s="2">
        <v>121</v>
      </c>
      <c r="G838" t="s">
        <v>12</v>
      </c>
      <c r="H838" s="3">
        <v>40103.360000000001</v>
      </c>
      <c r="I838" s="3">
        <v>1057819</v>
      </c>
      <c r="J838" s="3">
        <v>846255.2</v>
      </c>
      <c r="K838" s="3">
        <v>171460.44000000006</v>
      </c>
      <c r="L838" t="s">
        <v>16</v>
      </c>
      <c r="M838">
        <v>3.7</v>
      </c>
    </row>
    <row r="839" spans="1:13" x14ac:dyDescent="0.25">
      <c r="A839">
        <v>838</v>
      </c>
      <c r="B839" s="1">
        <v>42670</v>
      </c>
      <c r="C839" s="1">
        <v>42785</v>
      </c>
      <c r="D839" t="s">
        <v>23</v>
      </c>
      <c r="E839" t="s">
        <v>24</v>
      </c>
      <c r="F839" s="2">
        <v>56</v>
      </c>
      <c r="G839" t="s">
        <v>11</v>
      </c>
      <c r="H839" s="3">
        <v>22322.400000000001</v>
      </c>
      <c r="I839" s="3">
        <v>619595</v>
      </c>
      <c r="J839" s="3">
        <v>495676</v>
      </c>
      <c r="K839" s="3">
        <v>101596.6</v>
      </c>
      <c r="L839" t="s">
        <v>16</v>
      </c>
      <c r="M839">
        <v>4.8</v>
      </c>
    </row>
    <row r="840" spans="1:13" x14ac:dyDescent="0.25">
      <c r="A840">
        <v>839</v>
      </c>
      <c r="B840" s="1">
        <v>42670</v>
      </c>
      <c r="C840" s="1">
        <v>42929</v>
      </c>
      <c r="D840" t="s">
        <v>22</v>
      </c>
      <c r="E840" t="s">
        <v>13</v>
      </c>
      <c r="F840" s="2">
        <v>106</v>
      </c>
      <c r="G840" t="s">
        <v>12</v>
      </c>
      <c r="H840" s="3">
        <v>40188.120000000003</v>
      </c>
      <c r="I840" s="3">
        <v>1065663</v>
      </c>
      <c r="J840" s="3">
        <v>852530.4</v>
      </c>
      <c r="K840" s="3">
        <v>172944.47999999998</v>
      </c>
      <c r="L840" t="s">
        <v>16</v>
      </c>
      <c r="M840">
        <v>4.5</v>
      </c>
    </row>
    <row r="841" spans="1:13" x14ac:dyDescent="0.25">
      <c r="A841">
        <v>840</v>
      </c>
      <c r="B841" s="1">
        <v>42670</v>
      </c>
      <c r="C841" s="1">
        <v>42854</v>
      </c>
      <c r="D841" t="s">
        <v>21</v>
      </c>
      <c r="E841" t="s">
        <v>13</v>
      </c>
      <c r="F841" s="2">
        <v>111</v>
      </c>
      <c r="G841" t="s">
        <v>12</v>
      </c>
      <c r="H841" s="3">
        <v>40569.120000000003</v>
      </c>
      <c r="I841" s="3">
        <v>1076963</v>
      </c>
      <c r="J841" s="3">
        <v>861570.4</v>
      </c>
      <c r="K841" s="3">
        <v>174823.47999999998</v>
      </c>
      <c r="L841" t="s">
        <v>14</v>
      </c>
      <c r="M841">
        <v>4.5999999999999996</v>
      </c>
    </row>
    <row r="842" spans="1:13" x14ac:dyDescent="0.25">
      <c r="A842">
        <v>841</v>
      </c>
      <c r="B842" s="1">
        <v>42670</v>
      </c>
      <c r="C842" s="1">
        <v>42838</v>
      </c>
      <c r="D842" t="s">
        <v>20</v>
      </c>
      <c r="E842" t="s">
        <v>27</v>
      </c>
      <c r="F842" s="2">
        <v>113</v>
      </c>
      <c r="G842" t="s">
        <v>12</v>
      </c>
      <c r="H842" s="3">
        <v>41454.400000000001</v>
      </c>
      <c r="I842" s="3">
        <v>1097645</v>
      </c>
      <c r="J842" s="3">
        <v>878116</v>
      </c>
      <c r="K842" s="3">
        <v>178074.6</v>
      </c>
      <c r="L842" t="s">
        <v>19</v>
      </c>
      <c r="M842">
        <v>4.7</v>
      </c>
    </row>
    <row r="843" spans="1:13" x14ac:dyDescent="0.25">
      <c r="A843">
        <v>842</v>
      </c>
      <c r="B843" s="1">
        <v>42672</v>
      </c>
      <c r="C843" s="1">
        <v>42978</v>
      </c>
      <c r="D843" t="s">
        <v>20</v>
      </c>
      <c r="E843" t="s">
        <v>27</v>
      </c>
      <c r="F843" s="2">
        <v>103</v>
      </c>
      <c r="G843" t="s">
        <v>12</v>
      </c>
      <c r="H843" s="3">
        <v>36898.839999999997</v>
      </c>
      <c r="I843" s="3">
        <v>978681</v>
      </c>
      <c r="J843" s="3">
        <v>782944.8</v>
      </c>
      <c r="K843" s="3">
        <v>158837.35999999996</v>
      </c>
      <c r="L843" t="s">
        <v>16</v>
      </c>
      <c r="M843">
        <v>3.7</v>
      </c>
    </row>
    <row r="844" spans="1:13" x14ac:dyDescent="0.25">
      <c r="A844">
        <v>843</v>
      </c>
      <c r="B844" s="1">
        <v>42673</v>
      </c>
      <c r="C844" s="1">
        <v>42806</v>
      </c>
      <c r="D844" t="s">
        <v>20</v>
      </c>
      <c r="E844" t="s">
        <v>26</v>
      </c>
      <c r="F844" s="2">
        <v>172</v>
      </c>
      <c r="G844" t="s">
        <v>12</v>
      </c>
      <c r="H844" s="3">
        <v>67879</v>
      </c>
      <c r="I844" s="3">
        <v>1749210</v>
      </c>
      <c r="J844" s="3">
        <v>1399368</v>
      </c>
      <c r="K844" s="3">
        <v>281963</v>
      </c>
      <c r="L844" t="s">
        <v>14</v>
      </c>
      <c r="M844">
        <v>4.3</v>
      </c>
    </row>
    <row r="845" spans="1:13" x14ac:dyDescent="0.25">
      <c r="A845">
        <v>844</v>
      </c>
      <c r="B845" s="1">
        <v>42673</v>
      </c>
      <c r="C845" s="1">
        <v>42794</v>
      </c>
      <c r="D845" t="s">
        <v>21</v>
      </c>
      <c r="E845" t="s">
        <v>13</v>
      </c>
      <c r="F845" s="2">
        <v>116</v>
      </c>
      <c r="G845" t="s">
        <v>11</v>
      </c>
      <c r="H845" s="3">
        <v>22882.84</v>
      </c>
      <c r="I845" s="3">
        <v>629506</v>
      </c>
      <c r="J845" s="3">
        <v>503604.8</v>
      </c>
      <c r="K845" s="3">
        <v>103018.36000000002</v>
      </c>
      <c r="L845" t="s">
        <v>19</v>
      </c>
      <c r="M845">
        <v>4.4000000000000004</v>
      </c>
    </row>
    <row r="846" spans="1:13" x14ac:dyDescent="0.25">
      <c r="A846">
        <v>845</v>
      </c>
      <c r="B846" s="1">
        <v>42674</v>
      </c>
      <c r="C846" s="1">
        <v>43031</v>
      </c>
      <c r="D846" t="s">
        <v>23</v>
      </c>
      <c r="E846" t="s">
        <v>28</v>
      </c>
      <c r="F846" s="2">
        <v>273</v>
      </c>
      <c r="G846" t="s">
        <v>12</v>
      </c>
      <c r="H846" s="3">
        <v>58382.2</v>
      </c>
      <c r="I846" s="3">
        <v>1522165</v>
      </c>
      <c r="J846" s="3">
        <v>1217732</v>
      </c>
      <c r="K846" s="3">
        <v>246050.8</v>
      </c>
      <c r="L846" t="s">
        <v>19</v>
      </c>
      <c r="M846">
        <v>4.8</v>
      </c>
    </row>
    <row r="847" spans="1:13" x14ac:dyDescent="0.25">
      <c r="A847">
        <v>846</v>
      </c>
      <c r="B847" s="1">
        <v>42674</v>
      </c>
      <c r="C847" s="1">
        <v>43000</v>
      </c>
      <c r="D847" t="s">
        <v>21</v>
      </c>
      <c r="E847" t="s">
        <v>27</v>
      </c>
      <c r="F847" s="2">
        <v>241</v>
      </c>
      <c r="G847" t="s">
        <v>12</v>
      </c>
      <c r="H847" s="3">
        <v>87715.36</v>
      </c>
      <c r="I847" s="3">
        <v>2251469</v>
      </c>
      <c r="J847" s="3">
        <v>1801175.2</v>
      </c>
      <c r="K847" s="3">
        <v>362578.44000000006</v>
      </c>
      <c r="L847" t="s">
        <v>16</v>
      </c>
      <c r="M847">
        <v>4.8</v>
      </c>
    </row>
    <row r="848" spans="1:13" x14ac:dyDescent="0.25">
      <c r="A848">
        <v>847</v>
      </c>
      <c r="B848" s="1">
        <v>42674</v>
      </c>
      <c r="C848" s="1">
        <v>42913</v>
      </c>
      <c r="D848" t="s">
        <v>22</v>
      </c>
      <c r="E848" t="s">
        <v>27</v>
      </c>
      <c r="F848" s="2">
        <v>116</v>
      </c>
      <c r="G848" t="s">
        <v>11</v>
      </c>
      <c r="H848" s="3">
        <v>28087.16</v>
      </c>
      <c r="I848" s="3">
        <v>768414</v>
      </c>
      <c r="J848" s="3">
        <v>614731.19999999995</v>
      </c>
      <c r="K848" s="3">
        <v>125595.64000000004</v>
      </c>
      <c r="L848" t="s">
        <v>15</v>
      </c>
      <c r="M848">
        <v>4.4000000000000004</v>
      </c>
    </row>
    <row r="849" spans="1:13" x14ac:dyDescent="0.25">
      <c r="A849">
        <v>848</v>
      </c>
      <c r="B849" s="1">
        <v>42674</v>
      </c>
      <c r="C849" s="1">
        <v>42831</v>
      </c>
      <c r="D849" t="s">
        <v>22</v>
      </c>
      <c r="E849" t="s">
        <v>27</v>
      </c>
      <c r="F849" s="2">
        <v>217</v>
      </c>
      <c r="G849" t="s">
        <v>12</v>
      </c>
      <c r="H849" s="3">
        <v>61452.160000000003</v>
      </c>
      <c r="I849" s="3">
        <v>1602614</v>
      </c>
      <c r="J849" s="3">
        <v>1282091.2</v>
      </c>
      <c r="K849" s="3">
        <v>259070.64000000004</v>
      </c>
      <c r="L849" t="s">
        <v>17</v>
      </c>
      <c r="M849">
        <v>4.4000000000000004</v>
      </c>
    </row>
    <row r="850" spans="1:13" x14ac:dyDescent="0.25">
      <c r="A850">
        <v>849</v>
      </c>
      <c r="B850" s="1">
        <v>42675</v>
      </c>
      <c r="C850" s="1">
        <v>42934</v>
      </c>
      <c r="D850" t="s">
        <v>21</v>
      </c>
      <c r="E850" t="s">
        <v>13</v>
      </c>
      <c r="F850" s="2">
        <v>114</v>
      </c>
      <c r="G850" t="s">
        <v>12</v>
      </c>
      <c r="H850" s="3">
        <v>39361.800000000003</v>
      </c>
      <c r="I850" s="3">
        <v>1039805</v>
      </c>
      <c r="J850" s="3">
        <v>831844</v>
      </c>
      <c r="K850" s="3">
        <v>168599.2</v>
      </c>
      <c r="L850" t="s">
        <v>14</v>
      </c>
      <c r="M850">
        <v>4.0999999999999996</v>
      </c>
    </row>
    <row r="851" spans="1:13" x14ac:dyDescent="0.25">
      <c r="A851">
        <v>850</v>
      </c>
      <c r="B851" s="1">
        <v>42675</v>
      </c>
      <c r="C851" s="1">
        <v>42902</v>
      </c>
      <c r="D851" t="s">
        <v>23</v>
      </c>
      <c r="E851" t="s">
        <v>27</v>
      </c>
      <c r="F851" s="2">
        <v>155</v>
      </c>
      <c r="G851" t="s">
        <v>12</v>
      </c>
      <c r="H851" s="3">
        <v>54506.64</v>
      </c>
      <c r="I851" s="3">
        <v>1427576</v>
      </c>
      <c r="J851" s="3">
        <v>1142060.8</v>
      </c>
      <c r="K851" s="3">
        <v>231008.55999999994</v>
      </c>
      <c r="L851" t="s">
        <v>14</v>
      </c>
      <c r="M851">
        <v>4.5999999999999996</v>
      </c>
    </row>
    <row r="852" spans="1:13" x14ac:dyDescent="0.25">
      <c r="A852">
        <v>851</v>
      </c>
      <c r="B852" s="1">
        <v>42675</v>
      </c>
      <c r="C852" s="1">
        <v>42902</v>
      </c>
      <c r="D852" t="s">
        <v>21</v>
      </c>
      <c r="E852" t="s">
        <v>25</v>
      </c>
      <c r="F852" s="2">
        <v>154</v>
      </c>
      <c r="G852" t="s">
        <v>12</v>
      </c>
      <c r="H852" s="3">
        <v>40463.72</v>
      </c>
      <c r="I852" s="3">
        <v>1068603</v>
      </c>
      <c r="J852" s="3">
        <v>854882.4</v>
      </c>
      <c r="K852" s="3">
        <v>173256.87999999998</v>
      </c>
      <c r="L852" t="s">
        <v>19</v>
      </c>
      <c r="M852">
        <v>4.0999999999999996</v>
      </c>
    </row>
    <row r="853" spans="1:13" x14ac:dyDescent="0.25">
      <c r="A853">
        <v>852</v>
      </c>
      <c r="B853" s="1">
        <v>42676</v>
      </c>
      <c r="C853" s="1">
        <v>42852</v>
      </c>
      <c r="D853" t="s">
        <v>22</v>
      </c>
      <c r="E853" t="s">
        <v>28</v>
      </c>
      <c r="F853" s="2">
        <v>233</v>
      </c>
      <c r="G853" t="s">
        <v>12</v>
      </c>
      <c r="H853" s="3">
        <v>69856.800000000003</v>
      </c>
      <c r="I853" s="3">
        <v>1804505</v>
      </c>
      <c r="J853" s="3">
        <v>1443604</v>
      </c>
      <c r="K853" s="3">
        <v>291044.2</v>
      </c>
      <c r="L853" t="s">
        <v>19</v>
      </c>
      <c r="M853">
        <v>4.3</v>
      </c>
    </row>
    <row r="854" spans="1:13" x14ac:dyDescent="0.25">
      <c r="A854">
        <v>853</v>
      </c>
      <c r="B854" s="1">
        <v>42676</v>
      </c>
      <c r="C854" s="1">
        <v>42810</v>
      </c>
      <c r="D854" t="s">
        <v>22</v>
      </c>
      <c r="E854" t="s">
        <v>25</v>
      </c>
      <c r="F854" s="2">
        <v>239</v>
      </c>
      <c r="G854" t="s">
        <v>12</v>
      </c>
      <c r="H854" s="3">
        <v>67366.64</v>
      </c>
      <c r="I854" s="3">
        <v>1745201</v>
      </c>
      <c r="J854" s="3">
        <v>1396160.8</v>
      </c>
      <c r="K854" s="3">
        <v>281673.55999999994</v>
      </c>
      <c r="L854" t="s">
        <v>17</v>
      </c>
      <c r="M854">
        <v>3.7</v>
      </c>
    </row>
    <row r="855" spans="1:13" x14ac:dyDescent="0.25">
      <c r="A855">
        <v>854</v>
      </c>
      <c r="B855" s="1">
        <v>42676</v>
      </c>
      <c r="C855" s="1">
        <v>42820</v>
      </c>
      <c r="D855" t="s">
        <v>20</v>
      </c>
      <c r="E855" t="s">
        <v>13</v>
      </c>
      <c r="F855" s="2">
        <v>294</v>
      </c>
      <c r="G855" t="s">
        <v>12</v>
      </c>
      <c r="H855" s="3">
        <v>96571.88</v>
      </c>
      <c r="I855" s="3">
        <v>2466757</v>
      </c>
      <c r="J855" s="3">
        <v>1973405.6</v>
      </c>
      <c r="K855" s="3">
        <v>396779.5199999999</v>
      </c>
      <c r="L855" t="s">
        <v>14</v>
      </c>
      <c r="M855">
        <v>4.2</v>
      </c>
    </row>
    <row r="856" spans="1:13" x14ac:dyDescent="0.25">
      <c r="A856">
        <v>855</v>
      </c>
      <c r="B856" s="1">
        <v>42677</v>
      </c>
      <c r="C856" s="1">
        <v>42975</v>
      </c>
      <c r="D856" t="s">
        <v>23</v>
      </c>
      <c r="E856" t="s">
        <v>24</v>
      </c>
      <c r="F856" s="2">
        <v>219</v>
      </c>
      <c r="G856" t="s">
        <v>12</v>
      </c>
      <c r="H856" s="3">
        <v>64883</v>
      </c>
      <c r="I856" s="3">
        <v>1686685</v>
      </c>
      <c r="J856" s="3">
        <v>1349348</v>
      </c>
      <c r="K856" s="3">
        <v>272454</v>
      </c>
      <c r="L856" t="s">
        <v>14</v>
      </c>
      <c r="M856">
        <v>4.5999999999999996</v>
      </c>
    </row>
    <row r="857" spans="1:13" x14ac:dyDescent="0.25">
      <c r="A857">
        <v>856</v>
      </c>
      <c r="B857" s="1">
        <v>42677</v>
      </c>
      <c r="C857" s="1">
        <v>42915</v>
      </c>
      <c r="D857" t="s">
        <v>20</v>
      </c>
      <c r="E857" t="s">
        <v>26</v>
      </c>
      <c r="F857" s="2">
        <v>241</v>
      </c>
      <c r="G857" t="s">
        <v>12</v>
      </c>
      <c r="H857" s="3">
        <v>39006.28</v>
      </c>
      <c r="I857" s="3">
        <v>1032142</v>
      </c>
      <c r="J857" s="3">
        <v>825713.6</v>
      </c>
      <c r="K857" s="3">
        <v>167422.12000000002</v>
      </c>
      <c r="L857" t="s">
        <v>17</v>
      </c>
      <c r="M857">
        <v>3.7</v>
      </c>
    </row>
    <row r="858" spans="1:13" x14ac:dyDescent="0.25">
      <c r="A858">
        <v>857</v>
      </c>
      <c r="B858" s="1">
        <v>42677</v>
      </c>
      <c r="C858" s="1">
        <v>42986</v>
      </c>
      <c r="D858" t="s">
        <v>22</v>
      </c>
      <c r="E858" t="s">
        <v>29</v>
      </c>
      <c r="F858" s="2">
        <v>231</v>
      </c>
      <c r="G858" t="s">
        <v>12</v>
      </c>
      <c r="H858" s="3">
        <v>94088.92</v>
      </c>
      <c r="I858" s="3">
        <v>2415533</v>
      </c>
      <c r="J858" s="3">
        <v>1932426.4</v>
      </c>
      <c r="K858" s="3">
        <v>389017.68000000011</v>
      </c>
      <c r="L858" t="s">
        <v>18</v>
      </c>
      <c r="M858">
        <v>4.4000000000000004</v>
      </c>
    </row>
    <row r="859" spans="1:13" x14ac:dyDescent="0.25">
      <c r="A859">
        <v>858</v>
      </c>
      <c r="B859" s="1">
        <v>42677</v>
      </c>
      <c r="C859" s="1">
        <v>42897</v>
      </c>
      <c r="D859" t="s">
        <v>21</v>
      </c>
      <c r="E859" t="s">
        <v>13</v>
      </c>
      <c r="F859" s="2">
        <v>248</v>
      </c>
      <c r="G859" t="s">
        <v>12</v>
      </c>
      <c r="H859" s="3">
        <v>71912.320000000007</v>
      </c>
      <c r="I859" s="3">
        <v>1858243</v>
      </c>
      <c r="J859" s="3">
        <v>1486594.4</v>
      </c>
      <c r="K859" s="3">
        <v>299736.28000000009</v>
      </c>
      <c r="L859" t="s">
        <v>19</v>
      </c>
      <c r="M859">
        <v>4</v>
      </c>
    </row>
    <row r="860" spans="1:13" x14ac:dyDescent="0.25">
      <c r="A860">
        <v>859</v>
      </c>
      <c r="B860" s="1">
        <v>42677</v>
      </c>
      <c r="C860" s="1">
        <v>42877</v>
      </c>
      <c r="D860" t="s">
        <v>21</v>
      </c>
      <c r="E860" t="s">
        <v>25</v>
      </c>
      <c r="F860" s="2">
        <v>58</v>
      </c>
      <c r="G860" t="s">
        <v>11</v>
      </c>
      <c r="H860" s="3">
        <v>14786.6</v>
      </c>
      <c r="I860" s="3">
        <v>434025</v>
      </c>
      <c r="J860" s="3">
        <v>347220</v>
      </c>
      <c r="K860" s="3">
        <v>72018.399999999994</v>
      </c>
      <c r="L860" t="s">
        <v>16</v>
      </c>
      <c r="M860">
        <v>3.8</v>
      </c>
    </row>
    <row r="861" spans="1:13" x14ac:dyDescent="0.25">
      <c r="A861">
        <v>860</v>
      </c>
      <c r="B861" s="1">
        <v>42677</v>
      </c>
      <c r="C861" s="1">
        <v>42777</v>
      </c>
      <c r="D861" t="s">
        <v>23</v>
      </c>
      <c r="E861" t="s">
        <v>27</v>
      </c>
      <c r="F861" s="2">
        <v>285</v>
      </c>
      <c r="G861" t="s">
        <v>12</v>
      </c>
      <c r="H861" s="3">
        <v>88785.24</v>
      </c>
      <c r="I861" s="3">
        <v>2279141</v>
      </c>
      <c r="J861" s="3">
        <v>1823312.8</v>
      </c>
      <c r="K861" s="3">
        <v>367042.95999999996</v>
      </c>
      <c r="L861" t="s">
        <v>17</v>
      </c>
      <c r="M861">
        <v>3.7</v>
      </c>
    </row>
    <row r="862" spans="1:13" x14ac:dyDescent="0.25">
      <c r="A862">
        <v>861</v>
      </c>
      <c r="B862" s="1">
        <v>42677</v>
      </c>
      <c r="C862" s="1">
        <v>42944</v>
      </c>
      <c r="D862" t="s">
        <v>23</v>
      </c>
      <c r="E862" t="s">
        <v>26</v>
      </c>
      <c r="F862" s="2">
        <v>89</v>
      </c>
      <c r="G862" t="s">
        <v>12</v>
      </c>
      <c r="H862" s="3">
        <v>35045.24</v>
      </c>
      <c r="I862" s="3">
        <v>927941</v>
      </c>
      <c r="J862" s="3">
        <v>742352.8</v>
      </c>
      <c r="K862" s="3">
        <v>150542.95999999996</v>
      </c>
      <c r="L862" t="s">
        <v>15</v>
      </c>
      <c r="M862">
        <v>3.9</v>
      </c>
    </row>
    <row r="863" spans="1:13" x14ac:dyDescent="0.25">
      <c r="A863">
        <v>862</v>
      </c>
      <c r="B863" s="1">
        <v>42678</v>
      </c>
      <c r="C863" s="1">
        <v>43036</v>
      </c>
      <c r="D863" t="s">
        <v>23</v>
      </c>
      <c r="E863" t="s">
        <v>28</v>
      </c>
      <c r="F863" s="2">
        <v>148</v>
      </c>
      <c r="G863" t="s">
        <v>11</v>
      </c>
      <c r="H863" s="3">
        <v>24262.400000000001</v>
      </c>
      <c r="I863" s="3">
        <v>668045</v>
      </c>
      <c r="J863" s="3">
        <v>534436</v>
      </c>
      <c r="K863" s="3">
        <v>109346.6</v>
      </c>
      <c r="L863" t="s">
        <v>16</v>
      </c>
      <c r="M863">
        <v>4.7</v>
      </c>
    </row>
    <row r="864" spans="1:13" x14ac:dyDescent="0.25">
      <c r="A864">
        <v>863</v>
      </c>
      <c r="B864" s="1">
        <v>42680</v>
      </c>
      <c r="C864" s="1">
        <v>42804</v>
      </c>
      <c r="D864" t="s">
        <v>22</v>
      </c>
      <c r="E864" t="s">
        <v>26</v>
      </c>
      <c r="F864" s="2">
        <v>243</v>
      </c>
      <c r="G864" t="s">
        <v>12</v>
      </c>
      <c r="H864" s="3">
        <v>92044.44</v>
      </c>
      <c r="I864" s="3">
        <v>2365121</v>
      </c>
      <c r="J864" s="3">
        <v>1892096.8</v>
      </c>
      <c r="K864" s="3">
        <v>380979.75999999995</v>
      </c>
      <c r="L864" t="s">
        <v>19</v>
      </c>
      <c r="M864">
        <v>4.4000000000000004</v>
      </c>
    </row>
    <row r="865" spans="1:13" x14ac:dyDescent="0.25">
      <c r="A865">
        <v>864</v>
      </c>
      <c r="B865" s="1">
        <v>42680</v>
      </c>
      <c r="C865" s="1">
        <v>42770</v>
      </c>
      <c r="D865" t="s">
        <v>23</v>
      </c>
      <c r="E865" t="s">
        <v>29</v>
      </c>
      <c r="F865" s="2">
        <v>105</v>
      </c>
      <c r="G865" t="s">
        <v>11</v>
      </c>
      <c r="H865" s="3">
        <v>21420.32</v>
      </c>
      <c r="I865" s="3">
        <v>590093</v>
      </c>
      <c r="J865" s="3">
        <v>472074.4</v>
      </c>
      <c r="K865" s="3">
        <v>96598.27999999997</v>
      </c>
      <c r="L865" t="s">
        <v>19</v>
      </c>
      <c r="M865">
        <v>4.4000000000000004</v>
      </c>
    </row>
    <row r="866" spans="1:13" x14ac:dyDescent="0.25">
      <c r="A866">
        <v>865</v>
      </c>
      <c r="B866" s="1">
        <v>42680</v>
      </c>
      <c r="C866" s="1">
        <v>42989</v>
      </c>
      <c r="D866" t="s">
        <v>20</v>
      </c>
      <c r="E866" t="s">
        <v>29</v>
      </c>
      <c r="F866" s="2">
        <v>103</v>
      </c>
      <c r="G866" t="s">
        <v>11</v>
      </c>
      <c r="H866" s="3">
        <v>20286.400000000001</v>
      </c>
      <c r="I866" s="3">
        <v>559645</v>
      </c>
      <c r="J866" s="3">
        <v>447716</v>
      </c>
      <c r="K866" s="3">
        <v>91642.6</v>
      </c>
      <c r="L866" t="s">
        <v>16</v>
      </c>
      <c r="M866">
        <v>3.9</v>
      </c>
    </row>
    <row r="867" spans="1:13" x14ac:dyDescent="0.25">
      <c r="A867">
        <v>866</v>
      </c>
      <c r="B867" s="1">
        <v>42681</v>
      </c>
      <c r="C867" s="1">
        <v>42996</v>
      </c>
      <c r="D867" t="s">
        <v>22</v>
      </c>
      <c r="E867" t="s">
        <v>24</v>
      </c>
      <c r="F867" s="2">
        <v>133</v>
      </c>
      <c r="G867" t="s">
        <v>12</v>
      </c>
      <c r="H867" s="3">
        <v>41554.76</v>
      </c>
      <c r="I867" s="3">
        <v>1091029</v>
      </c>
      <c r="J867" s="3">
        <v>872823.2</v>
      </c>
      <c r="K867" s="3">
        <v>176651.04000000004</v>
      </c>
      <c r="L867" t="s">
        <v>18</v>
      </c>
      <c r="M867">
        <v>4.5</v>
      </c>
    </row>
    <row r="868" spans="1:13" x14ac:dyDescent="0.25">
      <c r="A868">
        <v>867</v>
      </c>
      <c r="B868" s="1">
        <v>42681</v>
      </c>
      <c r="C868" s="1">
        <v>42988</v>
      </c>
      <c r="D868" t="s">
        <v>22</v>
      </c>
      <c r="E868" t="s">
        <v>27</v>
      </c>
      <c r="F868" s="2">
        <v>77</v>
      </c>
      <c r="G868" t="s">
        <v>11</v>
      </c>
      <c r="H868" s="3">
        <v>15751.68</v>
      </c>
      <c r="I868" s="3">
        <v>455177</v>
      </c>
      <c r="J868" s="3">
        <v>364141.6</v>
      </c>
      <c r="K868" s="3">
        <v>75283.72000000003</v>
      </c>
      <c r="L868" t="s">
        <v>19</v>
      </c>
      <c r="M868">
        <v>4.5</v>
      </c>
    </row>
    <row r="869" spans="1:13" x14ac:dyDescent="0.25">
      <c r="A869">
        <v>868</v>
      </c>
      <c r="B869" s="1">
        <v>42681</v>
      </c>
      <c r="C869" s="1">
        <v>42998</v>
      </c>
      <c r="D869" t="s">
        <v>23</v>
      </c>
      <c r="E869" t="s">
        <v>29</v>
      </c>
      <c r="F869" s="2">
        <v>120</v>
      </c>
      <c r="G869" t="s">
        <v>12</v>
      </c>
      <c r="H869" s="3">
        <v>35678.559999999998</v>
      </c>
      <c r="I869" s="3">
        <v>948599</v>
      </c>
      <c r="J869" s="3">
        <v>758879.2</v>
      </c>
      <c r="K869" s="3">
        <v>154041.24000000005</v>
      </c>
      <c r="L869" t="s">
        <v>16</v>
      </c>
      <c r="M869">
        <v>4.7</v>
      </c>
    </row>
    <row r="870" spans="1:13" x14ac:dyDescent="0.25">
      <c r="A870">
        <v>869</v>
      </c>
      <c r="B870" s="1">
        <v>42681</v>
      </c>
      <c r="C870" s="1">
        <v>42985</v>
      </c>
      <c r="D870" t="s">
        <v>20</v>
      </c>
      <c r="E870" t="s">
        <v>28</v>
      </c>
      <c r="F870" s="2">
        <v>176</v>
      </c>
      <c r="G870" t="s">
        <v>12</v>
      </c>
      <c r="H870" s="3">
        <v>42141.16</v>
      </c>
      <c r="I870" s="3">
        <v>1118564</v>
      </c>
      <c r="J870" s="3">
        <v>894851.2</v>
      </c>
      <c r="K870" s="3">
        <v>181571.64000000004</v>
      </c>
      <c r="L870" t="s">
        <v>14</v>
      </c>
      <c r="M870">
        <v>4.2</v>
      </c>
    </row>
    <row r="871" spans="1:13" x14ac:dyDescent="0.25">
      <c r="A871">
        <v>870</v>
      </c>
      <c r="B871" s="1">
        <v>42682</v>
      </c>
      <c r="C871" s="1">
        <v>42831</v>
      </c>
      <c r="D871" t="s">
        <v>23</v>
      </c>
      <c r="E871" t="s">
        <v>29</v>
      </c>
      <c r="F871" s="2">
        <v>242</v>
      </c>
      <c r="G871" t="s">
        <v>12</v>
      </c>
      <c r="H871" s="3">
        <v>76956.2</v>
      </c>
      <c r="I871" s="3">
        <v>1987665</v>
      </c>
      <c r="J871" s="3">
        <v>1590132</v>
      </c>
      <c r="K871" s="3">
        <v>320576.8</v>
      </c>
      <c r="L871" t="s">
        <v>19</v>
      </c>
      <c r="M871">
        <v>3.6</v>
      </c>
    </row>
    <row r="872" spans="1:13" x14ac:dyDescent="0.25">
      <c r="A872">
        <v>871</v>
      </c>
      <c r="B872" s="1">
        <v>42682</v>
      </c>
      <c r="C872" s="1">
        <v>42899</v>
      </c>
      <c r="D872" t="s">
        <v>22</v>
      </c>
      <c r="E872" t="s">
        <v>28</v>
      </c>
      <c r="F872" s="2">
        <v>83</v>
      </c>
      <c r="G872" t="s">
        <v>11</v>
      </c>
      <c r="H872" s="3">
        <v>28016.080000000002</v>
      </c>
      <c r="I872" s="3">
        <v>762837</v>
      </c>
      <c r="J872" s="3">
        <v>610269.6</v>
      </c>
      <c r="K872" s="3">
        <v>124551.32000000002</v>
      </c>
      <c r="L872" t="s">
        <v>16</v>
      </c>
      <c r="M872">
        <v>4.9000000000000004</v>
      </c>
    </row>
    <row r="873" spans="1:13" x14ac:dyDescent="0.25">
      <c r="A873">
        <v>872</v>
      </c>
      <c r="B873" s="1">
        <v>42683</v>
      </c>
      <c r="C873" s="1">
        <v>42976</v>
      </c>
      <c r="D873" t="s">
        <v>22</v>
      </c>
      <c r="E873" t="s">
        <v>29</v>
      </c>
      <c r="F873" s="2">
        <v>182</v>
      </c>
      <c r="G873" t="s">
        <v>12</v>
      </c>
      <c r="H873" s="3">
        <v>54839.4</v>
      </c>
      <c r="I873" s="3">
        <v>1426945</v>
      </c>
      <c r="J873" s="3">
        <v>1141556</v>
      </c>
      <c r="K873" s="3">
        <v>230549.6</v>
      </c>
      <c r="L873" t="s">
        <v>17</v>
      </c>
      <c r="M873">
        <v>4.5</v>
      </c>
    </row>
    <row r="874" spans="1:13" x14ac:dyDescent="0.25">
      <c r="A874">
        <v>873</v>
      </c>
      <c r="B874" s="1">
        <v>42683</v>
      </c>
      <c r="C874" s="1">
        <v>42861</v>
      </c>
      <c r="D874" t="s">
        <v>21</v>
      </c>
      <c r="E874" t="s">
        <v>27</v>
      </c>
      <c r="F874" s="2">
        <v>292</v>
      </c>
      <c r="G874" t="s">
        <v>12</v>
      </c>
      <c r="H874" s="3">
        <v>116336.2</v>
      </c>
      <c r="I874" s="3">
        <v>2959640</v>
      </c>
      <c r="J874" s="3">
        <v>2367712</v>
      </c>
      <c r="K874" s="3">
        <v>475591.8</v>
      </c>
      <c r="L874" t="s">
        <v>19</v>
      </c>
      <c r="M874">
        <v>4.3</v>
      </c>
    </row>
    <row r="875" spans="1:13" x14ac:dyDescent="0.25">
      <c r="A875">
        <v>874</v>
      </c>
      <c r="B875" s="1">
        <v>42683</v>
      </c>
      <c r="C875" s="1">
        <v>42788</v>
      </c>
      <c r="D875" t="s">
        <v>22</v>
      </c>
      <c r="E875" t="s">
        <v>27</v>
      </c>
      <c r="F875" s="2">
        <v>76</v>
      </c>
      <c r="G875" t="s">
        <v>11</v>
      </c>
      <c r="H875" s="3">
        <v>17397.400000000001</v>
      </c>
      <c r="I875" s="3">
        <v>495045</v>
      </c>
      <c r="J875" s="3">
        <v>396036</v>
      </c>
      <c r="K875" s="3">
        <v>81611.600000000006</v>
      </c>
      <c r="L875" t="s">
        <v>15</v>
      </c>
      <c r="M875">
        <v>3.9</v>
      </c>
    </row>
    <row r="876" spans="1:13" x14ac:dyDescent="0.25">
      <c r="A876">
        <v>875</v>
      </c>
      <c r="B876" s="1">
        <v>42683</v>
      </c>
      <c r="C876" s="1">
        <v>42858</v>
      </c>
      <c r="D876" t="s">
        <v>23</v>
      </c>
      <c r="E876" t="s">
        <v>29</v>
      </c>
      <c r="F876" s="2">
        <v>140</v>
      </c>
      <c r="G876" t="s">
        <v>12</v>
      </c>
      <c r="H876" s="3">
        <v>49148.08</v>
      </c>
      <c r="I876" s="3">
        <v>1295687</v>
      </c>
      <c r="J876" s="3">
        <v>1036549.6</v>
      </c>
      <c r="K876" s="3">
        <v>209989.32</v>
      </c>
      <c r="L876" t="s">
        <v>15</v>
      </c>
      <c r="M876">
        <v>4.4000000000000004</v>
      </c>
    </row>
    <row r="877" spans="1:13" x14ac:dyDescent="0.25">
      <c r="A877">
        <v>876</v>
      </c>
      <c r="B877" s="1">
        <v>42683</v>
      </c>
      <c r="C877" s="1">
        <v>42915</v>
      </c>
      <c r="D877" t="s">
        <v>22</v>
      </c>
      <c r="E877" t="s">
        <v>25</v>
      </c>
      <c r="F877" s="2">
        <v>110</v>
      </c>
      <c r="G877" t="s">
        <v>12</v>
      </c>
      <c r="H877" s="3">
        <v>37781.32</v>
      </c>
      <c r="I877" s="3">
        <v>1005143</v>
      </c>
      <c r="J877" s="3">
        <v>804114.4</v>
      </c>
      <c r="K877" s="3">
        <v>163247.27999999997</v>
      </c>
      <c r="L877" t="s">
        <v>18</v>
      </c>
      <c r="M877">
        <v>4.0999999999999996</v>
      </c>
    </row>
    <row r="878" spans="1:13" x14ac:dyDescent="0.25">
      <c r="A878">
        <v>877</v>
      </c>
      <c r="B878" s="1">
        <v>42683</v>
      </c>
      <c r="C878" s="1">
        <v>42810</v>
      </c>
      <c r="D878" t="s">
        <v>21</v>
      </c>
      <c r="E878" t="s">
        <v>25</v>
      </c>
      <c r="F878" s="2">
        <v>125</v>
      </c>
      <c r="G878" t="s">
        <v>11</v>
      </c>
      <c r="H878" s="3">
        <v>20805.8</v>
      </c>
      <c r="I878" s="3">
        <v>585605</v>
      </c>
      <c r="J878" s="3">
        <v>468484</v>
      </c>
      <c r="K878" s="3">
        <v>96315.199999999997</v>
      </c>
      <c r="L878" t="s">
        <v>14</v>
      </c>
      <c r="M878">
        <v>4.0999999999999996</v>
      </c>
    </row>
    <row r="879" spans="1:13" x14ac:dyDescent="0.25">
      <c r="A879">
        <v>878</v>
      </c>
      <c r="B879" s="1">
        <v>42684</v>
      </c>
      <c r="C879" s="1">
        <v>42843</v>
      </c>
      <c r="D879" t="s">
        <v>23</v>
      </c>
      <c r="E879" t="s">
        <v>25</v>
      </c>
      <c r="F879" s="2">
        <v>139</v>
      </c>
      <c r="G879" t="s">
        <v>12</v>
      </c>
      <c r="H879" s="3">
        <v>53782.400000000001</v>
      </c>
      <c r="I879" s="3">
        <v>1408620</v>
      </c>
      <c r="J879" s="3">
        <v>1126896</v>
      </c>
      <c r="K879" s="3">
        <v>227941.6</v>
      </c>
      <c r="L879" t="s">
        <v>15</v>
      </c>
      <c r="M879">
        <v>4.5999999999999996</v>
      </c>
    </row>
    <row r="880" spans="1:13" x14ac:dyDescent="0.25">
      <c r="A880">
        <v>879</v>
      </c>
      <c r="B880" s="1">
        <v>42684</v>
      </c>
      <c r="C880" s="1">
        <v>42926</v>
      </c>
      <c r="D880" t="s">
        <v>22</v>
      </c>
      <c r="E880" t="s">
        <v>25</v>
      </c>
      <c r="F880" s="2">
        <v>140</v>
      </c>
      <c r="G880" t="s">
        <v>12</v>
      </c>
      <c r="H880" s="3">
        <v>42044.28</v>
      </c>
      <c r="I880" s="3">
        <v>1106792</v>
      </c>
      <c r="J880" s="3">
        <v>885433.6</v>
      </c>
      <c r="K880" s="3">
        <v>179314.12000000002</v>
      </c>
      <c r="L880" t="s">
        <v>15</v>
      </c>
      <c r="M880">
        <v>4.0999999999999996</v>
      </c>
    </row>
    <row r="881" spans="1:13" x14ac:dyDescent="0.25">
      <c r="A881">
        <v>880</v>
      </c>
      <c r="B881" s="1">
        <v>42685</v>
      </c>
      <c r="C881" s="1">
        <v>42910</v>
      </c>
      <c r="D881" t="s">
        <v>23</v>
      </c>
      <c r="E881" t="s">
        <v>29</v>
      </c>
      <c r="F881" s="2">
        <v>265</v>
      </c>
      <c r="G881" t="s">
        <v>12</v>
      </c>
      <c r="H881" s="3">
        <v>61022.36</v>
      </c>
      <c r="I881" s="3">
        <v>1579269</v>
      </c>
      <c r="J881" s="3">
        <v>1263415.2</v>
      </c>
      <c r="K881" s="3">
        <v>254831.44000000006</v>
      </c>
      <c r="L881" t="s">
        <v>16</v>
      </c>
      <c r="M881">
        <v>4.5999999999999996</v>
      </c>
    </row>
    <row r="882" spans="1:13" x14ac:dyDescent="0.25">
      <c r="A882">
        <v>881</v>
      </c>
      <c r="B882" s="1">
        <v>42685</v>
      </c>
      <c r="C882" s="1">
        <v>42896</v>
      </c>
      <c r="D882" t="s">
        <v>20</v>
      </c>
      <c r="E882" t="s">
        <v>24</v>
      </c>
      <c r="F882" s="2">
        <v>109</v>
      </c>
      <c r="G882" t="s">
        <v>11</v>
      </c>
      <c r="H882" s="3">
        <v>25087.759999999998</v>
      </c>
      <c r="I882" s="3">
        <v>682054</v>
      </c>
      <c r="J882" s="3">
        <v>545643.19999999995</v>
      </c>
      <c r="K882" s="3">
        <v>111323.04000000005</v>
      </c>
      <c r="L882" t="s">
        <v>14</v>
      </c>
      <c r="M882">
        <v>4.7</v>
      </c>
    </row>
    <row r="883" spans="1:13" x14ac:dyDescent="0.25">
      <c r="A883">
        <v>882</v>
      </c>
      <c r="B883" s="1">
        <v>42685</v>
      </c>
      <c r="C883" s="1">
        <v>42975</v>
      </c>
      <c r="D883" t="s">
        <v>23</v>
      </c>
      <c r="E883" t="s">
        <v>28</v>
      </c>
      <c r="F883" s="2">
        <v>216</v>
      </c>
      <c r="G883" t="s">
        <v>12</v>
      </c>
      <c r="H883" s="3">
        <v>37835.800000000003</v>
      </c>
      <c r="I883" s="3">
        <v>1006905</v>
      </c>
      <c r="J883" s="3">
        <v>805524</v>
      </c>
      <c r="K883" s="3">
        <v>163545.20000000001</v>
      </c>
      <c r="L883" t="s">
        <v>19</v>
      </c>
      <c r="M883">
        <v>4.7</v>
      </c>
    </row>
    <row r="884" spans="1:13" x14ac:dyDescent="0.25">
      <c r="A884">
        <v>883</v>
      </c>
      <c r="B884" s="1">
        <v>42685</v>
      </c>
      <c r="C884" s="1">
        <v>43030</v>
      </c>
      <c r="D884" t="s">
        <v>21</v>
      </c>
      <c r="E884" t="s">
        <v>25</v>
      </c>
      <c r="F884" s="2">
        <v>261</v>
      </c>
      <c r="G884" t="s">
        <v>12</v>
      </c>
      <c r="H884" s="3">
        <v>53627.56</v>
      </c>
      <c r="I884" s="3">
        <v>1407449</v>
      </c>
      <c r="J884" s="3">
        <v>1125959.2</v>
      </c>
      <c r="K884" s="3">
        <v>227862.24000000005</v>
      </c>
      <c r="L884" t="s">
        <v>18</v>
      </c>
      <c r="M884">
        <v>4.5999999999999996</v>
      </c>
    </row>
    <row r="885" spans="1:13" x14ac:dyDescent="0.25">
      <c r="A885">
        <v>884</v>
      </c>
      <c r="B885" s="1">
        <v>42685</v>
      </c>
      <c r="C885" s="1">
        <v>42998</v>
      </c>
      <c r="D885" t="s">
        <v>21</v>
      </c>
      <c r="E885" t="s">
        <v>24</v>
      </c>
      <c r="F885" s="2">
        <v>120</v>
      </c>
      <c r="G885" t="s">
        <v>11</v>
      </c>
      <c r="H885" s="3">
        <v>22410</v>
      </c>
      <c r="I885" s="3">
        <v>627360</v>
      </c>
      <c r="J885" s="3">
        <v>501888</v>
      </c>
      <c r="K885" s="3">
        <v>103062</v>
      </c>
      <c r="L885" t="s">
        <v>14</v>
      </c>
      <c r="M885">
        <v>4.7</v>
      </c>
    </row>
    <row r="886" spans="1:13" x14ac:dyDescent="0.25">
      <c r="A886">
        <v>885</v>
      </c>
      <c r="B886" s="1">
        <v>42685</v>
      </c>
      <c r="C886" s="1">
        <v>42789</v>
      </c>
      <c r="D886" t="s">
        <v>20</v>
      </c>
      <c r="E886" t="s">
        <v>28</v>
      </c>
      <c r="F886" s="2">
        <v>148</v>
      </c>
      <c r="G886" t="s">
        <v>11</v>
      </c>
      <c r="H886" s="3">
        <v>27775.52</v>
      </c>
      <c r="I886" s="3">
        <v>755698</v>
      </c>
      <c r="J886" s="3">
        <v>604558.4</v>
      </c>
      <c r="K886" s="3">
        <v>123364.07999999997</v>
      </c>
      <c r="L886" t="s">
        <v>17</v>
      </c>
      <c r="M886">
        <v>4.5</v>
      </c>
    </row>
    <row r="887" spans="1:13" x14ac:dyDescent="0.25">
      <c r="A887">
        <v>886</v>
      </c>
      <c r="B887" s="1">
        <v>42686</v>
      </c>
      <c r="C887" s="1">
        <v>42914</v>
      </c>
      <c r="D887" t="s">
        <v>22</v>
      </c>
      <c r="E887" t="s">
        <v>28</v>
      </c>
      <c r="F887" s="2">
        <v>127</v>
      </c>
      <c r="G887" t="s">
        <v>12</v>
      </c>
      <c r="H887" s="3">
        <v>46525.24</v>
      </c>
      <c r="I887" s="3">
        <v>1227766</v>
      </c>
      <c r="J887" s="3">
        <v>982212.8</v>
      </c>
      <c r="K887" s="3">
        <v>199027.95999999996</v>
      </c>
      <c r="L887" t="s">
        <v>16</v>
      </c>
      <c r="M887">
        <v>3.9</v>
      </c>
    </row>
    <row r="888" spans="1:13" x14ac:dyDescent="0.25">
      <c r="A888">
        <v>887</v>
      </c>
      <c r="B888" s="1">
        <v>42687</v>
      </c>
      <c r="C888" s="1">
        <v>43047</v>
      </c>
      <c r="D888" t="s">
        <v>21</v>
      </c>
      <c r="E888" t="s">
        <v>13</v>
      </c>
      <c r="F888" s="2">
        <v>155</v>
      </c>
      <c r="G888" t="s">
        <v>12</v>
      </c>
      <c r="H888" s="3">
        <v>53537.4</v>
      </c>
      <c r="I888" s="3">
        <v>1392645</v>
      </c>
      <c r="J888" s="3">
        <v>1114116</v>
      </c>
      <c r="K888" s="3">
        <v>224991.6</v>
      </c>
      <c r="L888" t="s">
        <v>19</v>
      </c>
      <c r="M888">
        <v>3.9</v>
      </c>
    </row>
    <row r="889" spans="1:13" x14ac:dyDescent="0.25">
      <c r="A889">
        <v>888</v>
      </c>
      <c r="B889" s="1">
        <v>42687</v>
      </c>
      <c r="C889" s="1">
        <v>42947</v>
      </c>
      <c r="D889" t="s">
        <v>21</v>
      </c>
      <c r="E889" t="s">
        <v>13</v>
      </c>
      <c r="F889" s="2">
        <v>89</v>
      </c>
      <c r="G889" t="s">
        <v>11</v>
      </c>
      <c r="H889" s="3">
        <v>15629.8</v>
      </c>
      <c r="I889" s="3">
        <v>448880</v>
      </c>
      <c r="J889" s="3">
        <v>359104</v>
      </c>
      <c r="K889" s="3">
        <v>74146.2</v>
      </c>
      <c r="L889" t="s">
        <v>18</v>
      </c>
      <c r="M889">
        <v>3.9</v>
      </c>
    </row>
    <row r="890" spans="1:13" x14ac:dyDescent="0.25">
      <c r="A890">
        <v>889</v>
      </c>
      <c r="B890" s="1">
        <v>42687</v>
      </c>
      <c r="C890" s="1">
        <v>43039</v>
      </c>
      <c r="D890" t="s">
        <v>21</v>
      </c>
      <c r="E890" t="s">
        <v>28</v>
      </c>
      <c r="F890" s="2">
        <v>229</v>
      </c>
      <c r="G890" t="s">
        <v>12</v>
      </c>
      <c r="H890" s="3">
        <v>55769.48</v>
      </c>
      <c r="I890" s="3">
        <v>1456497</v>
      </c>
      <c r="J890" s="3">
        <v>1165197.6000000001</v>
      </c>
      <c r="K890" s="3">
        <v>235529.9199999999</v>
      </c>
      <c r="L890" t="s">
        <v>15</v>
      </c>
      <c r="M890">
        <v>4.2</v>
      </c>
    </row>
    <row r="891" spans="1:13" x14ac:dyDescent="0.25">
      <c r="A891">
        <v>890</v>
      </c>
      <c r="B891" s="1">
        <v>42687</v>
      </c>
      <c r="C891" s="1">
        <v>43019</v>
      </c>
      <c r="D891" t="s">
        <v>21</v>
      </c>
      <c r="E891" t="s">
        <v>13</v>
      </c>
      <c r="F891" s="2">
        <v>159</v>
      </c>
      <c r="G891" t="s">
        <v>12</v>
      </c>
      <c r="H891" s="3">
        <v>62967.8</v>
      </c>
      <c r="I891" s="3">
        <v>1635005</v>
      </c>
      <c r="J891" s="3">
        <v>1308004</v>
      </c>
      <c r="K891" s="3">
        <v>264033.2</v>
      </c>
      <c r="L891" t="s">
        <v>15</v>
      </c>
      <c r="M891">
        <v>3.8</v>
      </c>
    </row>
    <row r="892" spans="1:13" x14ac:dyDescent="0.25">
      <c r="A892">
        <v>891</v>
      </c>
      <c r="B892" s="1">
        <v>42687</v>
      </c>
      <c r="C892" s="1">
        <v>42976</v>
      </c>
      <c r="D892" t="s">
        <v>20</v>
      </c>
      <c r="E892" t="s">
        <v>25</v>
      </c>
      <c r="F892" s="2">
        <v>252</v>
      </c>
      <c r="G892" t="s">
        <v>12</v>
      </c>
      <c r="H892" s="3">
        <v>100927</v>
      </c>
      <c r="I892" s="3">
        <v>2580110</v>
      </c>
      <c r="J892" s="3">
        <v>2064088</v>
      </c>
      <c r="K892" s="3">
        <v>415095</v>
      </c>
      <c r="L892" t="s">
        <v>15</v>
      </c>
      <c r="M892">
        <v>4.0999999999999996</v>
      </c>
    </row>
    <row r="893" spans="1:13" x14ac:dyDescent="0.25">
      <c r="A893">
        <v>892</v>
      </c>
      <c r="B893" s="1">
        <v>42688</v>
      </c>
      <c r="C893" s="1">
        <v>42859</v>
      </c>
      <c r="D893" t="s">
        <v>20</v>
      </c>
      <c r="E893" t="s">
        <v>24</v>
      </c>
      <c r="F893" s="2">
        <v>222</v>
      </c>
      <c r="G893" t="s">
        <v>12</v>
      </c>
      <c r="H893" s="3">
        <v>80102.52</v>
      </c>
      <c r="I893" s="3">
        <v>2062123</v>
      </c>
      <c r="J893" s="3">
        <v>1649698.4</v>
      </c>
      <c r="K893" s="3">
        <v>332322.08000000007</v>
      </c>
      <c r="L893" t="s">
        <v>18</v>
      </c>
      <c r="M893">
        <v>4.3</v>
      </c>
    </row>
    <row r="894" spans="1:13" x14ac:dyDescent="0.25">
      <c r="A894">
        <v>893</v>
      </c>
      <c r="B894" s="1">
        <v>42688</v>
      </c>
      <c r="C894" s="1">
        <v>42999</v>
      </c>
      <c r="D894" t="s">
        <v>21</v>
      </c>
      <c r="E894" t="s">
        <v>28</v>
      </c>
      <c r="F894" s="2">
        <v>222</v>
      </c>
      <c r="G894" t="s">
        <v>12</v>
      </c>
      <c r="H894" s="3">
        <v>43757.16</v>
      </c>
      <c r="I894" s="3">
        <v>1152089</v>
      </c>
      <c r="J894" s="3">
        <v>921671.2</v>
      </c>
      <c r="K894" s="3">
        <v>186660.64000000004</v>
      </c>
      <c r="L894" t="s">
        <v>15</v>
      </c>
      <c r="M894">
        <v>4.5999999999999996</v>
      </c>
    </row>
    <row r="895" spans="1:13" x14ac:dyDescent="0.25">
      <c r="A895">
        <v>894</v>
      </c>
      <c r="B895" s="1">
        <v>42688</v>
      </c>
      <c r="C895" s="1">
        <v>42859</v>
      </c>
      <c r="D895" t="s">
        <v>22</v>
      </c>
      <c r="E895" t="s">
        <v>26</v>
      </c>
      <c r="F895" s="2">
        <v>88</v>
      </c>
      <c r="G895" t="s">
        <v>11</v>
      </c>
      <c r="H895" s="3">
        <v>23321.84</v>
      </c>
      <c r="I895" s="3">
        <v>647181</v>
      </c>
      <c r="J895" s="3">
        <v>517744.8</v>
      </c>
      <c r="K895" s="3">
        <v>106114.36000000002</v>
      </c>
      <c r="L895" t="s">
        <v>17</v>
      </c>
      <c r="M895">
        <v>4.5999999999999996</v>
      </c>
    </row>
    <row r="896" spans="1:13" x14ac:dyDescent="0.25">
      <c r="A896">
        <v>895</v>
      </c>
      <c r="B896" s="1">
        <v>42688</v>
      </c>
      <c r="C896" s="1">
        <v>42990</v>
      </c>
      <c r="D896" t="s">
        <v>20</v>
      </c>
      <c r="E896" t="s">
        <v>25</v>
      </c>
      <c r="F896" s="2">
        <v>223</v>
      </c>
      <c r="G896" t="s">
        <v>12</v>
      </c>
      <c r="H896" s="3">
        <v>52459.96</v>
      </c>
      <c r="I896" s="3">
        <v>1377509</v>
      </c>
      <c r="J896" s="3">
        <v>1102007.2</v>
      </c>
      <c r="K896" s="3">
        <v>223041.84000000005</v>
      </c>
      <c r="L896" t="s">
        <v>17</v>
      </c>
      <c r="M896">
        <v>4.5999999999999996</v>
      </c>
    </row>
    <row r="897" spans="1:13" x14ac:dyDescent="0.25">
      <c r="A897">
        <v>896</v>
      </c>
      <c r="B897" s="1">
        <v>42688</v>
      </c>
      <c r="C897" s="1">
        <v>43002</v>
      </c>
      <c r="D897" t="s">
        <v>20</v>
      </c>
      <c r="E897" t="s">
        <v>29</v>
      </c>
      <c r="F897" s="2">
        <v>219</v>
      </c>
      <c r="G897" t="s">
        <v>12</v>
      </c>
      <c r="H897" s="3">
        <v>52399.28</v>
      </c>
      <c r="I897" s="3">
        <v>1377117</v>
      </c>
      <c r="J897" s="3">
        <v>1101693.6000000001</v>
      </c>
      <c r="K897" s="3">
        <v>223024.11999999991</v>
      </c>
      <c r="L897" t="s">
        <v>19</v>
      </c>
      <c r="M897">
        <v>4.3</v>
      </c>
    </row>
    <row r="898" spans="1:13" x14ac:dyDescent="0.25">
      <c r="A898">
        <v>897</v>
      </c>
      <c r="B898" s="1">
        <v>42689</v>
      </c>
      <c r="C898" s="1">
        <v>42781</v>
      </c>
      <c r="D898" t="s">
        <v>23</v>
      </c>
      <c r="E898" t="s">
        <v>29</v>
      </c>
      <c r="F898" s="2">
        <v>58</v>
      </c>
      <c r="G898" t="s">
        <v>11</v>
      </c>
      <c r="H898" s="3">
        <v>22042.720000000001</v>
      </c>
      <c r="I898" s="3">
        <v>618053</v>
      </c>
      <c r="J898" s="3">
        <v>494442.4</v>
      </c>
      <c r="K898" s="3">
        <v>101567.87999999998</v>
      </c>
      <c r="L898" t="s">
        <v>14</v>
      </c>
      <c r="M898">
        <v>4.0999999999999996</v>
      </c>
    </row>
    <row r="899" spans="1:13" x14ac:dyDescent="0.25">
      <c r="A899">
        <v>898</v>
      </c>
      <c r="B899" s="1">
        <v>42689</v>
      </c>
      <c r="C899" s="1">
        <v>42808</v>
      </c>
      <c r="D899" t="s">
        <v>22</v>
      </c>
      <c r="E899" t="s">
        <v>27</v>
      </c>
      <c r="F899" s="2">
        <v>253</v>
      </c>
      <c r="G899" t="s">
        <v>12</v>
      </c>
      <c r="H899" s="3">
        <v>96801.08</v>
      </c>
      <c r="I899" s="3">
        <v>2485937</v>
      </c>
      <c r="J899" s="3">
        <v>1988749.6</v>
      </c>
      <c r="K899" s="3">
        <v>400386.31999999989</v>
      </c>
      <c r="L899" t="s">
        <v>17</v>
      </c>
      <c r="M899">
        <v>4.5999999999999996</v>
      </c>
    </row>
    <row r="900" spans="1:13" x14ac:dyDescent="0.25">
      <c r="A900">
        <v>899</v>
      </c>
      <c r="B900" s="1">
        <v>42690</v>
      </c>
      <c r="C900" s="1">
        <v>42900</v>
      </c>
      <c r="D900" t="s">
        <v>20</v>
      </c>
      <c r="E900" t="s">
        <v>27</v>
      </c>
      <c r="F900" s="2">
        <v>52</v>
      </c>
      <c r="G900" t="s">
        <v>11</v>
      </c>
      <c r="H900" s="3">
        <v>11850.4</v>
      </c>
      <c r="I900" s="3">
        <v>352295</v>
      </c>
      <c r="J900" s="3">
        <v>281836</v>
      </c>
      <c r="K900" s="3">
        <v>58608.6</v>
      </c>
      <c r="L900" t="s">
        <v>17</v>
      </c>
      <c r="M900">
        <v>4.5</v>
      </c>
    </row>
    <row r="901" spans="1:13" x14ac:dyDescent="0.25">
      <c r="A901">
        <v>900</v>
      </c>
      <c r="B901" s="1">
        <v>42690</v>
      </c>
      <c r="C901" s="1">
        <v>42827</v>
      </c>
      <c r="D901" t="s">
        <v>22</v>
      </c>
      <c r="E901" t="s">
        <v>26</v>
      </c>
      <c r="F901" s="2">
        <v>132</v>
      </c>
      <c r="G901" t="s">
        <v>12</v>
      </c>
      <c r="H901" s="3">
        <v>41705.72</v>
      </c>
      <c r="I901" s="3">
        <v>1109253</v>
      </c>
      <c r="J901" s="3">
        <v>887402.4</v>
      </c>
      <c r="K901" s="3">
        <v>180144.87999999998</v>
      </c>
      <c r="L901" t="s">
        <v>15</v>
      </c>
      <c r="M901">
        <v>3.7</v>
      </c>
    </row>
    <row r="902" spans="1:13" x14ac:dyDescent="0.25">
      <c r="A902">
        <v>901</v>
      </c>
      <c r="B902" s="1">
        <v>42690</v>
      </c>
      <c r="C902" s="1">
        <v>42934</v>
      </c>
      <c r="D902" t="s">
        <v>22</v>
      </c>
      <c r="E902" t="s">
        <v>26</v>
      </c>
      <c r="F902" s="2">
        <v>287</v>
      </c>
      <c r="G902" t="s">
        <v>12</v>
      </c>
      <c r="H902" s="3">
        <v>64999.24</v>
      </c>
      <c r="I902" s="3">
        <v>1689941</v>
      </c>
      <c r="J902" s="3">
        <v>1351952.8</v>
      </c>
      <c r="K902" s="3">
        <v>272988.95999999996</v>
      </c>
      <c r="L902" t="s">
        <v>15</v>
      </c>
      <c r="M902">
        <v>3.9</v>
      </c>
    </row>
    <row r="903" spans="1:13" x14ac:dyDescent="0.25">
      <c r="A903">
        <v>902</v>
      </c>
      <c r="B903" s="1">
        <v>42691</v>
      </c>
      <c r="C903" s="1">
        <v>43044</v>
      </c>
      <c r="D903" t="s">
        <v>23</v>
      </c>
      <c r="E903" t="s">
        <v>24</v>
      </c>
      <c r="F903" s="2">
        <v>288</v>
      </c>
      <c r="G903" t="s">
        <v>12</v>
      </c>
      <c r="H903" s="3">
        <v>108258.84</v>
      </c>
      <c r="I903" s="3">
        <v>2758631</v>
      </c>
      <c r="J903" s="3">
        <v>2206904.7999999998</v>
      </c>
      <c r="K903" s="3">
        <v>443467.36000000022</v>
      </c>
      <c r="L903" t="s">
        <v>16</v>
      </c>
      <c r="M903">
        <v>4.5</v>
      </c>
    </row>
    <row r="904" spans="1:13" x14ac:dyDescent="0.25">
      <c r="A904">
        <v>903</v>
      </c>
      <c r="B904" s="1">
        <v>42691</v>
      </c>
      <c r="C904" s="1">
        <v>42860</v>
      </c>
      <c r="D904" t="s">
        <v>22</v>
      </c>
      <c r="E904" t="s">
        <v>26</v>
      </c>
      <c r="F904" s="2">
        <v>147</v>
      </c>
      <c r="G904" t="s">
        <v>12</v>
      </c>
      <c r="H904" s="3">
        <v>40387.68</v>
      </c>
      <c r="I904" s="3">
        <v>1065852</v>
      </c>
      <c r="J904" s="3">
        <v>852681.6</v>
      </c>
      <c r="K904" s="3">
        <v>172782.72000000003</v>
      </c>
      <c r="L904" t="s">
        <v>14</v>
      </c>
      <c r="M904">
        <v>4.9000000000000004</v>
      </c>
    </row>
    <row r="905" spans="1:13" x14ac:dyDescent="0.25">
      <c r="A905">
        <v>904</v>
      </c>
      <c r="B905" s="1">
        <v>42691</v>
      </c>
      <c r="C905" s="1">
        <v>42941</v>
      </c>
      <c r="D905" t="s">
        <v>20</v>
      </c>
      <c r="E905" t="s">
        <v>28</v>
      </c>
      <c r="F905" s="2">
        <v>56</v>
      </c>
      <c r="G905" t="s">
        <v>11</v>
      </c>
      <c r="H905" s="3">
        <v>17559.48</v>
      </c>
      <c r="I905" s="3">
        <v>492247</v>
      </c>
      <c r="J905" s="3">
        <v>393797.6</v>
      </c>
      <c r="K905" s="3">
        <v>80889.920000000027</v>
      </c>
      <c r="L905" t="s">
        <v>15</v>
      </c>
      <c r="M905">
        <v>4.4000000000000004</v>
      </c>
    </row>
    <row r="906" spans="1:13" x14ac:dyDescent="0.25">
      <c r="A906">
        <v>905</v>
      </c>
      <c r="B906" s="1">
        <v>42692</v>
      </c>
      <c r="C906" s="1">
        <v>43050</v>
      </c>
      <c r="D906" t="s">
        <v>21</v>
      </c>
      <c r="E906" t="s">
        <v>28</v>
      </c>
      <c r="F906" s="2">
        <v>110</v>
      </c>
      <c r="G906" t="s">
        <v>11</v>
      </c>
      <c r="H906" s="3">
        <v>18331.68</v>
      </c>
      <c r="I906" s="3">
        <v>516377</v>
      </c>
      <c r="J906" s="3">
        <v>413101.6</v>
      </c>
      <c r="K906" s="3">
        <v>84943.72000000003</v>
      </c>
      <c r="L906" t="s">
        <v>16</v>
      </c>
      <c r="M906">
        <v>4.9000000000000004</v>
      </c>
    </row>
    <row r="907" spans="1:13" x14ac:dyDescent="0.25">
      <c r="A907">
        <v>906</v>
      </c>
      <c r="B907" s="1">
        <v>42692</v>
      </c>
      <c r="C907" s="1">
        <v>43035</v>
      </c>
      <c r="D907" t="s">
        <v>23</v>
      </c>
      <c r="E907" t="s">
        <v>25</v>
      </c>
      <c r="F907" s="2">
        <v>63</v>
      </c>
      <c r="G907" t="s">
        <v>11</v>
      </c>
      <c r="H907" s="3">
        <v>19029.599999999999</v>
      </c>
      <c r="I907" s="3">
        <v>536625</v>
      </c>
      <c r="J907" s="3">
        <v>429300</v>
      </c>
      <c r="K907" s="3">
        <v>88295.4</v>
      </c>
      <c r="L907" t="s">
        <v>15</v>
      </c>
      <c r="M907">
        <v>5</v>
      </c>
    </row>
    <row r="908" spans="1:13" x14ac:dyDescent="0.25">
      <c r="A908">
        <v>907</v>
      </c>
      <c r="B908" s="1">
        <v>42692</v>
      </c>
      <c r="C908" s="1">
        <v>42919</v>
      </c>
      <c r="D908" t="s">
        <v>23</v>
      </c>
      <c r="E908" t="s">
        <v>13</v>
      </c>
      <c r="F908" s="2">
        <v>55</v>
      </c>
      <c r="G908" t="s">
        <v>11</v>
      </c>
      <c r="H908" s="3">
        <v>18430.240000000002</v>
      </c>
      <c r="I908" s="3">
        <v>528191</v>
      </c>
      <c r="J908" s="3">
        <v>422552.8</v>
      </c>
      <c r="K908" s="3">
        <v>87207.96</v>
      </c>
      <c r="L908" t="s">
        <v>17</v>
      </c>
      <c r="M908">
        <v>3.7</v>
      </c>
    </row>
    <row r="909" spans="1:13" x14ac:dyDescent="0.25">
      <c r="A909">
        <v>908</v>
      </c>
      <c r="B909" s="1">
        <v>42692</v>
      </c>
      <c r="C909" s="1">
        <v>42842</v>
      </c>
      <c r="D909" t="s">
        <v>23</v>
      </c>
      <c r="E909" t="s">
        <v>28</v>
      </c>
      <c r="F909" s="2">
        <v>129</v>
      </c>
      <c r="G909" t="s">
        <v>12</v>
      </c>
      <c r="H909" s="3">
        <v>36340.76</v>
      </c>
      <c r="I909" s="3">
        <v>969929</v>
      </c>
      <c r="J909" s="3">
        <v>775943.2</v>
      </c>
      <c r="K909" s="3">
        <v>157645.04000000004</v>
      </c>
      <c r="L909" t="s">
        <v>15</v>
      </c>
      <c r="M909">
        <v>4</v>
      </c>
    </row>
    <row r="910" spans="1:13" x14ac:dyDescent="0.25">
      <c r="A910">
        <v>909</v>
      </c>
      <c r="B910" s="1">
        <v>42692</v>
      </c>
      <c r="C910" s="1">
        <v>42840</v>
      </c>
      <c r="D910" t="s">
        <v>23</v>
      </c>
      <c r="E910" t="s">
        <v>28</v>
      </c>
      <c r="F910" s="2">
        <v>120</v>
      </c>
      <c r="G910" t="s">
        <v>12</v>
      </c>
      <c r="H910" s="3">
        <v>47182.8</v>
      </c>
      <c r="I910" s="3">
        <v>1241080</v>
      </c>
      <c r="J910" s="3">
        <v>992864</v>
      </c>
      <c r="K910" s="3">
        <v>201033.2</v>
      </c>
      <c r="L910" t="s">
        <v>14</v>
      </c>
      <c r="M910">
        <v>3.6</v>
      </c>
    </row>
    <row r="911" spans="1:13" x14ac:dyDescent="0.25">
      <c r="A911">
        <v>910</v>
      </c>
      <c r="B911" s="1">
        <v>42693</v>
      </c>
      <c r="C911" s="1">
        <v>43055</v>
      </c>
      <c r="D911" t="s">
        <v>23</v>
      </c>
      <c r="E911" t="s">
        <v>13</v>
      </c>
      <c r="F911" s="2">
        <v>190</v>
      </c>
      <c r="G911" t="s">
        <v>12</v>
      </c>
      <c r="H911" s="3">
        <v>59542.12</v>
      </c>
      <c r="I911" s="3">
        <v>1543338</v>
      </c>
      <c r="J911" s="3">
        <v>1234670.3999999999</v>
      </c>
      <c r="K911" s="3">
        <v>249125.4800000001</v>
      </c>
      <c r="L911" t="s">
        <v>17</v>
      </c>
      <c r="M911">
        <v>4.7</v>
      </c>
    </row>
    <row r="912" spans="1:13" x14ac:dyDescent="0.25">
      <c r="A912">
        <v>911</v>
      </c>
      <c r="B912" s="1">
        <v>42694</v>
      </c>
      <c r="C912" s="1">
        <v>43047</v>
      </c>
      <c r="D912" t="s">
        <v>22</v>
      </c>
      <c r="E912" t="s">
        <v>29</v>
      </c>
      <c r="F912" s="2">
        <v>131</v>
      </c>
      <c r="G912" t="s">
        <v>12</v>
      </c>
      <c r="H912" s="3">
        <v>40858.6</v>
      </c>
      <c r="I912" s="3">
        <v>1073150</v>
      </c>
      <c r="J912" s="3">
        <v>858520</v>
      </c>
      <c r="K912" s="3">
        <v>173771.4</v>
      </c>
      <c r="L912" t="s">
        <v>15</v>
      </c>
      <c r="M912">
        <v>4.5999999999999996</v>
      </c>
    </row>
    <row r="913" spans="1:13" x14ac:dyDescent="0.25">
      <c r="A913">
        <v>912</v>
      </c>
      <c r="B913" s="1">
        <v>42694</v>
      </c>
      <c r="C913" s="1">
        <v>42977</v>
      </c>
      <c r="D913" t="s">
        <v>20</v>
      </c>
      <c r="E913" t="s">
        <v>29</v>
      </c>
      <c r="F913" s="2">
        <v>193</v>
      </c>
      <c r="G913" t="s">
        <v>12</v>
      </c>
      <c r="H913" s="3">
        <v>77794</v>
      </c>
      <c r="I913" s="3">
        <v>2003885</v>
      </c>
      <c r="J913" s="3">
        <v>1603108</v>
      </c>
      <c r="K913" s="3">
        <v>322983</v>
      </c>
      <c r="L913" t="s">
        <v>15</v>
      </c>
      <c r="M913">
        <v>4.2</v>
      </c>
    </row>
    <row r="914" spans="1:13" x14ac:dyDescent="0.25">
      <c r="A914">
        <v>913</v>
      </c>
      <c r="B914" s="1">
        <v>42694</v>
      </c>
      <c r="C914" s="1">
        <v>42977</v>
      </c>
      <c r="D914" t="s">
        <v>22</v>
      </c>
      <c r="E914" t="s">
        <v>28</v>
      </c>
      <c r="F914" s="2">
        <v>243</v>
      </c>
      <c r="G914" t="s">
        <v>12</v>
      </c>
      <c r="H914" s="3">
        <v>66184</v>
      </c>
      <c r="I914" s="3">
        <v>1712985</v>
      </c>
      <c r="J914" s="3">
        <v>1370388</v>
      </c>
      <c r="K914" s="3">
        <v>276413</v>
      </c>
      <c r="L914" t="s">
        <v>15</v>
      </c>
      <c r="M914">
        <v>4.5</v>
      </c>
    </row>
    <row r="915" spans="1:13" x14ac:dyDescent="0.25">
      <c r="A915">
        <v>914</v>
      </c>
      <c r="B915" s="1">
        <v>42694</v>
      </c>
      <c r="C915" s="1">
        <v>42997</v>
      </c>
      <c r="D915" t="s">
        <v>22</v>
      </c>
      <c r="E915" t="s">
        <v>24</v>
      </c>
      <c r="F915" s="2">
        <v>45</v>
      </c>
      <c r="G915" t="s">
        <v>11</v>
      </c>
      <c r="H915" s="3">
        <v>13648.2</v>
      </c>
      <c r="I915" s="3">
        <v>402965</v>
      </c>
      <c r="J915" s="3">
        <v>322372</v>
      </c>
      <c r="K915" s="3">
        <v>66944.800000000003</v>
      </c>
      <c r="L915" t="s">
        <v>15</v>
      </c>
      <c r="M915">
        <v>4.5999999999999996</v>
      </c>
    </row>
    <row r="916" spans="1:13" x14ac:dyDescent="0.25">
      <c r="A916">
        <v>915</v>
      </c>
      <c r="B916" s="1">
        <v>42694</v>
      </c>
      <c r="C916" s="1">
        <v>42957</v>
      </c>
      <c r="D916" t="s">
        <v>22</v>
      </c>
      <c r="E916" t="s">
        <v>28</v>
      </c>
      <c r="F916" s="2">
        <v>282</v>
      </c>
      <c r="G916" t="s">
        <v>12</v>
      </c>
      <c r="H916" s="3">
        <v>73773.399999999994</v>
      </c>
      <c r="I916" s="3">
        <v>1906370</v>
      </c>
      <c r="J916" s="3">
        <v>1525096</v>
      </c>
      <c r="K916" s="3">
        <v>307500.59999999998</v>
      </c>
      <c r="L916" t="s">
        <v>17</v>
      </c>
      <c r="M916">
        <v>4</v>
      </c>
    </row>
    <row r="917" spans="1:13" x14ac:dyDescent="0.25">
      <c r="A917">
        <v>916</v>
      </c>
      <c r="B917" s="1">
        <v>42695</v>
      </c>
      <c r="C917" s="1">
        <v>42967</v>
      </c>
      <c r="D917" t="s">
        <v>22</v>
      </c>
      <c r="E917" t="s">
        <v>29</v>
      </c>
      <c r="F917" s="2">
        <v>151</v>
      </c>
      <c r="G917" t="s">
        <v>12</v>
      </c>
      <c r="H917" s="3">
        <v>59369.8</v>
      </c>
      <c r="I917" s="3">
        <v>1547580</v>
      </c>
      <c r="J917" s="3">
        <v>1238064</v>
      </c>
      <c r="K917" s="3">
        <v>250146.2</v>
      </c>
      <c r="L917" t="s">
        <v>18</v>
      </c>
      <c r="M917">
        <v>4</v>
      </c>
    </row>
    <row r="918" spans="1:13" x14ac:dyDescent="0.25">
      <c r="A918">
        <v>917</v>
      </c>
      <c r="B918" s="1">
        <v>42695</v>
      </c>
      <c r="C918" s="1">
        <v>42975</v>
      </c>
      <c r="D918" t="s">
        <v>21</v>
      </c>
      <c r="E918" t="s">
        <v>24</v>
      </c>
      <c r="F918" s="2">
        <v>257</v>
      </c>
      <c r="G918" t="s">
        <v>12</v>
      </c>
      <c r="H918" s="3">
        <v>68025.279999999999</v>
      </c>
      <c r="I918" s="3">
        <v>1756242</v>
      </c>
      <c r="J918" s="3">
        <v>1404993.6</v>
      </c>
      <c r="K918" s="3">
        <v>283223.11999999988</v>
      </c>
      <c r="L918" t="s">
        <v>15</v>
      </c>
      <c r="M918">
        <v>4.7</v>
      </c>
    </row>
    <row r="919" spans="1:13" x14ac:dyDescent="0.25">
      <c r="A919">
        <v>918</v>
      </c>
      <c r="B919" s="1">
        <v>42696</v>
      </c>
      <c r="C919" s="1">
        <v>42915</v>
      </c>
      <c r="D919" t="s">
        <v>20</v>
      </c>
      <c r="E919" t="s">
        <v>28</v>
      </c>
      <c r="F919" s="2">
        <v>193</v>
      </c>
      <c r="G919" t="s">
        <v>12</v>
      </c>
      <c r="H919" s="3">
        <v>65695.56</v>
      </c>
      <c r="I919" s="3">
        <v>1698574</v>
      </c>
      <c r="J919" s="3">
        <v>1358859.2</v>
      </c>
      <c r="K919" s="3">
        <v>274019.24000000005</v>
      </c>
      <c r="L919" t="s">
        <v>14</v>
      </c>
      <c r="M919">
        <v>4.3</v>
      </c>
    </row>
    <row r="920" spans="1:13" x14ac:dyDescent="0.25">
      <c r="A920">
        <v>919</v>
      </c>
      <c r="B920" s="1">
        <v>42696</v>
      </c>
      <c r="C920" s="1">
        <v>43019</v>
      </c>
      <c r="D920" t="s">
        <v>20</v>
      </c>
      <c r="E920" t="s">
        <v>26</v>
      </c>
      <c r="F920" s="2">
        <v>264</v>
      </c>
      <c r="G920" t="s">
        <v>12</v>
      </c>
      <c r="H920" s="3">
        <v>51676.4</v>
      </c>
      <c r="I920" s="3">
        <v>1348145</v>
      </c>
      <c r="J920" s="3">
        <v>1078516</v>
      </c>
      <c r="K920" s="3">
        <v>217952.6</v>
      </c>
      <c r="L920" t="s">
        <v>18</v>
      </c>
      <c r="M920">
        <v>3.7</v>
      </c>
    </row>
    <row r="921" spans="1:13" x14ac:dyDescent="0.25">
      <c r="A921">
        <v>920</v>
      </c>
      <c r="B921" s="1">
        <v>42697</v>
      </c>
      <c r="C921" s="1">
        <v>42955</v>
      </c>
      <c r="D921" t="s">
        <v>21</v>
      </c>
      <c r="E921" t="s">
        <v>27</v>
      </c>
      <c r="F921" s="2">
        <v>131</v>
      </c>
      <c r="G921" t="s">
        <v>12</v>
      </c>
      <c r="H921" s="3">
        <v>48710.68</v>
      </c>
      <c r="I921" s="3">
        <v>1278527</v>
      </c>
      <c r="J921" s="3">
        <v>1022821.6</v>
      </c>
      <c r="K921" s="3">
        <v>206994.72000000003</v>
      </c>
      <c r="L921" t="s">
        <v>19</v>
      </c>
      <c r="M921">
        <v>3.8</v>
      </c>
    </row>
    <row r="922" spans="1:13" x14ac:dyDescent="0.25">
      <c r="A922">
        <v>921</v>
      </c>
      <c r="B922" s="1">
        <v>42698</v>
      </c>
      <c r="C922" s="1">
        <v>42902</v>
      </c>
      <c r="D922" t="s">
        <v>20</v>
      </c>
      <c r="E922" t="s">
        <v>28</v>
      </c>
      <c r="F922" s="2">
        <v>158</v>
      </c>
      <c r="G922" t="s">
        <v>12</v>
      </c>
      <c r="H922" s="3">
        <v>49874.2</v>
      </c>
      <c r="I922" s="3">
        <v>1309515</v>
      </c>
      <c r="J922" s="3">
        <v>1047612</v>
      </c>
      <c r="K922" s="3">
        <v>212028.79999999999</v>
      </c>
      <c r="L922" t="s">
        <v>19</v>
      </c>
      <c r="M922">
        <v>4.2</v>
      </c>
    </row>
    <row r="923" spans="1:13" x14ac:dyDescent="0.25">
      <c r="A923">
        <v>922</v>
      </c>
      <c r="B923" s="1">
        <v>42698</v>
      </c>
      <c r="C923" s="1">
        <v>42866</v>
      </c>
      <c r="D923" t="s">
        <v>20</v>
      </c>
      <c r="E923" t="s">
        <v>28</v>
      </c>
      <c r="F923" s="2">
        <v>214</v>
      </c>
      <c r="G923" t="s">
        <v>12</v>
      </c>
      <c r="H923" s="3">
        <v>48709.08</v>
      </c>
      <c r="I923" s="3">
        <v>1274687</v>
      </c>
      <c r="J923" s="3">
        <v>1019749.6</v>
      </c>
      <c r="K923" s="3">
        <v>206228.32</v>
      </c>
      <c r="L923" t="s">
        <v>16</v>
      </c>
      <c r="M923">
        <v>4.0999999999999996</v>
      </c>
    </row>
    <row r="924" spans="1:13" x14ac:dyDescent="0.25">
      <c r="A924">
        <v>923</v>
      </c>
      <c r="B924" s="1">
        <v>42698</v>
      </c>
      <c r="C924" s="1">
        <v>42925</v>
      </c>
      <c r="D924" t="s">
        <v>21</v>
      </c>
      <c r="E924" t="s">
        <v>24</v>
      </c>
      <c r="F924" s="2">
        <v>250</v>
      </c>
      <c r="G924" t="s">
        <v>12</v>
      </c>
      <c r="H924" s="3">
        <v>56951.68</v>
      </c>
      <c r="I924" s="3">
        <v>1477227</v>
      </c>
      <c r="J924" s="3">
        <v>1181781.6000000001</v>
      </c>
      <c r="K924" s="3">
        <v>238493.71999999991</v>
      </c>
      <c r="L924" t="s">
        <v>14</v>
      </c>
      <c r="M924">
        <v>3.6</v>
      </c>
    </row>
    <row r="925" spans="1:13" x14ac:dyDescent="0.25">
      <c r="A925">
        <v>924</v>
      </c>
      <c r="B925" s="1">
        <v>42699</v>
      </c>
      <c r="C925" s="1">
        <v>42865</v>
      </c>
      <c r="D925" t="s">
        <v>21</v>
      </c>
      <c r="E925" t="s">
        <v>27</v>
      </c>
      <c r="F925" s="2">
        <v>279</v>
      </c>
      <c r="G925" t="s">
        <v>12</v>
      </c>
      <c r="H925" s="3">
        <v>87518.36</v>
      </c>
      <c r="I925" s="3">
        <v>2250394</v>
      </c>
      <c r="J925" s="3">
        <v>1800315.2</v>
      </c>
      <c r="K925" s="3">
        <v>362560.44000000006</v>
      </c>
      <c r="L925" t="s">
        <v>19</v>
      </c>
      <c r="M925">
        <v>4</v>
      </c>
    </row>
    <row r="926" spans="1:13" x14ac:dyDescent="0.25">
      <c r="A926">
        <v>925</v>
      </c>
      <c r="B926" s="1">
        <v>42699</v>
      </c>
      <c r="C926" s="1">
        <v>43019</v>
      </c>
      <c r="D926" t="s">
        <v>23</v>
      </c>
      <c r="E926" t="s">
        <v>27</v>
      </c>
      <c r="F926" s="2">
        <v>295</v>
      </c>
      <c r="G926" t="s">
        <v>12</v>
      </c>
      <c r="H926" s="3">
        <v>80779.48</v>
      </c>
      <c r="I926" s="3">
        <v>2075997</v>
      </c>
      <c r="J926" s="3">
        <v>1660797.6</v>
      </c>
      <c r="K926" s="3">
        <v>334419.91999999993</v>
      </c>
      <c r="L926" t="s">
        <v>16</v>
      </c>
      <c r="M926">
        <v>4.5</v>
      </c>
    </row>
    <row r="927" spans="1:13" x14ac:dyDescent="0.25">
      <c r="A927">
        <v>926</v>
      </c>
      <c r="B927" s="1">
        <v>42699</v>
      </c>
      <c r="C927" s="1">
        <v>43027</v>
      </c>
      <c r="D927" t="s">
        <v>20</v>
      </c>
      <c r="E927" t="s">
        <v>27</v>
      </c>
      <c r="F927" s="2">
        <v>292</v>
      </c>
      <c r="G927" t="s">
        <v>12</v>
      </c>
      <c r="H927" s="3">
        <v>94254</v>
      </c>
      <c r="I927" s="3">
        <v>2413035</v>
      </c>
      <c r="J927" s="3">
        <v>1930428</v>
      </c>
      <c r="K927" s="3">
        <v>388353</v>
      </c>
      <c r="L927" t="s">
        <v>19</v>
      </c>
      <c r="M927">
        <v>3.6</v>
      </c>
    </row>
    <row r="928" spans="1:13" x14ac:dyDescent="0.25">
      <c r="A928">
        <v>927</v>
      </c>
      <c r="B928" s="1">
        <v>42699</v>
      </c>
      <c r="C928" s="1">
        <v>42810</v>
      </c>
      <c r="D928" t="s">
        <v>23</v>
      </c>
      <c r="E928" t="s">
        <v>26</v>
      </c>
      <c r="F928" s="2">
        <v>144</v>
      </c>
      <c r="G928" t="s">
        <v>11</v>
      </c>
      <c r="H928" s="3">
        <v>27623</v>
      </c>
      <c r="I928" s="3">
        <v>746185</v>
      </c>
      <c r="J928" s="3">
        <v>596948</v>
      </c>
      <c r="K928" s="3">
        <v>121614</v>
      </c>
      <c r="L928" t="s">
        <v>14</v>
      </c>
      <c r="M928">
        <v>3.6</v>
      </c>
    </row>
    <row r="929" spans="1:13" x14ac:dyDescent="0.25">
      <c r="A929">
        <v>928</v>
      </c>
      <c r="B929" s="1">
        <v>42700</v>
      </c>
      <c r="C929" s="1">
        <v>42892</v>
      </c>
      <c r="D929" t="s">
        <v>21</v>
      </c>
      <c r="E929" t="s">
        <v>13</v>
      </c>
      <c r="F929" s="2">
        <v>277</v>
      </c>
      <c r="G929" t="s">
        <v>12</v>
      </c>
      <c r="H929" s="3">
        <v>63474.879999999997</v>
      </c>
      <c r="I929" s="3">
        <v>1652132</v>
      </c>
      <c r="J929" s="3">
        <v>1321705.6000000001</v>
      </c>
      <c r="K929" s="3">
        <v>266951.5199999999</v>
      </c>
      <c r="L929" t="s">
        <v>16</v>
      </c>
      <c r="M929">
        <v>4.2</v>
      </c>
    </row>
    <row r="930" spans="1:13" x14ac:dyDescent="0.25">
      <c r="A930">
        <v>929</v>
      </c>
      <c r="B930" s="1">
        <v>42701</v>
      </c>
      <c r="C930" s="1">
        <v>43037</v>
      </c>
      <c r="D930" t="s">
        <v>22</v>
      </c>
      <c r="E930" t="s">
        <v>25</v>
      </c>
      <c r="F930" s="2">
        <v>67</v>
      </c>
      <c r="G930" t="s">
        <v>11</v>
      </c>
      <c r="H930" s="3">
        <v>15173.4</v>
      </c>
      <c r="I930" s="3">
        <v>446745</v>
      </c>
      <c r="J930" s="3">
        <v>357396</v>
      </c>
      <c r="K930" s="3">
        <v>74175.600000000006</v>
      </c>
      <c r="L930" t="s">
        <v>14</v>
      </c>
      <c r="M930">
        <v>4.3</v>
      </c>
    </row>
    <row r="931" spans="1:13" x14ac:dyDescent="0.25">
      <c r="A931">
        <v>930</v>
      </c>
      <c r="B931" s="1">
        <v>42701</v>
      </c>
      <c r="C931" s="1">
        <v>42799</v>
      </c>
      <c r="D931" t="s">
        <v>20</v>
      </c>
      <c r="E931" t="s">
        <v>26</v>
      </c>
      <c r="F931" s="2">
        <v>156</v>
      </c>
      <c r="G931" t="s">
        <v>12</v>
      </c>
      <c r="H931" s="3">
        <v>63065.48</v>
      </c>
      <c r="I931" s="3">
        <v>1641172</v>
      </c>
      <c r="J931" s="3">
        <v>1312937.6000000001</v>
      </c>
      <c r="K931" s="3">
        <v>265168.91999999993</v>
      </c>
      <c r="L931" t="s">
        <v>19</v>
      </c>
      <c r="M931">
        <v>3.7</v>
      </c>
    </row>
    <row r="932" spans="1:13" x14ac:dyDescent="0.25">
      <c r="A932">
        <v>931</v>
      </c>
      <c r="B932" s="1">
        <v>42701</v>
      </c>
      <c r="C932" s="1">
        <v>43052</v>
      </c>
      <c r="D932" t="s">
        <v>23</v>
      </c>
      <c r="E932" t="s">
        <v>26</v>
      </c>
      <c r="F932" s="2">
        <v>219</v>
      </c>
      <c r="G932" t="s">
        <v>12</v>
      </c>
      <c r="H932" s="3">
        <v>81518.36</v>
      </c>
      <c r="I932" s="3">
        <v>2089869</v>
      </c>
      <c r="J932" s="3">
        <v>1671895.2</v>
      </c>
      <c r="K932" s="3">
        <v>336455.44000000006</v>
      </c>
      <c r="L932" t="s">
        <v>14</v>
      </c>
      <c r="M932">
        <v>4.5</v>
      </c>
    </row>
    <row r="933" spans="1:13" x14ac:dyDescent="0.25">
      <c r="A933">
        <v>932</v>
      </c>
      <c r="B933" s="1">
        <v>42703</v>
      </c>
      <c r="C933" s="1">
        <v>42848</v>
      </c>
      <c r="D933" t="s">
        <v>21</v>
      </c>
      <c r="E933" t="s">
        <v>26</v>
      </c>
      <c r="F933" s="2">
        <v>115</v>
      </c>
      <c r="G933" t="s">
        <v>11</v>
      </c>
      <c r="H933" s="3">
        <v>29558.400000000001</v>
      </c>
      <c r="I933" s="3">
        <v>790920</v>
      </c>
      <c r="J933" s="3">
        <v>632736</v>
      </c>
      <c r="K933" s="3">
        <v>128625.60000000001</v>
      </c>
      <c r="L933" t="s">
        <v>16</v>
      </c>
      <c r="M933">
        <v>4.2</v>
      </c>
    </row>
    <row r="934" spans="1:13" x14ac:dyDescent="0.25">
      <c r="A934">
        <v>933</v>
      </c>
      <c r="B934" s="1">
        <v>42703</v>
      </c>
      <c r="C934" s="1">
        <v>43025</v>
      </c>
      <c r="D934" t="s">
        <v>21</v>
      </c>
      <c r="E934" t="s">
        <v>27</v>
      </c>
      <c r="F934" s="2">
        <v>144</v>
      </c>
      <c r="G934" t="s">
        <v>12</v>
      </c>
      <c r="H934" s="3">
        <v>30785</v>
      </c>
      <c r="I934" s="3">
        <v>831485</v>
      </c>
      <c r="J934" s="3">
        <v>665188</v>
      </c>
      <c r="K934" s="3">
        <v>135512</v>
      </c>
      <c r="L934" t="s">
        <v>19</v>
      </c>
      <c r="M934">
        <v>4.0999999999999996</v>
      </c>
    </row>
    <row r="935" spans="1:13" x14ac:dyDescent="0.25">
      <c r="A935">
        <v>934</v>
      </c>
      <c r="B935" s="1">
        <v>42703</v>
      </c>
      <c r="C935" s="1">
        <v>43018</v>
      </c>
      <c r="D935" t="s">
        <v>23</v>
      </c>
      <c r="E935" t="s">
        <v>13</v>
      </c>
      <c r="F935" s="2">
        <v>223</v>
      </c>
      <c r="G935" t="s">
        <v>12</v>
      </c>
      <c r="H935" s="3">
        <v>87443.6</v>
      </c>
      <c r="I935" s="3">
        <v>2249225</v>
      </c>
      <c r="J935" s="3">
        <v>1799380</v>
      </c>
      <c r="K935" s="3">
        <v>362401.4</v>
      </c>
      <c r="L935" t="s">
        <v>17</v>
      </c>
      <c r="M935">
        <v>3.7</v>
      </c>
    </row>
    <row r="936" spans="1:13" x14ac:dyDescent="0.25">
      <c r="A936">
        <v>935</v>
      </c>
      <c r="B936" s="1">
        <v>42704</v>
      </c>
      <c r="C936" s="1">
        <v>42895</v>
      </c>
      <c r="D936" t="s">
        <v>20</v>
      </c>
      <c r="E936" t="s">
        <v>13</v>
      </c>
      <c r="F936" s="2">
        <v>158</v>
      </c>
      <c r="G936" t="s">
        <v>12</v>
      </c>
      <c r="H936" s="3">
        <v>54034.32</v>
      </c>
      <c r="I936" s="3">
        <v>1409493</v>
      </c>
      <c r="J936" s="3">
        <v>1127594.3999999999</v>
      </c>
      <c r="K936" s="3">
        <v>227864.28000000009</v>
      </c>
      <c r="L936" t="s">
        <v>15</v>
      </c>
      <c r="M936">
        <v>4.0999999999999996</v>
      </c>
    </row>
    <row r="937" spans="1:13" x14ac:dyDescent="0.25">
      <c r="A937">
        <v>936</v>
      </c>
      <c r="B937" s="1">
        <v>42705</v>
      </c>
      <c r="C937" s="1">
        <v>43040</v>
      </c>
      <c r="D937" t="s">
        <v>22</v>
      </c>
      <c r="E937" t="s">
        <v>13</v>
      </c>
      <c r="F937" s="2">
        <v>110</v>
      </c>
      <c r="G937" t="s">
        <v>11</v>
      </c>
      <c r="H937" s="3">
        <v>22236.6</v>
      </c>
      <c r="I937" s="3">
        <v>609525</v>
      </c>
      <c r="J937" s="3">
        <v>487620</v>
      </c>
      <c r="K937" s="3">
        <v>99668.4</v>
      </c>
      <c r="L937" t="s">
        <v>18</v>
      </c>
      <c r="M937">
        <v>3.9</v>
      </c>
    </row>
    <row r="938" spans="1:13" x14ac:dyDescent="0.25">
      <c r="A938">
        <v>937</v>
      </c>
      <c r="B938" s="1">
        <v>42705</v>
      </c>
      <c r="C938" s="1">
        <v>43028</v>
      </c>
      <c r="D938" t="s">
        <v>22</v>
      </c>
      <c r="E938" t="s">
        <v>29</v>
      </c>
      <c r="F938" s="2">
        <v>269</v>
      </c>
      <c r="G938" t="s">
        <v>12</v>
      </c>
      <c r="H938" s="3">
        <v>76418.080000000002</v>
      </c>
      <c r="I938" s="3">
        <v>1969037</v>
      </c>
      <c r="J938" s="3">
        <v>1575229.6</v>
      </c>
      <c r="K938" s="3">
        <v>317389.31999999989</v>
      </c>
      <c r="L938" t="s">
        <v>18</v>
      </c>
      <c r="M938">
        <v>3.6</v>
      </c>
    </row>
    <row r="939" spans="1:13" x14ac:dyDescent="0.25">
      <c r="A939">
        <v>938</v>
      </c>
      <c r="B939" s="1">
        <v>42705</v>
      </c>
      <c r="C939" s="1">
        <v>42818</v>
      </c>
      <c r="D939" t="s">
        <v>20</v>
      </c>
      <c r="E939" t="s">
        <v>26</v>
      </c>
      <c r="F939" s="2">
        <v>155</v>
      </c>
      <c r="G939" t="s">
        <v>12</v>
      </c>
      <c r="H939" s="3">
        <v>29704.959999999999</v>
      </c>
      <c r="I939" s="3">
        <v>803259</v>
      </c>
      <c r="J939" s="3">
        <v>642607.19999999995</v>
      </c>
      <c r="K939" s="3">
        <v>130946.84000000005</v>
      </c>
      <c r="L939" t="s">
        <v>15</v>
      </c>
      <c r="M939">
        <v>4.8</v>
      </c>
    </row>
    <row r="940" spans="1:13" x14ac:dyDescent="0.25">
      <c r="A940">
        <v>939</v>
      </c>
      <c r="B940" s="1">
        <v>42705</v>
      </c>
      <c r="C940" s="1">
        <v>42872</v>
      </c>
      <c r="D940" t="s">
        <v>23</v>
      </c>
      <c r="E940" t="s">
        <v>24</v>
      </c>
      <c r="F940" s="2">
        <v>210</v>
      </c>
      <c r="G940" t="s">
        <v>12</v>
      </c>
      <c r="H940" s="3">
        <v>77354.399999999994</v>
      </c>
      <c r="I940" s="3">
        <v>1998845</v>
      </c>
      <c r="J940" s="3">
        <v>1599076</v>
      </c>
      <c r="K940" s="3">
        <v>322414.59999999998</v>
      </c>
      <c r="L940" t="s">
        <v>15</v>
      </c>
      <c r="M940">
        <v>4.4000000000000004</v>
      </c>
    </row>
    <row r="941" spans="1:13" x14ac:dyDescent="0.25">
      <c r="A941">
        <v>940</v>
      </c>
      <c r="B941" s="1">
        <v>42706</v>
      </c>
      <c r="C941" s="1">
        <v>42927</v>
      </c>
      <c r="D941" t="s">
        <v>20</v>
      </c>
      <c r="E941" t="s">
        <v>29</v>
      </c>
      <c r="F941" s="2">
        <v>245</v>
      </c>
      <c r="G941" t="s">
        <v>12</v>
      </c>
      <c r="H941" s="3">
        <v>65392.88</v>
      </c>
      <c r="I941" s="3">
        <v>1699307</v>
      </c>
      <c r="J941" s="3">
        <v>1359445.6</v>
      </c>
      <c r="K941" s="3">
        <v>274468.5199999999</v>
      </c>
      <c r="L941" t="s">
        <v>19</v>
      </c>
      <c r="M941">
        <v>4.0999999999999996</v>
      </c>
    </row>
    <row r="942" spans="1:13" x14ac:dyDescent="0.25">
      <c r="A942">
        <v>941</v>
      </c>
      <c r="B942" s="1">
        <v>42706</v>
      </c>
      <c r="C942" s="1">
        <v>42866</v>
      </c>
      <c r="D942" t="s">
        <v>20</v>
      </c>
      <c r="E942" t="s">
        <v>13</v>
      </c>
      <c r="F942" s="2">
        <v>64</v>
      </c>
      <c r="G942" t="s">
        <v>11</v>
      </c>
      <c r="H942" s="3">
        <v>23673.759999999998</v>
      </c>
      <c r="I942" s="3">
        <v>650729</v>
      </c>
      <c r="J942" s="3">
        <v>520583.2</v>
      </c>
      <c r="K942" s="3">
        <v>106472.04</v>
      </c>
      <c r="L942" t="s">
        <v>17</v>
      </c>
      <c r="M942">
        <v>4.4000000000000004</v>
      </c>
    </row>
    <row r="943" spans="1:13" x14ac:dyDescent="0.25">
      <c r="A943">
        <v>942</v>
      </c>
      <c r="B943" s="1">
        <v>42706</v>
      </c>
      <c r="C943" s="1">
        <v>42854</v>
      </c>
      <c r="D943" t="s">
        <v>20</v>
      </c>
      <c r="E943" t="s">
        <v>27</v>
      </c>
      <c r="F943" s="2">
        <v>172</v>
      </c>
      <c r="G943" t="s">
        <v>12</v>
      </c>
      <c r="H943" s="3">
        <v>58232.6</v>
      </c>
      <c r="I943" s="3">
        <v>1522400</v>
      </c>
      <c r="J943" s="3">
        <v>1217920</v>
      </c>
      <c r="K943" s="3">
        <v>246247.4</v>
      </c>
      <c r="L943" t="s">
        <v>14</v>
      </c>
      <c r="M943">
        <v>4.4000000000000004</v>
      </c>
    </row>
    <row r="944" spans="1:13" x14ac:dyDescent="0.25">
      <c r="A944">
        <v>943</v>
      </c>
      <c r="B944" s="1">
        <v>42707</v>
      </c>
      <c r="C944" s="1">
        <v>42902</v>
      </c>
      <c r="D944" t="s">
        <v>21</v>
      </c>
      <c r="E944" t="s">
        <v>28</v>
      </c>
      <c r="F944" s="2">
        <v>262</v>
      </c>
      <c r="G944" t="s">
        <v>12</v>
      </c>
      <c r="H944" s="3">
        <v>49773</v>
      </c>
      <c r="I944" s="3">
        <v>1309485</v>
      </c>
      <c r="J944" s="3">
        <v>1047588</v>
      </c>
      <c r="K944" s="3">
        <v>212124</v>
      </c>
      <c r="L944" t="s">
        <v>14</v>
      </c>
      <c r="M944">
        <v>4.5999999999999996</v>
      </c>
    </row>
    <row r="945" spans="1:13" x14ac:dyDescent="0.25">
      <c r="A945">
        <v>944</v>
      </c>
      <c r="B945" s="1">
        <v>42707</v>
      </c>
      <c r="C945" s="1">
        <v>43070</v>
      </c>
      <c r="D945" t="s">
        <v>20</v>
      </c>
      <c r="E945" t="s">
        <v>27</v>
      </c>
      <c r="F945" s="2">
        <v>60</v>
      </c>
      <c r="G945" t="s">
        <v>11</v>
      </c>
      <c r="H945" s="3">
        <v>21691.200000000001</v>
      </c>
      <c r="I945" s="3">
        <v>594515</v>
      </c>
      <c r="J945" s="3">
        <v>475612</v>
      </c>
      <c r="K945" s="3">
        <v>97211.8</v>
      </c>
      <c r="L945" t="s">
        <v>14</v>
      </c>
      <c r="M945">
        <v>4.5</v>
      </c>
    </row>
    <row r="946" spans="1:13" x14ac:dyDescent="0.25">
      <c r="A946">
        <v>945</v>
      </c>
      <c r="B946" s="1">
        <v>42708</v>
      </c>
      <c r="C946" s="1">
        <v>42820</v>
      </c>
      <c r="D946" t="s">
        <v>22</v>
      </c>
      <c r="E946" t="s">
        <v>29</v>
      </c>
      <c r="F946" s="2">
        <v>155</v>
      </c>
      <c r="G946" t="s">
        <v>12</v>
      </c>
      <c r="H946" s="3">
        <v>34955.519999999997</v>
      </c>
      <c r="I946" s="3">
        <v>931373</v>
      </c>
      <c r="J946" s="3">
        <v>745098.4</v>
      </c>
      <c r="K946" s="3">
        <v>151319.07999999999</v>
      </c>
      <c r="L946" t="s">
        <v>15</v>
      </c>
      <c r="M946">
        <v>4.4000000000000004</v>
      </c>
    </row>
    <row r="947" spans="1:13" x14ac:dyDescent="0.25">
      <c r="A947">
        <v>946</v>
      </c>
      <c r="B947" s="1">
        <v>42708</v>
      </c>
      <c r="C947" s="1">
        <v>42991</v>
      </c>
      <c r="D947" t="s">
        <v>20</v>
      </c>
      <c r="E947" t="s">
        <v>24</v>
      </c>
      <c r="F947" s="2">
        <v>239</v>
      </c>
      <c r="G947" t="s">
        <v>12</v>
      </c>
      <c r="H947" s="3">
        <v>57102.04</v>
      </c>
      <c r="I947" s="3">
        <v>1484036</v>
      </c>
      <c r="J947" s="3">
        <v>1187228.8</v>
      </c>
      <c r="K947" s="3">
        <v>239705.15999999995</v>
      </c>
      <c r="L947" t="s">
        <v>15</v>
      </c>
      <c r="M947">
        <v>4.9000000000000004</v>
      </c>
    </row>
    <row r="948" spans="1:13" x14ac:dyDescent="0.25">
      <c r="A948">
        <v>947</v>
      </c>
      <c r="B948" s="1">
        <v>42708</v>
      </c>
      <c r="C948" s="1">
        <v>42819</v>
      </c>
      <c r="D948" t="s">
        <v>22</v>
      </c>
      <c r="E948" t="s">
        <v>27</v>
      </c>
      <c r="F948" s="2">
        <v>96</v>
      </c>
      <c r="G948" t="s">
        <v>11</v>
      </c>
      <c r="H948" s="3">
        <v>18254.96</v>
      </c>
      <c r="I948" s="3">
        <v>511109</v>
      </c>
      <c r="J948" s="3">
        <v>408887.2</v>
      </c>
      <c r="K948" s="3">
        <v>83966.84</v>
      </c>
      <c r="L948" t="s">
        <v>14</v>
      </c>
      <c r="M948">
        <v>4.4000000000000004</v>
      </c>
    </row>
    <row r="949" spans="1:13" x14ac:dyDescent="0.25">
      <c r="A949">
        <v>948</v>
      </c>
      <c r="B949" s="1">
        <v>42709</v>
      </c>
      <c r="C949" s="1">
        <v>42923</v>
      </c>
      <c r="D949" t="s">
        <v>21</v>
      </c>
      <c r="E949" t="s">
        <v>29</v>
      </c>
      <c r="F949" s="2">
        <v>234</v>
      </c>
      <c r="G949" t="s">
        <v>12</v>
      </c>
      <c r="H949" s="3">
        <v>68328.88</v>
      </c>
      <c r="I949" s="3">
        <v>1762082</v>
      </c>
      <c r="J949" s="3">
        <v>1409665.6</v>
      </c>
      <c r="K949" s="3">
        <v>284087.5199999999</v>
      </c>
      <c r="L949" t="s">
        <v>15</v>
      </c>
      <c r="M949">
        <v>4.8</v>
      </c>
    </row>
    <row r="950" spans="1:13" x14ac:dyDescent="0.25">
      <c r="A950">
        <v>949</v>
      </c>
      <c r="B950" s="1">
        <v>42709</v>
      </c>
      <c r="C950" s="1">
        <v>42943</v>
      </c>
      <c r="D950" t="s">
        <v>22</v>
      </c>
      <c r="E950" t="s">
        <v>29</v>
      </c>
      <c r="F950" s="2">
        <v>202</v>
      </c>
      <c r="G950" t="s">
        <v>12</v>
      </c>
      <c r="H950" s="3">
        <v>48933.48</v>
      </c>
      <c r="I950" s="3">
        <v>1278047</v>
      </c>
      <c r="J950" s="3">
        <v>1022437.6</v>
      </c>
      <c r="K950" s="3">
        <v>206675.92</v>
      </c>
      <c r="L950" t="s">
        <v>18</v>
      </c>
      <c r="M950">
        <v>4.5</v>
      </c>
    </row>
    <row r="951" spans="1:13" x14ac:dyDescent="0.25">
      <c r="A951">
        <v>950</v>
      </c>
      <c r="B951" s="1">
        <v>42709</v>
      </c>
      <c r="C951" s="1">
        <v>42805</v>
      </c>
      <c r="D951" t="s">
        <v>21</v>
      </c>
      <c r="E951" t="s">
        <v>29</v>
      </c>
      <c r="F951" s="2">
        <v>226</v>
      </c>
      <c r="G951" t="s">
        <v>12</v>
      </c>
      <c r="H951" s="3">
        <v>85049.08</v>
      </c>
      <c r="I951" s="3">
        <v>2190337</v>
      </c>
      <c r="J951" s="3">
        <v>1752269.6</v>
      </c>
      <c r="K951" s="3">
        <v>353018.31999999989</v>
      </c>
      <c r="L951" t="s">
        <v>15</v>
      </c>
      <c r="M951">
        <v>4.7</v>
      </c>
    </row>
    <row r="952" spans="1:13" x14ac:dyDescent="0.25">
      <c r="A952">
        <v>951</v>
      </c>
      <c r="B952" s="1">
        <v>42710</v>
      </c>
      <c r="C952" s="1">
        <v>43019</v>
      </c>
      <c r="D952" t="s">
        <v>21</v>
      </c>
      <c r="E952" t="s">
        <v>24</v>
      </c>
      <c r="F952" s="2">
        <v>58</v>
      </c>
      <c r="G952" t="s">
        <v>11</v>
      </c>
      <c r="H952" s="3">
        <v>11700.2</v>
      </c>
      <c r="I952" s="3">
        <v>343740</v>
      </c>
      <c r="J952" s="3">
        <v>274992</v>
      </c>
      <c r="K952" s="3">
        <v>57047.8</v>
      </c>
      <c r="L952" t="s">
        <v>14</v>
      </c>
      <c r="M952">
        <v>3.9</v>
      </c>
    </row>
    <row r="953" spans="1:13" x14ac:dyDescent="0.25">
      <c r="A953">
        <v>952</v>
      </c>
      <c r="B953" s="1">
        <v>42711</v>
      </c>
      <c r="C953" s="1">
        <v>42904</v>
      </c>
      <c r="D953" t="s">
        <v>21</v>
      </c>
      <c r="E953" t="s">
        <v>13</v>
      </c>
      <c r="F953" s="2">
        <v>136</v>
      </c>
      <c r="G953" t="s">
        <v>12</v>
      </c>
      <c r="H953" s="3">
        <v>36998.32</v>
      </c>
      <c r="I953" s="3">
        <v>991293</v>
      </c>
      <c r="J953" s="3">
        <v>793034.4</v>
      </c>
      <c r="K953" s="3">
        <v>161260.27999999997</v>
      </c>
      <c r="L953" t="s">
        <v>18</v>
      </c>
      <c r="M953">
        <v>4</v>
      </c>
    </row>
    <row r="954" spans="1:13" x14ac:dyDescent="0.25">
      <c r="A954">
        <v>953</v>
      </c>
      <c r="B954" s="1">
        <v>42711</v>
      </c>
      <c r="C954" s="1">
        <v>43027</v>
      </c>
      <c r="D954" t="s">
        <v>21</v>
      </c>
      <c r="E954" t="s">
        <v>26</v>
      </c>
      <c r="F954" s="2">
        <v>233</v>
      </c>
      <c r="G954" t="s">
        <v>12</v>
      </c>
      <c r="H954" s="3">
        <v>59408.800000000003</v>
      </c>
      <c r="I954" s="3">
        <v>1546805</v>
      </c>
      <c r="J954" s="3">
        <v>1237444</v>
      </c>
      <c r="K954" s="3">
        <v>249952.2</v>
      </c>
      <c r="L954" t="s">
        <v>14</v>
      </c>
      <c r="M954">
        <v>4.8</v>
      </c>
    </row>
    <row r="955" spans="1:13" x14ac:dyDescent="0.25">
      <c r="A955">
        <v>954</v>
      </c>
      <c r="B955" s="1">
        <v>42712</v>
      </c>
      <c r="C955" s="1">
        <v>42996</v>
      </c>
      <c r="D955" t="s">
        <v>20</v>
      </c>
      <c r="E955" t="s">
        <v>27</v>
      </c>
      <c r="F955" s="2">
        <v>61</v>
      </c>
      <c r="G955" t="s">
        <v>11</v>
      </c>
      <c r="H955" s="3">
        <v>12348.24</v>
      </c>
      <c r="I955" s="3">
        <v>367441</v>
      </c>
      <c r="J955" s="3">
        <v>293952.8</v>
      </c>
      <c r="K955" s="3">
        <v>61139.960000000014</v>
      </c>
      <c r="L955" t="s">
        <v>18</v>
      </c>
      <c r="M955">
        <v>3.6</v>
      </c>
    </row>
    <row r="956" spans="1:13" x14ac:dyDescent="0.25">
      <c r="A956">
        <v>955</v>
      </c>
      <c r="B956" s="1">
        <v>42713</v>
      </c>
      <c r="C956" s="1">
        <v>42972</v>
      </c>
      <c r="D956" t="s">
        <v>20</v>
      </c>
      <c r="E956" t="s">
        <v>29</v>
      </c>
      <c r="F956" s="2">
        <v>194</v>
      </c>
      <c r="G956" t="s">
        <v>12</v>
      </c>
      <c r="H956" s="3">
        <v>76486</v>
      </c>
      <c r="I956" s="3">
        <v>1974885</v>
      </c>
      <c r="J956" s="3">
        <v>1579908</v>
      </c>
      <c r="K956" s="3">
        <v>318491</v>
      </c>
      <c r="L956" t="s">
        <v>18</v>
      </c>
      <c r="M956">
        <v>4</v>
      </c>
    </row>
    <row r="957" spans="1:13" x14ac:dyDescent="0.25">
      <c r="A957">
        <v>956</v>
      </c>
      <c r="B957" s="1">
        <v>42713</v>
      </c>
      <c r="C957" s="1">
        <v>42876</v>
      </c>
      <c r="D957" t="s">
        <v>20</v>
      </c>
      <c r="E957" t="s">
        <v>27</v>
      </c>
      <c r="F957" s="2">
        <v>76</v>
      </c>
      <c r="G957" t="s">
        <v>11</v>
      </c>
      <c r="H957" s="3">
        <v>19584.599999999999</v>
      </c>
      <c r="I957" s="3">
        <v>546325</v>
      </c>
      <c r="J957" s="3">
        <v>437060</v>
      </c>
      <c r="K957" s="3">
        <v>89680.4</v>
      </c>
      <c r="L957" t="s">
        <v>14</v>
      </c>
      <c r="M957">
        <v>3.8</v>
      </c>
    </row>
    <row r="958" spans="1:13" x14ac:dyDescent="0.25">
      <c r="A958">
        <v>957</v>
      </c>
      <c r="B958" s="1">
        <v>42713</v>
      </c>
      <c r="C958" s="1">
        <v>42946</v>
      </c>
      <c r="D958" t="s">
        <v>23</v>
      </c>
      <c r="E958" t="s">
        <v>28</v>
      </c>
      <c r="F958" s="2">
        <v>78</v>
      </c>
      <c r="G958" t="s">
        <v>11</v>
      </c>
      <c r="H958" s="3">
        <v>14082.4</v>
      </c>
      <c r="I958" s="3">
        <v>405245</v>
      </c>
      <c r="J958" s="3">
        <v>324196</v>
      </c>
      <c r="K958" s="3">
        <v>66966.600000000006</v>
      </c>
      <c r="L958" t="s">
        <v>19</v>
      </c>
      <c r="M958">
        <v>4</v>
      </c>
    </row>
    <row r="959" spans="1:13" x14ac:dyDescent="0.25">
      <c r="A959">
        <v>958</v>
      </c>
      <c r="B959" s="1">
        <v>42714</v>
      </c>
      <c r="C959" s="1">
        <v>42881</v>
      </c>
      <c r="D959" t="s">
        <v>22</v>
      </c>
      <c r="E959" t="s">
        <v>26</v>
      </c>
      <c r="F959" s="2">
        <v>223</v>
      </c>
      <c r="G959" t="s">
        <v>12</v>
      </c>
      <c r="H959" s="3">
        <v>41844.68</v>
      </c>
      <c r="I959" s="3">
        <v>1108152</v>
      </c>
      <c r="J959" s="3">
        <v>886521.6</v>
      </c>
      <c r="K959" s="3">
        <v>179785.72000000003</v>
      </c>
      <c r="L959" t="s">
        <v>14</v>
      </c>
      <c r="M959">
        <v>4.4000000000000004</v>
      </c>
    </row>
    <row r="960" spans="1:13" x14ac:dyDescent="0.25">
      <c r="A960">
        <v>959</v>
      </c>
      <c r="B960" s="1">
        <v>42714</v>
      </c>
      <c r="C960" s="1">
        <v>42871</v>
      </c>
      <c r="D960" t="s">
        <v>23</v>
      </c>
      <c r="E960" t="s">
        <v>26</v>
      </c>
      <c r="F960" s="2">
        <v>284</v>
      </c>
      <c r="G960" t="s">
        <v>12</v>
      </c>
      <c r="H960" s="3">
        <v>74308.039999999994</v>
      </c>
      <c r="I960" s="3">
        <v>1909361</v>
      </c>
      <c r="J960" s="3">
        <v>1527488.8</v>
      </c>
      <c r="K960" s="3">
        <v>307564.15999999997</v>
      </c>
      <c r="L960" t="s">
        <v>18</v>
      </c>
      <c r="M960">
        <v>4.0999999999999996</v>
      </c>
    </row>
    <row r="961" spans="1:13" x14ac:dyDescent="0.25">
      <c r="A961">
        <v>960</v>
      </c>
      <c r="B961" s="1">
        <v>42714</v>
      </c>
      <c r="C961" s="1">
        <v>42926</v>
      </c>
      <c r="D961" t="s">
        <v>23</v>
      </c>
      <c r="E961" t="s">
        <v>29</v>
      </c>
      <c r="F961" s="2">
        <v>270</v>
      </c>
      <c r="G961" t="s">
        <v>12</v>
      </c>
      <c r="H961" s="3">
        <v>68654</v>
      </c>
      <c r="I961" s="3">
        <v>1768985</v>
      </c>
      <c r="J961" s="3">
        <v>1415188</v>
      </c>
      <c r="K961" s="3">
        <v>285143</v>
      </c>
      <c r="L961" t="s">
        <v>16</v>
      </c>
      <c r="M961">
        <v>4.5</v>
      </c>
    </row>
    <row r="962" spans="1:13" x14ac:dyDescent="0.25">
      <c r="A962">
        <v>961</v>
      </c>
      <c r="B962" s="1">
        <v>42714</v>
      </c>
      <c r="C962" s="1">
        <v>43030</v>
      </c>
      <c r="D962" t="s">
        <v>23</v>
      </c>
      <c r="E962" t="s">
        <v>25</v>
      </c>
      <c r="F962" s="2">
        <v>89</v>
      </c>
      <c r="G962" t="s">
        <v>11</v>
      </c>
      <c r="H962" s="3">
        <v>20425.36</v>
      </c>
      <c r="I962" s="3">
        <v>572069</v>
      </c>
      <c r="J962" s="3">
        <v>457655.2</v>
      </c>
      <c r="K962" s="3">
        <v>93988.439999999988</v>
      </c>
      <c r="L962" t="s">
        <v>14</v>
      </c>
      <c r="M962">
        <v>4</v>
      </c>
    </row>
    <row r="963" spans="1:13" x14ac:dyDescent="0.25">
      <c r="A963">
        <v>962</v>
      </c>
      <c r="B963" s="1">
        <v>42714</v>
      </c>
      <c r="C963" s="1">
        <v>42929</v>
      </c>
      <c r="D963" t="s">
        <v>22</v>
      </c>
      <c r="E963" t="s">
        <v>26</v>
      </c>
      <c r="F963" s="2">
        <v>169</v>
      </c>
      <c r="G963" t="s">
        <v>12</v>
      </c>
      <c r="H963" s="3">
        <v>50211.68</v>
      </c>
      <c r="I963" s="3">
        <v>1308077</v>
      </c>
      <c r="J963" s="3">
        <v>1046461.6</v>
      </c>
      <c r="K963" s="3">
        <v>211403.72000000003</v>
      </c>
      <c r="L963" t="s">
        <v>16</v>
      </c>
      <c r="M963">
        <v>4.5999999999999996</v>
      </c>
    </row>
    <row r="964" spans="1:13" x14ac:dyDescent="0.25">
      <c r="A964">
        <v>963</v>
      </c>
      <c r="B964" s="1">
        <v>42715</v>
      </c>
      <c r="C964" s="1">
        <v>42883</v>
      </c>
      <c r="D964" t="s">
        <v>22</v>
      </c>
      <c r="E964" t="s">
        <v>13</v>
      </c>
      <c r="F964" s="2">
        <v>184</v>
      </c>
      <c r="G964" t="s">
        <v>12</v>
      </c>
      <c r="H964" s="3">
        <v>62713.8</v>
      </c>
      <c r="I964" s="3">
        <v>1630205</v>
      </c>
      <c r="J964" s="3">
        <v>1304164</v>
      </c>
      <c r="K964" s="3">
        <v>263327.2</v>
      </c>
      <c r="L964" t="s">
        <v>15</v>
      </c>
      <c r="M964">
        <v>3.8</v>
      </c>
    </row>
    <row r="965" spans="1:13" x14ac:dyDescent="0.25">
      <c r="A965">
        <v>964</v>
      </c>
      <c r="B965" s="1">
        <v>42715</v>
      </c>
      <c r="C965" s="1">
        <v>42931</v>
      </c>
      <c r="D965" t="s">
        <v>22</v>
      </c>
      <c r="E965" t="s">
        <v>29</v>
      </c>
      <c r="F965" s="2">
        <v>181</v>
      </c>
      <c r="G965" t="s">
        <v>12</v>
      </c>
      <c r="H965" s="3">
        <v>40800.6</v>
      </c>
      <c r="I965" s="3">
        <v>1075075</v>
      </c>
      <c r="J965" s="3">
        <v>860060</v>
      </c>
      <c r="K965" s="3">
        <v>174214.39999999999</v>
      </c>
      <c r="L965" t="s">
        <v>19</v>
      </c>
      <c r="M965">
        <v>4.7</v>
      </c>
    </row>
    <row r="966" spans="1:13" x14ac:dyDescent="0.25">
      <c r="A966">
        <v>965</v>
      </c>
      <c r="B966" s="1">
        <v>42715</v>
      </c>
      <c r="C966" s="1">
        <v>42962</v>
      </c>
      <c r="D966" t="s">
        <v>20</v>
      </c>
      <c r="E966" t="s">
        <v>26</v>
      </c>
      <c r="F966" s="2">
        <v>53</v>
      </c>
      <c r="G966" t="s">
        <v>11</v>
      </c>
      <c r="H966" s="3">
        <v>19884.64</v>
      </c>
      <c r="I966" s="3">
        <v>562101</v>
      </c>
      <c r="J966" s="3">
        <v>449680.8</v>
      </c>
      <c r="K966" s="3">
        <v>92535.560000000012</v>
      </c>
      <c r="L966" t="s">
        <v>16</v>
      </c>
      <c r="M966">
        <v>3.8</v>
      </c>
    </row>
    <row r="967" spans="1:13" x14ac:dyDescent="0.25">
      <c r="A967">
        <v>966</v>
      </c>
      <c r="B967" s="1">
        <v>42715</v>
      </c>
      <c r="C967" s="1">
        <v>42847</v>
      </c>
      <c r="D967" t="s">
        <v>23</v>
      </c>
      <c r="E967" t="s">
        <v>28</v>
      </c>
      <c r="F967" s="2">
        <v>208</v>
      </c>
      <c r="G967" t="s">
        <v>12</v>
      </c>
      <c r="H967" s="3">
        <v>78752.28</v>
      </c>
      <c r="I967" s="3">
        <v>2031017</v>
      </c>
      <c r="J967" s="3">
        <v>1624813.6</v>
      </c>
      <c r="K967" s="3">
        <v>327451.11999999988</v>
      </c>
      <c r="L967" t="s">
        <v>18</v>
      </c>
      <c r="M967">
        <v>3.6</v>
      </c>
    </row>
    <row r="968" spans="1:13" x14ac:dyDescent="0.25">
      <c r="A968">
        <v>967</v>
      </c>
      <c r="B968" s="1">
        <v>42716</v>
      </c>
      <c r="C968" s="1">
        <v>42812</v>
      </c>
      <c r="D968" t="s">
        <v>22</v>
      </c>
      <c r="E968" t="s">
        <v>29</v>
      </c>
      <c r="F968" s="2">
        <v>171</v>
      </c>
      <c r="G968" t="s">
        <v>11</v>
      </c>
      <c r="H968" s="3">
        <v>28193</v>
      </c>
      <c r="I968" s="3">
        <v>759410</v>
      </c>
      <c r="J968" s="3">
        <v>607528</v>
      </c>
      <c r="K968" s="3">
        <v>123689</v>
      </c>
      <c r="L968" t="s">
        <v>14</v>
      </c>
      <c r="M968">
        <v>3.8</v>
      </c>
    </row>
    <row r="969" spans="1:13" x14ac:dyDescent="0.25">
      <c r="A969">
        <v>968</v>
      </c>
      <c r="B969" s="1">
        <v>42716</v>
      </c>
      <c r="C969" s="1">
        <v>43011</v>
      </c>
      <c r="D969" t="s">
        <v>23</v>
      </c>
      <c r="E969" t="s">
        <v>27</v>
      </c>
      <c r="F969" s="2">
        <v>92</v>
      </c>
      <c r="G969" t="s">
        <v>12</v>
      </c>
      <c r="H969" s="3">
        <v>29679.96</v>
      </c>
      <c r="I969" s="3">
        <v>806309</v>
      </c>
      <c r="J969" s="3">
        <v>645047.19999999995</v>
      </c>
      <c r="K969" s="3">
        <v>131581.84000000005</v>
      </c>
      <c r="L969" t="s">
        <v>17</v>
      </c>
      <c r="M969">
        <v>5</v>
      </c>
    </row>
    <row r="970" spans="1:13" x14ac:dyDescent="0.25">
      <c r="A970">
        <v>969</v>
      </c>
      <c r="B970" s="1">
        <v>42718</v>
      </c>
      <c r="C970" s="1">
        <v>43030</v>
      </c>
      <c r="D970" t="s">
        <v>20</v>
      </c>
      <c r="E970" t="s">
        <v>29</v>
      </c>
      <c r="F970" s="2">
        <v>267</v>
      </c>
      <c r="G970" t="s">
        <v>12</v>
      </c>
      <c r="H970" s="3">
        <v>102384.08</v>
      </c>
      <c r="I970" s="3">
        <v>2618037</v>
      </c>
      <c r="J970" s="3">
        <v>2094429.6</v>
      </c>
      <c r="K970" s="3">
        <v>421223.31999999989</v>
      </c>
      <c r="L970" t="s">
        <v>15</v>
      </c>
      <c r="M970">
        <v>4.0999999999999996</v>
      </c>
    </row>
    <row r="971" spans="1:13" x14ac:dyDescent="0.25">
      <c r="A971">
        <v>970</v>
      </c>
      <c r="B971" s="1">
        <v>42718</v>
      </c>
      <c r="C971" s="1">
        <v>42893</v>
      </c>
      <c r="D971" t="s">
        <v>23</v>
      </c>
      <c r="E971" t="s">
        <v>24</v>
      </c>
      <c r="F971" s="2">
        <v>228</v>
      </c>
      <c r="G971" t="s">
        <v>12</v>
      </c>
      <c r="H971" s="3">
        <v>47048.32</v>
      </c>
      <c r="I971" s="3">
        <v>1229893</v>
      </c>
      <c r="J971" s="3">
        <v>983914.4</v>
      </c>
      <c r="K971" s="3">
        <v>198930.27999999997</v>
      </c>
      <c r="L971" t="s">
        <v>19</v>
      </c>
      <c r="M971">
        <v>4.3</v>
      </c>
    </row>
    <row r="972" spans="1:13" x14ac:dyDescent="0.25">
      <c r="A972">
        <v>971</v>
      </c>
      <c r="B972" s="1">
        <v>42718</v>
      </c>
      <c r="C972" s="1">
        <v>43000</v>
      </c>
      <c r="D972" t="s">
        <v>23</v>
      </c>
      <c r="E972" t="s">
        <v>28</v>
      </c>
      <c r="F972" s="2">
        <v>194</v>
      </c>
      <c r="G972" t="s">
        <v>12</v>
      </c>
      <c r="H972" s="3">
        <v>44712</v>
      </c>
      <c r="I972" s="3">
        <v>1182085</v>
      </c>
      <c r="J972" s="3">
        <v>945668</v>
      </c>
      <c r="K972" s="3">
        <v>191705</v>
      </c>
      <c r="L972" t="s">
        <v>18</v>
      </c>
      <c r="M972">
        <v>4.8</v>
      </c>
    </row>
    <row r="973" spans="1:13" x14ac:dyDescent="0.25">
      <c r="A973">
        <v>972</v>
      </c>
      <c r="B973" s="1">
        <v>42718</v>
      </c>
      <c r="C973" s="1">
        <v>42943</v>
      </c>
      <c r="D973" t="s">
        <v>21</v>
      </c>
      <c r="E973" t="s">
        <v>13</v>
      </c>
      <c r="F973" s="2">
        <v>213</v>
      </c>
      <c r="G973" t="s">
        <v>12</v>
      </c>
      <c r="H973" s="3">
        <v>41634.120000000003</v>
      </c>
      <c r="I973" s="3">
        <v>1095788</v>
      </c>
      <c r="J973" s="3">
        <v>876630.4</v>
      </c>
      <c r="K973" s="3">
        <v>177523.47999999998</v>
      </c>
      <c r="L973" t="s">
        <v>16</v>
      </c>
      <c r="M973">
        <v>3.7</v>
      </c>
    </row>
    <row r="974" spans="1:13" x14ac:dyDescent="0.25">
      <c r="A974">
        <v>973</v>
      </c>
      <c r="B974" s="1">
        <v>42719</v>
      </c>
      <c r="C974" s="1">
        <v>42967</v>
      </c>
      <c r="D974" t="s">
        <v>21</v>
      </c>
      <c r="E974" t="s">
        <v>24</v>
      </c>
      <c r="F974" s="2">
        <v>120</v>
      </c>
      <c r="G974" t="s">
        <v>11</v>
      </c>
      <c r="H974" s="3">
        <v>22856.68</v>
      </c>
      <c r="I974" s="3">
        <v>637127</v>
      </c>
      <c r="J974" s="3">
        <v>509701.6</v>
      </c>
      <c r="K974" s="3">
        <v>104568.72000000003</v>
      </c>
      <c r="L974" t="s">
        <v>17</v>
      </c>
      <c r="M974">
        <v>3.7</v>
      </c>
    </row>
    <row r="975" spans="1:13" x14ac:dyDescent="0.25">
      <c r="A975">
        <v>974</v>
      </c>
      <c r="B975" s="1">
        <v>42719</v>
      </c>
      <c r="C975" s="1">
        <v>43079</v>
      </c>
      <c r="D975" t="s">
        <v>23</v>
      </c>
      <c r="E975" t="s">
        <v>25</v>
      </c>
      <c r="F975" s="2">
        <v>125</v>
      </c>
      <c r="G975" t="s">
        <v>12</v>
      </c>
      <c r="H975" s="3">
        <v>36200.76</v>
      </c>
      <c r="I975" s="3">
        <v>956629</v>
      </c>
      <c r="J975" s="3">
        <v>765303.2</v>
      </c>
      <c r="K975" s="3">
        <v>155125.04000000004</v>
      </c>
      <c r="L975" t="s">
        <v>17</v>
      </c>
      <c r="M975">
        <v>4.8</v>
      </c>
    </row>
    <row r="976" spans="1:13" x14ac:dyDescent="0.25">
      <c r="A976">
        <v>975</v>
      </c>
      <c r="B976" s="1">
        <v>42720</v>
      </c>
      <c r="C976" s="1">
        <v>42946</v>
      </c>
      <c r="D976" t="s">
        <v>23</v>
      </c>
      <c r="E976" t="s">
        <v>13</v>
      </c>
      <c r="F976" s="2">
        <v>73</v>
      </c>
      <c r="G976" t="s">
        <v>11</v>
      </c>
      <c r="H976" s="3">
        <v>15251.52</v>
      </c>
      <c r="I976" s="3">
        <v>446048</v>
      </c>
      <c r="J976" s="3">
        <v>356838.40000000002</v>
      </c>
      <c r="K976" s="3">
        <v>73958.079999999973</v>
      </c>
      <c r="L976" t="s">
        <v>15</v>
      </c>
      <c r="M976">
        <v>4.7</v>
      </c>
    </row>
    <row r="977" spans="1:13" x14ac:dyDescent="0.25">
      <c r="A977">
        <v>976</v>
      </c>
      <c r="B977" s="1">
        <v>42720</v>
      </c>
      <c r="C977" s="1">
        <v>43059</v>
      </c>
      <c r="D977" t="s">
        <v>21</v>
      </c>
      <c r="E977" t="s">
        <v>27</v>
      </c>
      <c r="F977" s="2">
        <v>227</v>
      </c>
      <c r="G977" t="s">
        <v>12</v>
      </c>
      <c r="H977" s="3">
        <v>48862.400000000001</v>
      </c>
      <c r="I977" s="3">
        <v>1273045</v>
      </c>
      <c r="J977" s="3">
        <v>1018436</v>
      </c>
      <c r="K977" s="3">
        <v>205746.6</v>
      </c>
      <c r="L977" t="s">
        <v>15</v>
      </c>
      <c r="M977">
        <v>4</v>
      </c>
    </row>
    <row r="978" spans="1:13" x14ac:dyDescent="0.25">
      <c r="A978">
        <v>977</v>
      </c>
      <c r="B978" s="1">
        <v>42720</v>
      </c>
      <c r="C978" s="1">
        <v>42829</v>
      </c>
      <c r="D978" t="s">
        <v>23</v>
      </c>
      <c r="E978" t="s">
        <v>26</v>
      </c>
      <c r="F978" s="2">
        <v>196</v>
      </c>
      <c r="G978" t="s">
        <v>12</v>
      </c>
      <c r="H978" s="3">
        <v>59099.6</v>
      </c>
      <c r="I978" s="3">
        <v>1530975</v>
      </c>
      <c r="J978" s="3">
        <v>1224780</v>
      </c>
      <c r="K978" s="3">
        <v>247095.4</v>
      </c>
      <c r="L978" t="s">
        <v>16</v>
      </c>
      <c r="M978">
        <v>5</v>
      </c>
    </row>
    <row r="979" spans="1:13" x14ac:dyDescent="0.25">
      <c r="A979">
        <v>978</v>
      </c>
      <c r="B979" s="1">
        <v>42721</v>
      </c>
      <c r="C979" s="1">
        <v>43017</v>
      </c>
      <c r="D979" t="s">
        <v>22</v>
      </c>
      <c r="E979" t="s">
        <v>26</v>
      </c>
      <c r="F979" s="2">
        <v>110</v>
      </c>
      <c r="G979" t="s">
        <v>11</v>
      </c>
      <c r="H979" s="3">
        <v>25136.799999999999</v>
      </c>
      <c r="I979" s="3">
        <v>695780</v>
      </c>
      <c r="J979" s="3">
        <v>556624</v>
      </c>
      <c r="K979" s="3">
        <v>114019.2</v>
      </c>
      <c r="L979" t="s">
        <v>18</v>
      </c>
      <c r="M979">
        <v>4.0999999999999996</v>
      </c>
    </row>
    <row r="980" spans="1:13" x14ac:dyDescent="0.25">
      <c r="A980">
        <v>979</v>
      </c>
      <c r="B980" s="1">
        <v>42722</v>
      </c>
      <c r="C980" s="1">
        <v>42878</v>
      </c>
      <c r="D980" t="s">
        <v>22</v>
      </c>
      <c r="E980" t="s">
        <v>29</v>
      </c>
      <c r="F980" s="2">
        <v>94</v>
      </c>
      <c r="G980" t="s">
        <v>11</v>
      </c>
      <c r="H980" s="3">
        <v>26194.68</v>
      </c>
      <c r="I980" s="3">
        <v>709277</v>
      </c>
      <c r="J980" s="3">
        <v>567421.6</v>
      </c>
      <c r="K980" s="3">
        <v>115660.72000000003</v>
      </c>
      <c r="L980" t="s">
        <v>16</v>
      </c>
      <c r="M980">
        <v>4.4000000000000004</v>
      </c>
    </row>
    <row r="981" spans="1:13" x14ac:dyDescent="0.25">
      <c r="A981">
        <v>980</v>
      </c>
      <c r="B981" s="1">
        <v>42722</v>
      </c>
      <c r="C981" s="1">
        <v>43012</v>
      </c>
      <c r="D981" t="s">
        <v>20</v>
      </c>
      <c r="E981" t="s">
        <v>28</v>
      </c>
      <c r="F981" s="2">
        <v>119</v>
      </c>
      <c r="G981" t="s">
        <v>11</v>
      </c>
      <c r="H981" s="3">
        <v>22360.639999999999</v>
      </c>
      <c r="I981" s="3">
        <v>625501</v>
      </c>
      <c r="J981" s="3">
        <v>500400.8</v>
      </c>
      <c r="K981" s="3">
        <v>102739.56000000001</v>
      </c>
      <c r="L981" t="s">
        <v>16</v>
      </c>
      <c r="M981">
        <v>4.4000000000000004</v>
      </c>
    </row>
    <row r="982" spans="1:13" x14ac:dyDescent="0.25">
      <c r="A982">
        <v>981</v>
      </c>
      <c r="B982" s="1">
        <v>42722</v>
      </c>
      <c r="C982" s="1">
        <v>43069</v>
      </c>
      <c r="D982" t="s">
        <v>22</v>
      </c>
      <c r="E982" t="s">
        <v>26</v>
      </c>
      <c r="F982" s="2">
        <v>275</v>
      </c>
      <c r="G982" t="s">
        <v>12</v>
      </c>
      <c r="H982" s="3">
        <v>90211.48</v>
      </c>
      <c r="I982" s="3">
        <v>2310247</v>
      </c>
      <c r="J982" s="3">
        <v>1848197.6</v>
      </c>
      <c r="K982" s="3">
        <v>371837.91999999993</v>
      </c>
      <c r="L982" t="s">
        <v>15</v>
      </c>
      <c r="M982">
        <v>4.7</v>
      </c>
    </row>
    <row r="983" spans="1:13" x14ac:dyDescent="0.25">
      <c r="A983">
        <v>982</v>
      </c>
      <c r="B983" s="1">
        <v>42723</v>
      </c>
      <c r="C983" s="1">
        <v>42976</v>
      </c>
      <c r="D983" t="s">
        <v>21</v>
      </c>
      <c r="E983" t="s">
        <v>28</v>
      </c>
      <c r="F983" s="2">
        <v>207</v>
      </c>
      <c r="G983" t="s">
        <v>12</v>
      </c>
      <c r="H983" s="3">
        <v>62711.6</v>
      </c>
      <c r="I983" s="3">
        <v>1625425</v>
      </c>
      <c r="J983" s="3">
        <v>1300340</v>
      </c>
      <c r="K983" s="3">
        <v>262373.40000000002</v>
      </c>
      <c r="L983" t="s">
        <v>14</v>
      </c>
      <c r="M983">
        <v>4.4000000000000004</v>
      </c>
    </row>
    <row r="984" spans="1:13" x14ac:dyDescent="0.25">
      <c r="A984">
        <v>983</v>
      </c>
      <c r="B984" s="1">
        <v>42723</v>
      </c>
      <c r="C984" s="1">
        <v>42829</v>
      </c>
      <c r="D984" t="s">
        <v>22</v>
      </c>
      <c r="E984" t="s">
        <v>27</v>
      </c>
      <c r="F984" s="2">
        <v>245</v>
      </c>
      <c r="G984" t="s">
        <v>12</v>
      </c>
      <c r="H984" s="3">
        <v>44384</v>
      </c>
      <c r="I984" s="3">
        <v>1164235</v>
      </c>
      <c r="J984" s="3">
        <v>931388</v>
      </c>
      <c r="K984" s="3">
        <v>188463</v>
      </c>
      <c r="L984" t="s">
        <v>19</v>
      </c>
      <c r="M984">
        <v>4.7</v>
      </c>
    </row>
    <row r="985" spans="1:13" x14ac:dyDescent="0.25">
      <c r="A985">
        <v>984</v>
      </c>
      <c r="B985" s="1">
        <v>42723</v>
      </c>
      <c r="C985" s="1">
        <v>42845</v>
      </c>
      <c r="D985" t="s">
        <v>21</v>
      </c>
      <c r="E985" t="s">
        <v>29</v>
      </c>
      <c r="F985" s="2">
        <v>273</v>
      </c>
      <c r="G985" t="s">
        <v>12</v>
      </c>
      <c r="H985" s="3">
        <v>66481.440000000002</v>
      </c>
      <c r="I985" s="3">
        <v>1714771</v>
      </c>
      <c r="J985" s="3">
        <v>1371816.8</v>
      </c>
      <c r="K985" s="3">
        <v>276472.75999999995</v>
      </c>
      <c r="L985" t="s">
        <v>17</v>
      </c>
      <c r="M985">
        <v>5</v>
      </c>
    </row>
    <row r="986" spans="1:13" x14ac:dyDescent="0.25">
      <c r="A986">
        <v>985</v>
      </c>
      <c r="B986" s="1">
        <v>42724</v>
      </c>
      <c r="C986" s="1">
        <v>42984</v>
      </c>
      <c r="D986" t="s">
        <v>20</v>
      </c>
      <c r="E986" t="s">
        <v>13</v>
      </c>
      <c r="F986" s="2">
        <v>267</v>
      </c>
      <c r="G986" t="s">
        <v>12</v>
      </c>
      <c r="H986" s="3">
        <v>96267</v>
      </c>
      <c r="I986" s="3">
        <v>2463785</v>
      </c>
      <c r="J986" s="3">
        <v>1971028</v>
      </c>
      <c r="K986" s="3">
        <v>396490</v>
      </c>
      <c r="L986" t="s">
        <v>15</v>
      </c>
      <c r="M986">
        <v>4.4000000000000004</v>
      </c>
    </row>
    <row r="987" spans="1:13" x14ac:dyDescent="0.25">
      <c r="A987">
        <v>986</v>
      </c>
      <c r="B987" s="1">
        <v>42724</v>
      </c>
      <c r="C987" s="1">
        <v>42869</v>
      </c>
      <c r="D987" t="s">
        <v>22</v>
      </c>
      <c r="E987" t="s">
        <v>26</v>
      </c>
      <c r="F987" s="2">
        <v>206</v>
      </c>
      <c r="G987" t="s">
        <v>12</v>
      </c>
      <c r="H987" s="3">
        <v>68957.600000000006</v>
      </c>
      <c r="I987" s="3">
        <v>1789725</v>
      </c>
      <c r="J987" s="3">
        <v>1431780</v>
      </c>
      <c r="K987" s="3">
        <v>288987.40000000002</v>
      </c>
      <c r="L987" t="s">
        <v>16</v>
      </c>
      <c r="M987">
        <v>3.8</v>
      </c>
    </row>
    <row r="988" spans="1:13" x14ac:dyDescent="0.25">
      <c r="A988">
        <v>987</v>
      </c>
      <c r="B988" s="1">
        <v>42725</v>
      </c>
      <c r="C988" s="1">
        <v>42968</v>
      </c>
      <c r="D988" t="s">
        <v>21</v>
      </c>
      <c r="E988" t="s">
        <v>24</v>
      </c>
      <c r="F988" s="2">
        <v>255</v>
      </c>
      <c r="G988" t="s">
        <v>12</v>
      </c>
      <c r="H988" s="3">
        <v>75088.08</v>
      </c>
      <c r="I988" s="3">
        <v>1931237</v>
      </c>
      <c r="J988" s="3">
        <v>1544989.6</v>
      </c>
      <c r="K988" s="3">
        <v>311159.31999999989</v>
      </c>
      <c r="L988" t="s">
        <v>14</v>
      </c>
      <c r="M988">
        <v>4.4000000000000004</v>
      </c>
    </row>
    <row r="989" spans="1:13" x14ac:dyDescent="0.25">
      <c r="A989">
        <v>988</v>
      </c>
      <c r="B989" s="1">
        <v>42725</v>
      </c>
      <c r="C989" s="1">
        <v>42928</v>
      </c>
      <c r="D989" t="s">
        <v>22</v>
      </c>
      <c r="E989" t="s">
        <v>28</v>
      </c>
      <c r="F989" s="2">
        <v>221</v>
      </c>
      <c r="G989" t="s">
        <v>12</v>
      </c>
      <c r="H989" s="3">
        <v>79354</v>
      </c>
      <c r="I989" s="3">
        <v>2036960</v>
      </c>
      <c r="J989" s="3">
        <v>1629568</v>
      </c>
      <c r="K989" s="3">
        <v>328038</v>
      </c>
      <c r="L989" t="s">
        <v>17</v>
      </c>
      <c r="M989">
        <v>4.2</v>
      </c>
    </row>
    <row r="990" spans="1:13" x14ac:dyDescent="0.25">
      <c r="A990">
        <v>989</v>
      </c>
      <c r="B990" s="1">
        <v>42725</v>
      </c>
      <c r="C990" s="1">
        <v>42925</v>
      </c>
      <c r="D990" t="s">
        <v>22</v>
      </c>
      <c r="E990" t="s">
        <v>27</v>
      </c>
      <c r="F990" s="2">
        <v>76</v>
      </c>
      <c r="G990" t="s">
        <v>11</v>
      </c>
      <c r="H990" s="3">
        <v>20315.8</v>
      </c>
      <c r="I990" s="3">
        <v>564605</v>
      </c>
      <c r="J990" s="3">
        <v>451684</v>
      </c>
      <c r="K990" s="3">
        <v>92605.2</v>
      </c>
      <c r="L990" t="s">
        <v>16</v>
      </c>
      <c r="M990">
        <v>3.6</v>
      </c>
    </row>
    <row r="991" spans="1:13" x14ac:dyDescent="0.25">
      <c r="A991">
        <v>990</v>
      </c>
      <c r="B991" s="1">
        <v>42725</v>
      </c>
      <c r="C991" s="1">
        <v>42849</v>
      </c>
      <c r="D991" t="s">
        <v>21</v>
      </c>
      <c r="E991" t="s">
        <v>28</v>
      </c>
      <c r="F991" s="2">
        <v>177</v>
      </c>
      <c r="G991" t="s">
        <v>12</v>
      </c>
      <c r="H991" s="3">
        <v>67916.92</v>
      </c>
      <c r="I991" s="3">
        <v>1754383</v>
      </c>
      <c r="J991" s="3">
        <v>1403506.4</v>
      </c>
      <c r="K991" s="3">
        <v>282959.68000000011</v>
      </c>
      <c r="L991" t="s">
        <v>15</v>
      </c>
      <c r="M991">
        <v>3.8</v>
      </c>
    </row>
    <row r="992" spans="1:13" x14ac:dyDescent="0.25">
      <c r="A992">
        <v>991</v>
      </c>
      <c r="B992" s="1">
        <v>42725</v>
      </c>
      <c r="C992" s="1">
        <v>43021</v>
      </c>
      <c r="D992" t="s">
        <v>21</v>
      </c>
      <c r="E992" t="s">
        <v>25</v>
      </c>
      <c r="F992" s="2">
        <v>227</v>
      </c>
      <c r="G992" t="s">
        <v>12</v>
      </c>
      <c r="H992" s="3">
        <v>73952.28</v>
      </c>
      <c r="I992" s="3">
        <v>1907242</v>
      </c>
      <c r="J992" s="3">
        <v>1525793.6</v>
      </c>
      <c r="K992" s="3">
        <v>307496.11999999988</v>
      </c>
      <c r="L992" t="s">
        <v>19</v>
      </c>
      <c r="M992">
        <v>4.7</v>
      </c>
    </row>
    <row r="993" spans="1:13" x14ac:dyDescent="0.25">
      <c r="A993">
        <v>992</v>
      </c>
      <c r="B993" s="1">
        <v>42726</v>
      </c>
      <c r="C993" s="1">
        <v>42938</v>
      </c>
      <c r="D993" t="s">
        <v>23</v>
      </c>
      <c r="E993" t="s">
        <v>26</v>
      </c>
      <c r="F993" s="2">
        <v>278</v>
      </c>
      <c r="G993" t="s">
        <v>12</v>
      </c>
      <c r="H993" s="3">
        <v>91868.72</v>
      </c>
      <c r="I993" s="3">
        <v>2362603</v>
      </c>
      <c r="J993" s="3">
        <v>1890082.4</v>
      </c>
      <c r="K993" s="3">
        <v>380651.88000000012</v>
      </c>
      <c r="L993" t="s">
        <v>18</v>
      </c>
      <c r="M993">
        <v>5</v>
      </c>
    </row>
    <row r="994" spans="1:13" x14ac:dyDescent="0.25">
      <c r="A994">
        <v>993</v>
      </c>
      <c r="B994" s="1">
        <v>42726</v>
      </c>
      <c r="C994" s="1">
        <v>42909</v>
      </c>
      <c r="D994" t="s">
        <v>21</v>
      </c>
      <c r="E994" t="s">
        <v>24</v>
      </c>
      <c r="F994" s="2">
        <v>196</v>
      </c>
      <c r="G994" t="s">
        <v>12</v>
      </c>
      <c r="H994" s="3">
        <v>75449.399999999994</v>
      </c>
      <c r="I994" s="3">
        <v>1947995</v>
      </c>
      <c r="J994" s="3">
        <v>1558396</v>
      </c>
      <c r="K994" s="3">
        <v>314149.59999999998</v>
      </c>
      <c r="L994" t="s">
        <v>19</v>
      </c>
      <c r="M994">
        <v>4.0999999999999996</v>
      </c>
    </row>
    <row r="995" spans="1:13" x14ac:dyDescent="0.25">
      <c r="A995">
        <v>994</v>
      </c>
      <c r="B995" s="1">
        <v>42726</v>
      </c>
      <c r="C995" s="1">
        <v>43089</v>
      </c>
      <c r="D995" t="s">
        <v>21</v>
      </c>
      <c r="E995" t="s">
        <v>13</v>
      </c>
      <c r="F995" s="2">
        <v>184</v>
      </c>
      <c r="G995" t="s">
        <v>12</v>
      </c>
      <c r="H995" s="3">
        <v>52866.44</v>
      </c>
      <c r="I995" s="3">
        <v>1383446</v>
      </c>
      <c r="J995" s="3">
        <v>1106756.8</v>
      </c>
      <c r="K995" s="3">
        <v>223822.75999999995</v>
      </c>
      <c r="L995" t="s">
        <v>16</v>
      </c>
      <c r="M995">
        <v>3.7</v>
      </c>
    </row>
    <row r="996" spans="1:13" x14ac:dyDescent="0.25">
      <c r="A996">
        <v>995</v>
      </c>
      <c r="B996" s="1">
        <v>42726</v>
      </c>
      <c r="C996" s="1">
        <v>42884</v>
      </c>
      <c r="D996" t="s">
        <v>21</v>
      </c>
      <c r="E996" t="s">
        <v>26</v>
      </c>
      <c r="F996" s="2">
        <v>174</v>
      </c>
      <c r="G996" t="s">
        <v>12</v>
      </c>
      <c r="H996" s="3">
        <v>55807</v>
      </c>
      <c r="I996" s="3">
        <v>1451285</v>
      </c>
      <c r="J996" s="3">
        <v>1161028</v>
      </c>
      <c r="K996" s="3">
        <v>234450</v>
      </c>
      <c r="L996" t="s">
        <v>16</v>
      </c>
      <c r="M996">
        <v>3.8</v>
      </c>
    </row>
    <row r="997" spans="1:13" x14ac:dyDescent="0.25">
      <c r="A997">
        <v>996</v>
      </c>
      <c r="B997" s="1">
        <v>42727</v>
      </c>
      <c r="C997" s="1">
        <v>42884</v>
      </c>
      <c r="D997" t="s">
        <v>23</v>
      </c>
      <c r="E997" t="s">
        <v>24</v>
      </c>
      <c r="F997" s="2">
        <v>81</v>
      </c>
      <c r="G997" t="s">
        <v>11</v>
      </c>
      <c r="H997" s="3">
        <v>26475.360000000001</v>
      </c>
      <c r="I997" s="3">
        <v>726669</v>
      </c>
      <c r="J997" s="3">
        <v>581335.19999999995</v>
      </c>
      <c r="K997" s="3">
        <v>118858.44000000005</v>
      </c>
      <c r="L997" t="s">
        <v>14</v>
      </c>
      <c r="M997">
        <v>3.8</v>
      </c>
    </row>
    <row r="998" spans="1:13" x14ac:dyDescent="0.25">
      <c r="A998">
        <v>997</v>
      </c>
      <c r="B998" s="1">
        <v>42727</v>
      </c>
      <c r="C998" s="1">
        <v>42979</v>
      </c>
      <c r="D998" t="s">
        <v>20</v>
      </c>
      <c r="E998" t="s">
        <v>27</v>
      </c>
      <c r="F998" s="2">
        <v>63</v>
      </c>
      <c r="G998" t="s">
        <v>11</v>
      </c>
      <c r="H998" s="3">
        <v>16765.28</v>
      </c>
      <c r="I998" s="3">
        <v>485417</v>
      </c>
      <c r="J998" s="3">
        <v>388333.6</v>
      </c>
      <c r="K998" s="3">
        <v>80318.120000000024</v>
      </c>
      <c r="L998" t="s">
        <v>15</v>
      </c>
      <c r="M998">
        <v>4.3</v>
      </c>
    </row>
    <row r="999" spans="1:13" x14ac:dyDescent="0.25">
      <c r="A999">
        <v>998</v>
      </c>
      <c r="B999" s="1">
        <v>42727</v>
      </c>
      <c r="C999" s="1">
        <v>42946</v>
      </c>
      <c r="D999" t="s">
        <v>22</v>
      </c>
      <c r="E999" t="s">
        <v>29</v>
      </c>
      <c r="F999" s="2">
        <v>213</v>
      </c>
      <c r="G999" t="s">
        <v>12</v>
      </c>
      <c r="H999" s="3">
        <v>83268.72</v>
      </c>
      <c r="I999" s="3">
        <v>2138228</v>
      </c>
      <c r="J999" s="3">
        <v>1710582.4</v>
      </c>
      <c r="K999" s="3">
        <v>344376.88000000012</v>
      </c>
      <c r="L999" t="s">
        <v>19</v>
      </c>
      <c r="M999">
        <v>4.0999999999999996</v>
      </c>
    </row>
    <row r="1000" spans="1:13" x14ac:dyDescent="0.25">
      <c r="A1000">
        <v>999</v>
      </c>
      <c r="B1000" s="1">
        <v>42727</v>
      </c>
      <c r="C1000" s="1">
        <v>42892</v>
      </c>
      <c r="D1000" t="s">
        <v>20</v>
      </c>
      <c r="E1000" t="s">
        <v>29</v>
      </c>
      <c r="F1000" s="2">
        <v>60</v>
      </c>
      <c r="G1000" t="s">
        <v>11</v>
      </c>
      <c r="H1000" s="3">
        <v>16112.72</v>
      </c>
      <c r="I1000" s="3">
        <v>467228</v>
      </c>
      <c r="J1000" s="3">
        <v>373782.4</v>
      </c>
      <c r="K1000" s="3">
        <v>77332.879999999976</v>
      </c>
      <c r="L1000" t="s">
        <v>15</v>
      </c>
      <c r="M1000">
        <v>3.7</v>
      </c>
    </row>
    <row r="1001" spans="1:13" x14ac:dyDescent="0.25">
      <c r="A1001">
        <v>1000</v>
      </c>
      <c r="B1001" s="1">
        <v>42728</v>
      </c>
      <c r="C1001" s="1">
        <v>43023</v>
      </c>
      <c r="D1001" t="s">
        <v>20</v>
      </c>
      <c r="E1001" t="s">
        <v>26</v>
      </c>
      <c r="F1001" s="2">
        <v>293</v>
      </c>
      <c r="G1001" t="s">
        <v>12</v>
      </c>
      <c r="H1001" s="3">
        <v>107635</v>
      </c>
      <c r="I1001" s="3">
        <v>2743685</v>
      </c>
      <c r="J1001" s="3">
        <v>2194948</v>
      </c>
      <c r="K1001" s="3">
        <v>441102</v>
      </c>
      <c r="L1001" t="s">
        <v>19</v>
      </c>
      <c r="M1001">
        <v>4.7</v>
      </c>
    </row>
    <row r="1002" spans="1:13" x14ac:dyDescent="0.25">
      <c r="A1002">
        <v>1001</v>
      </c>
      <c r="B1002" s="1">
        <v>42729</v>
      </c>
      <c r="C1002" s="1">
        <v>42893</v>
      </c>
      <c r="D1002" t="s">
        <v>23</v>
      </c>
      <c r="E1002" t="s">
        <v>28</v>
      </c>
      <c r="F1002" s="2">
        <v>245</v>
      </c>
      <c r="G1002" t="s">
        <v>12</v>
      </c>
      <c r="H1002" s="3">
        <v>53749</v>
      </c>
      <c r="I1002" s="3">
        <v>1405235</v>
      </c>
      <c r="J1002" s="3">
        <v>1124188</v>
      </c>
      <c r="K1002" s="3">
        <v>227298</v>
      </c>
      <c r="L1002" t="s">
        <v>19</v>
      </c>
      <c r="M1002">
        <v>3.7</v>
      </c>
    </row>
    <row r="1003" spans="1:13" x14ac:dyDescent="0.25">
      <c r="A1003">
        <v>1002</v>
      </c>
      <c r="B1003" s="1">
        <v>42729</v>
      </c>
      <c r="C1003" s="1">
        <v>42938</v>
      </c>
      <c r="D1003" t="s">
        <v>21</v>
      </c>
      <c r="E1003" t="s">
        <v>28</v>
      </c>
      <c r="F1003" s="2">
        <v>286</v>
      </c>
      <c r="G1003" t="s">
        <v>12</v>
      </c>
      <c r="H1003" s="3">
        <v>106310.24</v>
      </c>
      <c r="I1003" s="3">
        <v>2713541</v>
      </c>
      <c r="J1003" s="3">
        <v>2170832.7999999998</v>
      </c>
      <c r="K1003" s="3">
        <v>436397.9600000002</v>
      </c>
      <c r="L1003" t="s">
        <v>18</v>
      </c>
      <c r="M1003">
        <v>4.7</v>
      </c>
    </row>
    <row r="1004" spans="1:13" x14ac:dyDescent="0.25">
      <c r="A1004">
        <v>1003</v>
      </c>
      <c r="B1004" s="1">
        <v>42729</v>
      </c>
      <c r="C1004" s="1">
        <v>42935</v>
      </c>
      <c r="D1004" t="s">
        <v>23</v>
      </c>
      <c r="E1004" t="s">
        <v>27</v>
      </c>
      <c r="F1004" s="2">
        <v>80</v>
      </c>
      <c r="G1004" t="s">
        <v>11</v>
      </c>
      <c r="H1004" s="3">
        <v>24593.32</v>
      </c>
      <c r="I1004" s="3">
        <v>674543</v>
      </c>
      <c r="J1004" s="3">
        <v>539634.4</v>
      </c>
      <c r="K1004" s="3">
        <v>110315.27999999997</v>
      </c>
      <c r="L1004" t="s">
        <v>17</v>
      </c>
      <c r="M1004">
        <v>3.9</v>
      </c>
    </row>
    <row r="1005" spans="1:13" x14ac:dyDescent="0.25">
      <c r="A1005">
        <v>1004</v>
      </c>
      <c r="B1005" s="1">
        <v>42730</v>
      </c>
      <c r="C1005" s="1">
        <v>42840</v>
      </c>
      <c r="D1005" t="s">
        <v>23</v>
      </c>
      <c r="E1005" t="s">
        <v>27</v>
      </c>
      <c r="F1005" s="2">
        <v>89</v>
      </c>
      <c r="G1005" t="s">
        <v>12</v>
      </c>
      <c r="H1005" s="3">
        <v>34055.199999999997</v>
      </c>
      <c r="I1005" s="3">
        <v>903265</v>
      </c>
      <c r="J1005" s="3">
        <v>722612</v>
      </c>
      <c r="K1005" s="3">
        <v>146597.79999999999</v>
      </c>
      <c r="L1005" t="s">
        <v>17</v>
      </c>
      <c r="M1005">
        <v>4.2</v>
      </c>
    </row>
    <row r="1006" spans="1:13" x14ac:dyDescent="0.25">
      <c r="A1006">
        <v>1005</v>
      </c>
      <c r="B1006" s="1">
        <v>42730</v>
      </c>
      <c r="C1006" s="1">
        <v>42898</v>
      </c>
      <c r="D1006" t="s">
        <v>22</v>
      </c>
      <c r="E1006" t="s">
        <v>29</v>
      </c>
      <c r="F1006" s="2">
        <v>156</v>
      </c>
      <c r="G1006" t="s">
        <v>12</v>
      </c>
      <c r="H1006" s="3">
        <v>56889.4</v>
      </c>
      <c r="I1006" s="3">
        <v>1473845</v>
      </c>
      <c r="J1006" s="3">
        <v>1179076</v>
      </c>
      <c r="K1006" s="3">
        <v>237879.6</v>
      </c>
      <c r="L1006" t="s">
        <v>19</v>
      </c>
      <c r="M1006">
        <v>4.0999999999999996</v>
      </c>
    </row>
    <row r="1007" spans="1:13" x14ac:dyDescent="0.25">
      <c r="A1007">
        <v>1006</v>
      </c>
      <c r="B1007" s="1">
        <v>42730</v>
      </c>
      <c r="C1007" s="1">
        <v>42850</v>
      </c>
      <c r="D1007" t="s">
        <v>23</v>
      </c>
      <c r="E1007" t="s">
        <v>28</v>
      </c>
      <c r="F1007" s="2">
        <v>209</v>
      </c>
      <c r="G1007" t="s">
        <v>12</v>
      </c>
      <c r="H1007" s="3">
        <v>67389.600000000006</v>
      </c>
      <c r="I1007" s="3">
        <v>1742725</v>
      </c>
      <c r="J1007" s="3">
        <v>1394180</v>
      </c>
      <c r="K1007" s="3">
        <v>281155.40000000002</v>
      </c>
      <c r="L1007" t="s">
        <v>15</v>
      </c>
      <c r="M1007">
        <v>4.5999999999999996</v>
      </c>
    </row>
    <row r="1008" spans="1:13" x14ac:dyDescent="0.25">
      <c r="A1008">
        <v>1007</v>
      </c>
      <c r="B1008" s="1">
        <v>42731</v>
      </c>
      <c r="C1008" s="1">
        <v>42964</v>
      </c>
      <c r="D1008" t="s">
        <v>20</v>
      </c>
      <c r="E1008" t="s">
        <v>13</v>
      </c>
      <c r="F1008" s="2">
        <v>82</v>
      </c>
      <c r="G1008" t="s">
        <v>12</v>
      </c>
      <c r="H1008" s="3">
        <v>32081.16</v>
      </c>
      <c r="I1008" s="3">
        <v>858989</v>
      </c>
      <c r="J1008" s="3">
        <v>687191.2</v>
      </c>
      <c r="K1008" s="3">
        <v>139716.64000000004</v>
      </c>
      <c r="L1008" t="s">
        <v>17</v>
      </c>
      <c r="M1008">
        <v>4.3</v>
      </c>
    </row>
    <row r="1009" spans="1:13" x14ac:dyDescent="0.25">
      <c r="A1009">
        <v>1008</v>
      </c>
      <c r="B1009" s="1">
        <v>42731</v>
      </c>
      <c r="C1009" s="1">
        <v>42857</v>
      </c>
      <c r="D1009" t="s">
        <v>20</v>
      </c>
      <c r="E1009" t="s">
        <v>25</v>
      </c>
      <c r="F1009" s="2">
        <v>115</v>
      </c>
      <c r="G1009" t="s">
        <v>11</v>
      </c>
      <c r="H1009" s="3">
        <v>24032.48</v>
      </c>
      <c r="I1009" s="3">
        <v>659272</v>
      </c>
      <c r="J1009" s="3">
        <v>527417.59999999998</v>
      </c>
      <c r="K1009" s="3">
        <v>107821.92000000003</v>
      </c>
      <c r="L1009" t="s">
        <v>14</v>
      </c>
      <c r="M1009">
        <v>4.2</v>
      </c>
    </row>
    <row r="1010" spans="1:13" x14ac:dyDescent="0.25">
      <c r="A1010">
        <v>1009</v>
      </c>
      <c r="B1010" s="1">
        <v>42731</v>
      </c>
      <c r="C1010" s="1">
        <v>42909</v>
      </c>
      <c r="D1010" t="s">
        <v>21</v>
      </c>
      <c r="E1010" t="s">
        <v>28</v>
      </c>
      <c r="F1010" s="2">
        <v>219</v>
      </c>
      <c r="G1010" t="s">
        <v>12</v>
      </c>
      <c r="H1010" s="3">
        <v>49876.28</v>
      </c>
      <c r="I1010" s="3">
        <v>1303217</v>
      </c>
      <c r="J1010" s="3">
        <v>1042573.6</v>
      </c>
      <c r="K1010" s="3">
        <v>210767.12000000002</v>
      </c>
      <c r="L1010" t="s">
        <v>15</v>
      </c>
      <c r="M1010">
        <v>5</v>
      </c>
    </row>
    <row r="1011" spans="1:13" x14ac:dyDescent="0.25">
      <c r="A1011">
        <v>1010</v>
      </c>
      <c r="B1011" s="1">
        <v>42731</v>
      </c>
      <c r="C1011" s="1">
        <v>43073</v>
      </c>
      <c r="D1011" t="s">
        <v>22</v>
      </c>
      <c r="E1011" t="s">
        <v>13</v>
      </c>
      <c r="F1011" s="2">
        <v>206</v>
      </c>
      <c r="G1011" t="s">
        <v>12</v>
      </c>
      <c r="H1011" s="3">
        <v>36632.080000000002</v>
      </c>
      <c r="I1011" s="3">
        <v>982187</v>
      </c>
      <c r="J1011" s="3">
        <v>785749.6</v>
      </c>
      <c r="K1011" s="3">
        <v>159805.32</v>
      </c>
      <c r="L1011" t="s">
        <v>19</v>
      </c>
      <c r="M1011">
        <v>4</v>
      </c>
    </row>
    <row r="1012" spans="1:13" x14ac:dyDescent="0.25">
      <c r="A1012">
        <v>1011</v>
      </c>
      <c r="B1012" s="1">
        <v>42731</v>
      </c>
      <c r="C1012" s="1">
        <v>43092</v>
      </c>
      <c r="D1012" t="s">
        <v>22</v>
      </c>
      <c r="E1012" t="s">
        <v>13</v>
      </c>
      <c r="F1012" s="2">
        <v>91</v>
      </c>
      <c r="G1012" t="s">
        <v>12</v>
      </c>
      <c r="H1012" s="3">
        <v>33473.919999999998</v>
      </c>
      <c r="I1012" s="3">
        <v>899333</v>
      </c>
      <c r="J1012" s="3">
        <v>719466.4</v>
      </c>
      <c r="K1012" s="3">
        <v>146392.68</v>
      </c>
      <c r="L1012" t="s">
        <v>18</v>
      </c>
      <c r="M1012">
        <v>4.4000000000000004</v>
      </c>
    </row>
    <row r="1013" spans="1:13" x14ac:dyDescent="0.25">
      <c r="A1013">
        <v>1012</v>
      </c>
      <c r="B1013" s="1">
        <v>42734</v>
      </c>
      <c r="C1013" s="1">
        <v>42937</v>
      </c>
      <c r="D1013" t="s">
        <v>20</v>
      </c>
      <c r="E1013" t="s">
        <v>29</v>
      </c>
      <c r="F1013" s="2">
        <v>167</v>
      </c>
      <c r="G1013" t="s">
        <v>12</v>
      </c>
      <c r="H1013" s="3">
        <v>39367.839999999997</v>
      </c>
      <c r="I1013" s="3">
        <v>1044556</v>
      </c>
      <c r="J1013" s="3">
        <v>835644.8</v>
      </c>
      <c r="K1013" s="3">
        <v>169543.35999999996</v>
      </c>
      <c r="L1013" t="s">
        <v>17</v>
      </c>
      <c r="M1013">
        <v>3.7</v>
      </c>
    </row>
    <row r="1014" spans="1:13" x14ac:dyDescent="0.25">
      <c r="A1014">
        <v>1013</v>
      </c>
      <c r="B1014" s="1">
        <v>42735</v>
      </c>
      <c r="C1014" s="1">
        <v>42984</v>
      </c>
      <c r="D1014" t="s">
        <v>23</v>
      </c>
      <c r="E1014" t="s">
        <v>13</v>
      </c>
      <c r="F1014" s="2">
        <v>185</v>
      </c>
      <c r="G1014" t="s">
        <v>12</v>
      </c>
      <c r="H1014" s="3">
        <v>65341.2</v>
      </c>
      <c r="I1014" s="3">
        <v>1694365</v>
      </c>
      <c r="J1014" s="3">
        <v>1355492</v>
      </c>
      <c r="K1014" s="3">
        <v>273531.8</v>
      </c>
      <c r="L1014" t="s">
        <v>15</v>
      </c>
      <c r="M1014">
        <v>3.9</v>
      </c>
    </row>
    <row r="1015" spans="1:13" x14ac:dyDescent="0.25">
      <c r="A1015">
        <v>1014</v>
      </c>
      <c r="B1015" s="1">
        <v>42735</v>
      </c>
      <c r="C1015" s="1">
        <v>43044</v>
      </c>
      <c r="D1015" t="s">
        <v>20</v>
      </c>
      <c r="E1015" t="s">
        <v>26</v>
      </c>
      <c r="F1015" s="2">
        <v>141</v>
      </c>
      <c r="G1015" t="s">
        <v>12</v>
      </c>
      <c r="H1015" s="3">
        <v>57359.040000000001</v>
      </c>
      <c r="I1015" s="3">
        <v>1493711</v>
      </c>
      <c r="J1015" s="3">
        <v>1194968.8</v>
      </c>
      <c r="K1015" s="3">
        <v>241383.15999999995</v>
      </c>
      <c r="L1015" t="s">
        <v>18</v>
      </c>
      <c r="M1015">
        <v>5</v>
      </c>
    </row>
    <row r="1016" spans="1:13" x14ac:dyDescent="0.25">
      <c r="A1016">
        <v>1015</v>
      </c>
      <c r="B1016" s="1">
        <v>42735</v>
      </c>
      <c r="C1016" s="1">
        <v>43072</v>
      </c>
      <c r="D1016" t="s">
        <v>22</v>
      </c>
      <c r="E1016" t="s">
        <v>28</v>
      </c>
      <c r="F1016" s="2">
        <v>162</v>
      </c>
      <c r="G1016" t="s">
        <v>12</v>
      </c>
      <c r="H1016" s="3">
        <v>59572.88</v>
      </c>
      <c r="I1016" s="3">
        <v>1544957</v>
      </c>
      <c r="J1016" s="3">
        <v>1235965.6000000001</v>
      </c>
      <c r="K1016" s="3">
        <v>249418.5199999999</v>
      </c>
      <c r="L1016" t="s">
        <v>19</v>
      </c>
      <c r="M1016">
        <v>3.6</v>
      </c>
    </row>
    <row r="1017" spans="1:13" x14ac:dyDescent="0.25">
      <c r="A1017">
        <v>1016</v>
      </c>
      <c r="B1017" s="1">
        <v>42736</v>
      </c>
      <c r="C1017" s="1">
        <v>43032</v>
      </c>
      <c r="D1017" t="s">
        <v>21</v>
      </c>
      <c r="E1017" t="s">
        <v>28</v>
      </c>
      <c r="F1017" s="2">
        <v>138</v>
      </c>
      <c r="G1017" t="s">
        <v>12</v>
      </c>
      <c r="H1017" s="3">
        <v>50074.559999999998</v>
      </c>
      <c r="I1017" s="3">
        <v>1313349</v>
      </c>
      <c r="J1017" s="3">
        <v>1050679.2</v>
      </c>
      <c r="K1017" s="3">
        <v>212595.24000000005</v>
      </c>
      <c r="L1017" t="s">
        <v>18</v>
      </c>
      <c r="M1017">
        <v>4.7</v>
      </c>
    </row>
    <row r="1018" spans="1:13" x14ac:dyDescent="0.25">
      <c r="A1018">
        <v>1017</v>
      </c>
      <c r="B1018" s="1">
        <v>42736</v>
      </c>
      <c r="C1018" s="1">
        <v>43031</v>
      </c>
      <c r="D1018" t="s">
        <v>23</v>
      </c>
      <c r="E1018" t="s">
        <v>28</v>
      </c>
      <c r="F1018" s="2">
        <v>210</v>
      </c>
      <c r="G1018" t="s">
        <v>12</v>
      </c>
      <c r="H1018" s="3">
        <v>83132.479999999996</v>
      </c>
      <c r="I1018" s="3">
        <v>2138347</v>
      </c>
      <c r="J1018" s="3">
        <v>1710677.6</v>
      </c>
      <c r="K1018" s="3">
        <v>344536.91999999993</v>
      </c>
      <c r="L1018" t="s">
        <v>14</v>
      </c>
      <c r="M1018">
        <v>5</v>
      </c>
    </row>
    <row r="1019" spans="1:13" x14ac:dyDescent="0.25">
      <c r="A1019">
        <v>1018</v>
      </c>
      <c r="B1019" s="1">
        <v>42736</v>
      </c>
      <c r="C1019" s="1">
        <v>42964</v>
      </c>
      <c r="D1019" t="s">
        <v>23</v>
      </c>
      <c r="E1019" t="s">
        <v>24</v>
      </c>
      <c r="F1019" s="2">
        <v>265</v>
      </c>
      <c r="G1019" t="s">
        <v>12</v>
      </c>
      <c r="H1019" s="3">
        <v>53263.56</v>
      </c>
      <c r="I1019" s="3">
        <v>1396549</v>
      </c>
      <c r="J1019" s="3">
        <v>1117239.2</v>
      </c>
      <c r="K1019" s="3">
        <v>226046.24000000005</v>
      </c>
      <c r="L1019" t="s">
        <v>17</v>
      </c>
      <c r="M1019">
        <v>4.5</v>
      </c>
    </row>
    <row r="1020" spans="1:13" x14ac:dyDescent="0.25">
      <c r="A1020">
        <v>1019</v>
      </c>
      <c r="B1020" s="1">
        <v>42737</v>
      </c>
      <c r="C1020" s="1">
        <v>42971</v>
      </c>
      <c r="D1020" t="s">
        <v>20</v>
      </c>
      <c r="E1020" t="s">
        <v>29</v>
      </c>
      <c r="F1020" s="2">
        <v>40</v>
      </c>
      <c r="G1020" t="s">
        <v>11</v>
      </c>
      <c r="H1020" s="3">
        <v>13845.36</v>
      </c>
      <c r="I1020" s="3">
        <v>406469</v>
      </c>
      <c r="J1020" s="3">
        <v>325175.2</v>
      </c>
      <c r="K1020" s="3">
        <v>67448.439999999988</v>
      </c>
      <c r="L1020" t="s">
        <v>17</v>
      </c>
      <c r="M1020">
        <v>4.5999999999999996</v>
      </c>
    </row>
    <row r="1021" spans="1:13" x14ac:dyDescent="0.25">
      <c r="A1021">
        <v>1020</v>
      </c>
      <c r="B1021" s="1">
        <v>42737</v>
      </c>
      <c r="C1021" s="1">
        <v>43015</v>
      </c>
      <c r="D1021" t="s">
        <v>23</v>
      </c>
      <c r="E1021" t="s">
        <v>26</v>
      </c>
      <c r="F1021" s="2">
        <v>194</v>
      </c>
      <c r="G1021" t="s">
        <v>12</v>
      </c>
      <c r="H1021" s="3">
        <v>45984.2</v>
      </c>
      <c r="I1021" s="3">
        <v>1213340</v>
      </c>
      <c r="J1021" s="3">
        <v>970672</v>
      </c>
      <c r="K1021" s="3">
        <v>196683.8</v>
      </c>
      <c r="L1021" t="s">
        <v>18</v>
      </c>
      <c r="M1021">
        <v>4.2</v>
      </c>
    </row>
    <row r="1022" spans="1:13" x14ac:dyDescent="0.25">
      <c r="A1022">
        <v>1021</v>
      </c>
      <c r="B1022" s="1">
        <v>42737</v>
      </c>
      <c r="C1022" s="1">
        <v>43032</v>
      </c>
      <c r="D1022" t="s">
        <v>21</v>
      </c>
      <c r="E1022" t="s">
        <v>13</v>
      </c>
      <c r="F1022" s="2">
        <v>82</v>
      </c>
      <c r="G1022" t="s">
        <v>11</v>
      </c>
      <c r="H1022" s="3">
        <v>17154.48</v>
      </c>
      <c r="I1022" s="3">
        <v>489447</v>
      </c>
      <c r="J1022" s="3">
        <v>391557.6</v>
      </c>
      <c r="K1022" s="3">
        <v>80734.920000000027</v>
      </c>
      <c r="L1022" t="s">
        <v>16</v>
      </c>
      <c r="M1022">
        <v>4.0999999999999996</v>
      </c>
    </row>
    <row r="1023" spans="1:13" x14ac:dyDescent="0.25">
      <c r="A1023">
        <v>1022</v>
      </c>
      <c r="B1023" s="1">
        <v>42738</v>
      </c>
      <c r="C1023" s="1">
        <v>43049</v>
      </c>
      <c r="D1023" t="s">
        <v>21</v>
      </c>
      <c r="E1023" t="s">
        <v>24</v>
      </c>
      <c r="F1023" s="2">
        <v>233</v>
      </c>
      <c r="G1023" t="s">
        <v>12</v>
      </c>
      <c r="H1023" s="3">
        <v>45995.12</v>
      </c>
      <c r="I1023" s="3">
        <v>1214138</v>
      </c>
      <c r="J1023" s="3">
        <v>971310.4</v>
      </c>
      <c r="K1023" s="3">
        <v>196832.47999999998</v>
      </c>
      <c r="L1023" t="s">
        <v>16</v>
      </c>
      <c r="M1023">
        <v>4.5999999999999996</v>
      </c>
    </row>
    <row r="1024" spans="1:13" x14ac:dyDescent="0.25">
      <c r="A1024">
        <v>1023</v>
      </c>
      <c r="B1024" s="1">
        <v>42738</v>
      </c>
      <c r="C1024" s="1">
        <v>43024</v>
      </c>
      <c r="D1024" t="s">
        <v>22</v>
      </c>
      <c r="E1024" t="s">
        <v>27</v>
      </c>
      <c r="F1024" s="2">
        <v>100</v>
      </c>
      <c r="G1024" t="s">
        <v>12</v>
      </c>
      <c r="H1024" s="3">
        <v>34460.199999999997</v>
      </c>
      <c r="I1024" s="3">
        <v>926465</v>
      </c>
      <c r="J1024" s="3">
        <v>741172</v>
      </c>
      <c r="K1024" s="3">
        <v>150832.79999999999</v>
      </c>
      <c r="L1024" t="s">
        <v>15</v>
      </c>
      <c r="M1024">
        <v>4.0999999999999996</v>
      </c>
    </row>
    <row r="1025" spans="1:13" x14ac:dyDescent="0.25">
      <c r="A1025">
        <v>1024</v>
      </c>
      <c r="B1025" s="1">
        <v>42738</v>
      </c>
      <c r="C1025" s="1">
        <v>43058</v>
      </c>
      <c r="D1025" t="s">
        <v>21</v>
      </c>
      <c r="E1025" t="s">
        <v>26</v>
      </c>
      <c r="F1025" s="2">
        <v>167</v>
      </c>
      <c r="G1025" t="s">
        <v>12</v>
      </c>
      <c r="H1025" s="3">
        <v>63952.959999999999</v>
      </c>
      <c r="I1025" s="3">
        <v>1651909</v>
      </c>
      <c r="J1025" s="3">
        <v>1321527.2</v>
      </c>
      <c r="K1025" s="3">
        <v>266428.84000000003</v>
      </c>
      <c r="L1025" t="s">
        <v>14</v>
      </c>
      <c r="M1025">
        <v>4.9000000000000004</v>
      </c>
    </row>
    <row r="1026" spans="1:13" x14ac:dyDescent="0.25">
      <c r="A1026">
        <v>1025</v>
      </c>
      <c r="B1026" s="1">
        <v>42739</v>
      </c>
      <c r="C1026" s="1">
        <v>42862</v>
      </c>
      <c r="D1026" t="s">
        <v>20</v>
      </c>
      <c r="E1026" t="s">
        <v>26</v>
      </c>
      <c r="F1026" s="2">
        <v>210</v>
      </c>
      <c r="G1026" t="s">
        <v>12</v>
      </c>
      <c r="H1026" s="3">
        <v>80198.960000000006</v>
      </c>
      <c r="I1026" s="3">
        <v>2059109</v>
      </c>
      <c r="J1026" s="3">
        <v>1647287.2</v>
      </c>
      <c r="K1026" s="3">
        <v>331622.84000000003</v>
      </c>
      <c r="L1026" t="s">
        <v>17</v>
      </c>
      <c r="M1026">
        <v>4.4000000000000004</v>
      </c>
    </row>
    <row r="1027" spans="1:13" x14ac:dyDescent="0.25">
      <c r="A1027">
        <v>1026</v>
      </c>
      <c r="B1027" s="1">
        <v>42739</v>
      </c>
      <c r="C1027" s="1">
        <v>42926</v>
      </c>
      <c r="D1027" t="s">
        <v>22</v>
      </c>
      <c r="E1027" t="s">
        <v>29</v>
      </c>
      <c r="F1027" s="2">
        <v>203</v>
      </c>
      <c r="G1027" t="s">
        <v>12</v>
      </c>
      <c r="H1027" s="3">
        <v>48250.48</v>
      </c>
      <c r="I1027" s="3">
        <v>1267747</v>
      </c>
      <c r="J1027" s="3">
        <v>1014197.6</v>
      </c>
      <c r="K1027" s="3">
        <v>205298.92</v>
      </c>
      <c r="L1027" t="s">
        <v>19</v>
      </c>
      <c r="M1027">
        <v>4.5</v>
      </c>
    </row>
    <row r="1028" spans="1:13" x14ac:dyDescent="0.25">
      <c r="A1028">
        <v>1027</v>
      </c>
      <c r="B1028" s="1">
        <v>42739</v>
      </c>
      <c r="C1028" s="1">
        <v>43045</v>
      </c>
      <c r="D1028" t="s">
        <v>22</v>
      </c>
      <c r="E1028" t="s">
        <v>24</v>
      </c>
      <c r="F1028" s="2">
        <v>75</v>
      </c>
      <c r="G1028" t="s">
        <v>11</v>
      </c>
      <c r="H1028" s="3">
        <v>13082.88</v>
      </c>
      <c r="I1028" s="3">
        <v>389457</v>
      </c>
      <c r="J1028" s="3">
        <v>311565.59999999998</v>
      </c>
      <c r="K1028" s="3">
        <v>64808.520000000026</v>
      </c>
      <c r="L1028" t="s">
        <v>16</v>
      </c>
      <c r="M1028">
        <v>3.9</v>
      </c>
    </row>
    <row r="1029" spans="1:13" x14ac:dyDescent="0.25">
      <c r="A1029">
        <v>1028</v>
      </c>
      <c r="B1029" s="1">
        <v>42740</v>
      </c>
      <c r="C1029" s="1">
        <v>43064</v>
      </c>
      <c r="D1029" t="s">
        <v>20</v>
      </c>
      <c r="E1029" t="s">
        <v>26</v>
      </c>
      <c r="F1029" s="2">
        <v>78</v>
      </c>
      <c r="G1029" t="s">
        <v>11</v>
      </c>
      <c r="H1029" s="3">
        <v>23439.64</v>
      </c>
      <c r="I1029" s="3">
        <v>646901</v>
      </c>
      <c r="J1029" s="3">
        <v>517520.8</v>
      </c>
      <c r="K1029" s="3">
        <v>105940.56000000001</v>
      </c>
      <c r="L1029" t="s">
        <v>16</v>
      </c>
      <c r="M1029">
        <v>4.9000000000000004</v>
      </c>
    </row>
    <row r="1030" spans="1:13" x14ac:dyDescent="0.25">
      <c r="A1030">
        <v>1029</v>
      </c>
      <c r="B1030" s="1">
        <v>42740</v>
      </c>
      <c r="C1030" s="1">
        <v>42941</v>
      </c>
      <c r="D1030" t="s">
        <v>23</v>
      </c>
      <c r="E1030" t="s">
        <v>26</v>
      </c>
      <c r="F1030" s="2">
        <v>264</v>
      </c>
      <c r="G1030" t="s">
        <v>12</v>
      </c>
      <c r="H1030" s="3">
        <v>42459.24</v>
      </c>
      <c r="I1030" s="3">
        <v>1125666</v>
      </c>
      <c r="J1030" s="3">
        <v>900532.8</v>
      </c>
      <c r="K1030" s="3">
        <v>182673.95999999996</v>
      </c>
      <c r="L1030" t="s">
        <v>16</v>
      </c>
      <c r="M1030">
        <v>4.3</v>
      </c>
    </row>
    <row r="1031" spans="1:13" x14ac:dyDescent="0.25">
      <c r="A1031">
        <v>1030</v>
      </c>
      <c r="B1031" s="1">
        <v>42740</v>
      </c>
      <c r="C1031" s="1">
        <v>43081</v>
      </c>
      <c r="D1031" t="s">
        <v>21</v>
      </c>
      <c r="E1031" t="s">
        <v>24</v>
      </c>
      <c r="F1031" s="2">
        <v>216</v>
      </c>
      <c r="G1031" t="s">
        <v>12</v>
      </c>
      <c r="H1031" s="3">
        <v>46876.2</v>
      </c>
      <c r="I1031" s="3">
        <v>1230990</v>
      </c>
      <c r="J1031" s="3">
        <v>984792</v>
      </c>
      <c r="K1031" s="3">
        <v>199321.8</v>
      </c>
      <c r="L1031" t="s">
        <v>18</v>
      </c>
      <c r="M1031">
        <v>4.5999999999999996</v>
      </c>
    </row>
    <row r="1032" spans="1:13" x14ac:dyDescent="0.25">
      <c r="A1032">
        <v>1031</v>
      </c>
      <c r="B1032" s="1">
        <v>42740</v>
      </c>
      <c r="C1032" s="1">
        <v>42955</v>
      </c>
      <c r="D1032" t="s">
        <v>22</v>
      </c>
      <c r="E1032" t="s">
        <v>27</v>
      </c>
      <c r="F1032" s="2">
        <v>138</v>
      </c>
      <c r="G1032" t="s">
        <v>12</v>
      </c>
      <c r="H1032" s="3">
        <v>43443.08</v>
      </c>
      <c r="I1032" s="3">
        <v>1143162</v>
      </c>
      <c r="J1032" s="3">
        <v>914529.6</v>
      </c>
      <c r="K1032" s="3">
        <v>185189.32</v>
      </c>
      <c r="L1032" t="s">
        <v>18</v>
      </c>
      <c r="M1032">
        <v>4.2</v>
      </c>
    </row>
    <row r="1033" spans="1:13" x14ac:dyDescent="0.25">
      <c r="A1033">
        <v>1032</v>
      </c>
      <c r="B1033" s="1">
        <v>42741</v>
      </c>
      <c r="C1033" s="1">
        <v>43068</v>
      </c>
      <c r="D1033" t="s">
        <v>20</v>
      </c>
      <c r="E1033" t="s">
        <v>29</v>
      </c>
      <c r="F1033" s="2">
        <v>164</v>
      </c>
      <c r="G1033" t="s">
        <v>12</v>
      </c>
      <c r="H1033" s="3">
        <v>49432</v>
      </c>
      <c r="I1033" s="3">
        <v>1298735</v>
      </c>
      <c r="J1033" s="3">
        <v>1038988</v>
      </c>
      <c r="K1033" s="3">
        <v>210315</v>
      </c>
      <c r="L1033" t="s">
        <v>19</v>
      </c>
      <c r="M1033">
        <v>4.3</v>
      </c>
    </row>
    <row r="1034" spans="1:13" x14ac:dyDescent="0.25">
      <c r="A1034">
        <v>1033</v>
      </c>
      <c r="B1034" s="1">
        <v>42741</v>
      </c>
      <c r="C1034" s="1">
        <v>42893</v>
      </c>
      <c r="D1034" t="s">
        <v>21</v>
      </c>
      <c r="E1034" t="s">
        <v>25</v>
      </c>
      <c r="F1034" s="2">
        <v>168</v>
      </c>
      <c r="G1034" t="s">
        <v>12</v>
      </c>
      <c r="H1034" s="3">
        <v>48851.88</v>
      </c>
      <c r="I1034" s="3">
        <v>1273157</v>
      </c>
      <c r="J1034" s="3">
        <v>1018525.6</v>
      </c>
      <c r="K1034" s="3">
        <v>205779.52000000002</v>
      </c>
      <c r="L1034" t="s">
        <v>19</v>
      </c>
      <c r="M1034">
        <v>4.5</v>
      </c>
    </row>
    <row r="1035" spans="1:13" x14ac:dyDescent="0.25">
      <c r="A1035">
        <v>1034</v>
      </c>
      <c r="B1035" s="1">
        <v>42741</v>
      </c>
      <c r="C1035" s="1">
        <v>42923</v>
      </c>
      <c r="D1035" t="s">
        <v>22</v>
      </c>
      <c r="E1035" t="s">
        <v>25</v>
      </c>
      <c r="F1035" s="2">
        <v>150</v>
      </c>
      <c r="G1035" t="s">
        <v>12</v>
      </c>
      <c r="H1035" s="3">
        <v>35883.199999999997</v>
      </c>
      <c r="I1035" s="3">
        <v>959840</v>
      </c>
      <c r="J1035" s="3">
        <v>767872</v>
      </c>
      <c r="K1035" s="3">
        <v>156084.79999999999</v>
      </c>
      <c r="L1035" t="s">
        <v>19</v>
      </c>
      <c r="M1035">
        <v>4</v>
      </c>
    </row>
    <row r="1036" spans="1:13" x14ac:dyDescent="0.25">
      <c r="A1036">
        <v>1035</v>
      </c>
      <c r="B1036" s="1">
        <v>42742</v>
      </c>
      <c r="C1036" s="1">
        <v>43058</v>
      </c>
      <c r="D1036" t="s">
        <v>20</v>
      </c>
      <c r="E1036" t="s">
        <v>24</v>
      </c>
      <c r="F1036" s="2">
        <v>245</v>
      </c>
      <c r="G1036" t="s">
        <v>12</v>
      </c>
      <c r="H1036" s="3">
        <v>94867.520000000004</v>
      </c>
      <c r="I1036" s="3">
        <v>2435273</v>
      </c>
      <c r="J1036" s="3">
        <v>1948218.4</v>
      </c>
      <c r="K1036" s="3">
        <v>392187.08000000007</v>
      </c>
      <c r="L1036" t="s">
        <v>17</v>
      </c>
      <c r="M1036">
        <v>4.8</v>
      </c>
    </row>
    <row r="1037" spans="1:13" x14ac:dyDescent="0.25">
      <c r="A1037">
        <v>1036</v>
      </c>
      <c r="B1037" s="1">
        <v>42742</v>
      </c>
      <c r="C1037" s="1">
        <v>42978</v>
      </c>
      <c r="D1037" t="s">
        <v>21</v>
      </c>
      <c r="E1037" t="s">
        <v>27</v>
      </c>
      <c r="F1037" s="2">
        <v>174</v>
      </c>
      <c r="G1037" t="s">
        <v>12</v>
      </c>
      <c r="H1037" s="3">
        <v>64799.4</v>
      </c>
      <c r="I1037" s="3">
        <v>1673045</v>
      </c>
      <c r="J1037" s="3">
        <v>1338436</v>
      </c>
      <c r="K1037" s="3">
        <v>269809.59999999998</v>
      </c>
      <c r="L1037" t="s">
        <v>19</v>
      </c>
      <c r="M1037">
        <v>4</v>
      </c>
    </row>
    <row r="1038" spans="1:13" x14ac:dyDescent="0.25">
      <c r="A1038">
        <v>1037</v>
      </c>
      <c r="B1038" s="1">
        <v>42743</v>
      </c>
      <c r="C1038" s="1">
        <v>43081</v>
      </c>
      <c r="D1038" t="s">
        <v>20</v>
      </c>
      <c r="E1038" t="s">
        <v>27</v>
      </c>
      <c r="F1038" s="2">
        <v>267</v>
      </c>
      <c r="G1038" t="s">
        <v>12</v>
      </c>
      <c r="H1038" s="3">
        <v>99215.92</v>
      </c>
      <c r="I1038" s="3">
        <v>2533208</v>
      </c>
      <c r="J1038" s="3">
        <v>2026566.4</v>
      </c>
      <c r="K1038" s="3">
        <v>407425.68000000011</v>
      </c>
      <c r="L1038" t="s">
        <v>17</v>
      </c>
      <c r="M1038">
        <v>4.8</v>
      </c>
    </row>
    <row r="1039" spans="1:13" x14ac:dyDescent="0.25">
      <c r="A1039">
        <v>1038</v>
      </c>
      <c r="B1039" s="1">
        <v>42743</v>
      </c>
      <c r="C1039" s="1">
        <v>42834</v>
      </c>
      <c r="D1039" t="s">
        <v>21</v>
      </c>
      <c r="E1039" t="s">
        <v>26</v>
      </c>
      <c r="F1039" s="2">
        <v>53</v>
      </c>
      <c r="G1039" t="s">
        <v>11</v>
      </c>
      <c r="H1039" s="3">
        <v>12042.04</v>
      </c>
      <c r="I1039" s="3">
        <v>361811</v>
      </c>
      <c r="J1039" s="3">
        <v>289448.8</v>
      </c>
      <c r="K1039" s="3">
        <v>60320.160000000011</v>
      </c>
      <c r="L1039" t="s">
        <v>14</v>
      </c>
      <c r="M1039">
        <v>4.2</v>
      </c>
    </row>
    <row r="1040" spans="1:13" x14ac:dyDescent="0.25">
      <c r="A1040">
        <v>1039</v>
      </c>
      <c r="B1040" s="1">
        <v>42744</v>
      </c>
      <c r="C1040" s="1">
        <v>43036</v>
      </c>
      <c r="D1040" t="s">
        <v>22</v>
      </c>
      <c r="E1040" t="s">
        <v>26</v>
      </c>
      <c r="F1040" s="2">
        <v>260</v>
      </c>
      <c r="G1040" t="s">
        <v>12</v>
      </c>
      <c r="H1040" s="3">
        <v>56779.6</v>
      </c>
      <c r="I1040" s="3">
        <v>1477925</v>
      </c>
      <c r="J1040" s="3">
        <v>1182340</v>
      </c>
      <c r="K1040" s="3">
        <v>238805.4</v>
      </c>
      <c r="L1040" t="s">
        <v>15</v>
      </c>
      <c r="M1040">
        <v>4.5</v>
      </c>
    </row>
    <row r="1041" spans="1:13" x14ac:dyDescent="0.25">
      <c r="A1041">
        <v>1040</v>
      </c>
      <c r="B1041" s="1">
        <v>42744</v>
      </c>
      <c r="C1041" s="1">
        <v>42994</v>
      </c>
      <c r="D1041" t="s">
        <v>21</v>
      </c>
      <c r="E1041" t="s">
        <v>25</v>
      </c>
      <c r="F1041" s="2">
        <v>159</v>
      </c>
      <c r="G1041" t="s">
        <v>12</v>
      </c>
      <c r="H1041" s="3">
        <v>52028.6</v>
      </c>
      <c r="I1041" s="3">
        <v>1351925</v>
      </c>
      <c r="J1041" s="3">
        <v>1081540</v>
      </c>
      <c r="K1041" s="3">
        <v>218356.4</v>
      </c>
      <c r="L1041" t="s">
        <v>17</v>
      </c>
      <c r="M1041">
        <v>4</v>
      </c>
    </row>
    <row r="1042" spans="1:13" x14ac:dyDescent="0.25">
      <c r="A1042">
        <v>1041</v>
      </c>
      <c r="B1042" s="1">
        <v>42744</v>
      </c>
      <c r="C1042" s="1">
        <v>42973</v>
      </c>
      <c r="D1042" t="s">
        <v>22</v>
      </c>
      <c r="E1042" t="s">
        <v>27</v>
      </c>
      <c r="F1042" s="2">
        <v>279</v>
      </c>
      <c r="G1042" t="s">
        <v>12</v>
      </c>
      <c r="H1042" s="3">
        <v>68098.080000000002</v>
      </c>
      <c r="I1042" s="3">
        <v>1768787</v>
      </c>
      <c r="J1042" s="3">
        <v>1415029.6</v>
      </c>
      <c r="K1042" s="3">
        <v>285659.31999999989</v>
      </c>
      <c r="L1042" t="s">
        <v>16</v>
      </c>
      <c r="M1042">
        <v>4</v>
      </c>
    </row>
    <row r="1043" spans="1:13" x14ac:dyDescent="0.25">
      <c r="A1043">
        <v>1042</v>
      </c>
      <c r="B1043" s="1">
        <v>42745</v>
      </c>
      <c r="C1043" s="1">
        <v>43076</v>
      </c>
      <c r="D1043" t="s">
        <v>20</v>
      </c>
      <c r="E1043" t="s">
        <v>13</v>
      </c>
      <c r="F1043" s="2">
        <v>84</v>
      </c>
      <c r="G1043" t="s">
        <v>11</v>
      </c>
      <c r="H1043" s="3">
        <v>14225.4</v>
      </c>
      <c r="I1043" s="3">
        <v>410795</v>
      </c>
      <c r="J1043" s="3">
        <v>328636</v>
      </c>
      <c r="K1043" s="3">
        <v>67933.600000000006</v>
      </c>
      <c r="L1043" t="s">
        <v>18</v>
      </c>
      <c r="M1043">
        <v>3.6</v>
      </c>
    </row>
    <row r="1044" spans="1:13" x14ac:dyDescent="0.25">
      <c r="A1044">
        <v>1043</v>
      </c>
      <c r="B1044" s="1">
        <v>42746</v>
      </c>
      <c r="C1044" s="1">
        <v>42905</v>
      </c>
      <c r="D1044" t="s">
        <v>20</v>
      </c>
      <c r="E1044" t="s">
        <v>28</v>
      </c>
      <c r="F1044" s="2">
        <v>183</v>
      </c>
      <c r="G1044" t="s">
        <v>12</v>
      </c>
      <c r="H1044" s="3">
        <v>72741.16</v>
      </c>
      <c r="I1044" s="3">
        <v>1880489</v>
      </c>
      <c r="J1044" s="3">
        <v>1504391.2</v>
      </c>
      <c r="K1044" s="3">
        <v>303356.64</v>
      </c>
      <c r="L1044" t="s">
        <v>15</v>
      </c>
      <c r="M1044">
        <v>3.6</v>
      </c>
    </row>
    <row r="1045" spans="1:13" x14ac:dyDescent="0.25">
      <c r="A1045">
        <v>1044</v>
      </c>
      <c r="B1045" s="1">
        <v>42746</v>
      </c>
      <c r="C1045" s="1">
        <v>43080</v>
      </c>
      <c r="D1045" t="s">
        <v>22</v>
      </c>
      <c r="E1045" t="s">
        <v>27</v>
      </c>
      <c r="F1045" s="2">
        <v>212</v>
      </c>
      <c r="G1045" t="s">
        <v>12</v>
      </c>
      <c r="H1045" s="3">
        <v>63356.84</v>
      </c>
      <c r="I1045" s="3">
        <v>1639681</v>
      </c>
      <c r="J1045" s="3">
        <v>1311744.8</v>
      </c>
      <c r="K1045" s="3">
        <v>264579.36</v>
      </c>
      <c r="L1045" t="s">
        <v>16</v>
      </c>
      <c r="M1045">
        <v>4.8</v>
      </c>
    </row>
    <row r="1046" spans="1:13" x14ac:dyDescent="0.25">
      <c r="A1046">
        <v>1045</v>
      </c>
      <c r="B1046" s="1">
        <v>42746</v>
      </c>
      <c r="C1046" s="1">
        <v>43017</v>
      </c>
      <c r="D1046" t="s">
        <v>21</v>
      </c>
      <c r="E1046" t="s">
        <v>28</v>
      </c>
      <c r="F1046" s="2">
        <v>255</v>
      </c>
      <c r="G1046" t="s">
        <v>12</v>
      </c>
      <c r="H1046" s="3">
        <v>94971.8</v>
      </c>
      <c r="I1046" s="3">
        <v>2439405</v>
      </c>
      <c r="J1046" s="3">
        <v>1951524</v>
      </c>
      <c r="K1046" s="3">
        <v>392909.2</v>
      </c>
      <c r="L1046" t="s">
        <v>16</v>
      </c>
      <c r="M1046">
        <v>3.8</v>
      </c>
    </row>
    <row r="1047" spans="1:13" x14ac:dyDescent="0.25">
      <c r="A1047">
        <v>1046</v>
      </c>
      <c r="B1047" s="1">
        <v>42746</v>
      </c>
      <c r="C1047" s="1">
        <v>42982</v>
      </c>
      <c r="D1047" t="s">
        <v>22</v>
      </c>
      <c r="E1047" t="s">
        <v>13</v>
      </c>
      <c r="F1047" s="2">
        <v>233</v>
      </c>
      <c r="G1047" t="s">
        <v>12</v>
      </c>
      <c r="H1047" s="3">
        <v>71936.2</v>
      </c>
      <c r="I1047" s="3">
        <v>1859765</v>
      </c>
      <c r="J1047" s="3">
        <v>1487812</v>
      </c>
      <c r="K1047" s="3">
        <v>300016.8</v>
      </c>
      <c r="L1047" t="s">
        <v>19</v>
      </c>
      <c r="M1047">
        <v>4.8</v>
      </c>
    </row>
    <row r="1048" spans="1:13" x14ac:dyDescent="0.25">
      <c r="A1048">
        <v>1047</v>
      </c>
      <c r="B1048" s="1">
        <v>42746</v>
      </c>
      <c r="C1048" s="1">
        <v>43066</v>
      </c>
      <c r="D1048" t="s">
        <v>20</v>
      </c>
      <c r="E1048" t="s">
        <v>26</v>
      </c>
      <c r="F1048" s="2">
        <v>154</v>
      </c>
      <c r="G1048" t="s">
        <v>12</v>
      </c>
      <c r="H1048" s="3">
        <v>37106.720000000001</v>
      </c>
      <c r="I1048" s="3">
        <v>986178</v>
      </c>
      <c r="J1048" s="3">
        <v>788942.4</v>
      </c>
      <c r="K1048" s="3">
        <v>160128.87999999998</v>
      </c>
      <c r="L1048" t="s">
        <v>17</v>
      </c>
      <c r="M1048">
        <v>4.3</v>
      </c>
    </row>
    <row r="1049" spans="1:13" x14ac:dyDescent="0.25">
      <c r="A1049">
        <v>1048</v>
      </c>
      <c r="B1049" s="1">
        <v>42747</v>
      </c>
      <c r="C1049" s="1">
        <v>43003</v>
      </c>
      <c r="D1049" t="s">
        <v>21</v>
      </c>
      <c r="E1049" t="s">
        <v>13</v>
      </c>
      <c r="F1049" s="2">
        <v>275</v>
      </c>
      <c r="G1049" t="s">
        <v>12</v>
      </c>
      <c r="H1049" s="3">
        <v>93875.88</v>
      </c>
      <c r="I1049" s="3">
        <v>2399057</v>
      </c>
      <c r="J1049" s="3">
        <v>1919245.6</v>
      </c>
      <c r="K1049" s="3">
        <v>385935.5199999999</v>
      </c>
      <c r="L1049" t="s">
        <v>19</v>
      </c>
      <c r="M1049">
        <v>5</v>
      </c>
    </row>
    <row r="1050" spans="1:13" x14ac:dyDescent="0.25">
      <c r="A1050">
        <v>1049</v>
      </c>
      <c r="B1050" s="1">
        <v>42747</v>
      </c>
      <c r="C1050" s="1">
        <v>42846</v>
      </c>
      <c r="D1050" t="s">
        <v>22</v>
      </c>
      <c r="E1050" t="s">
        <v>29</v>
      </c>
      <c r="F1050" s="2">
        <v>68</v>
      </c>
      <c r="G1050" t="s">
        <v>11</v>
      </c>
      <c r="H1050" s="3">
        <v>25716.48</v>
      </c>
      <c r="I1050" s="3">
        <v>709472</v>
      </c>
      <c r="J1050" s="3">
        <v>567577.59999999998</v>
      </c>
      <c r="K1050" s="3">
        <v>116177.92000000003</v>
      </c>
      <c r="L1050" t="s">
        <v>16</v>
      </c>
      <c r="M1050">
        <v>4.9000000000000004</v>
      </c>
    </row>
    <row r="1051" spans="1:13" x14ac:dyDescent="0.25">
      <c r="A1051">
        <v>1050</v>
      </c>
      <c r="B1051" s="1">
        <v>42747</v>
      </c>
      <c r="C1051" s="1">
        <v>42994</v>
      </c>
      <c r="D1051" t="s">
        <v>20</v>
      </c>
      <c r="E1051" t="s">
        <v>25</v>
      </c>
      <c r="F1051" s="2">
        <v>114</v>
      </c>
      <c r="G1051" t="s">
        <v>11</v>
      </c>
      <c r="H1051" s="3">
        <v>27259.200000000001</v>
      </c>
      <c r="I1051" s="3">
        <v>740165</v>
      </c>
      <c r="J1051" s="3">
        <v>592132</v>
      </c>
      <c r="K1051" s="3">
        <v>120773.8</v>
      </c>
      <c r="L1051" t="s">
        <v>14</v>
      </c>
      <c r="M1051">
        <v>4.5</v>
      </c>
    </row>
    <row r="1052" spans="1:13" x14ac:dyDescent="0.25">
      <c r="A1052">
        <v>1051</v>
      </c>
      <c r="B1052" s="1">
        <v>42747</v>
      </c>
      <c r="C1052" s="1">
        <v>43016</v>
      </c>
      <c r="D1052" t="s">
        <v>23</v>
      </c>
      <c r="E1052" t="s">
        <v>13</v>
      </c>
      <c r="F1052" s="2">
        <v>243</v>
      </c>
      <c r="G1052" t="s">
        <v>12</v>
      </c>
      <c r="H1052" s="3">
        <v>76478.92</v>
      </c>
      <c r="I1052" s="3">
        <v>1976933</v>
      </c>
      <c r="J1052" s="3">
        <v>1581546.4</v>
      </c>
      <c r="K1052" s="3">
        <v>318907.68000000011</v>
      </c>
      <c r="L1052" t="s">
        <v>15</v>
      </c>
      <c r="M1052">
        <v>4.5</v>
      </c>
    </row>
    <row r="1053" spans="1:13" x14ac:dyDescent="0.25">
      <c r="A1053">
        <v>1052</v>
      </c>
      <c r="B1053" s="1">
        <v>42747</v>
      </c>
      <c r="C1053" s="1">
        <v>43081</v>
      </c>
      <c r="D1053" t="s">
        <v>23</v>
      </c>
      <c r="E1053" t="s">
        <v>13</v>
      </c>
      <c r="F1053" s="2">
        <v>68</v>
      </c>
      <c r="G1053" t="s">
        <v>11</v>
      </c>
      <c r="H1053" s="3">
        <v>23791</v>
      </c>
      <c r="I1053" s="3">
        <v>661085</v>
      </c>
      <c r="J1053" s="3">
        <v>528868</v>
      </c>
      <c r="K1053" s="3">
        <v>108426</v>
      </c>
      <c r="L1053" t="s">
        <v>18</v>
      </c>
      <c r="M1053">
        <v>5</v>
      </c>
    </row>
    <row r="1054" spans="1:13" x14ac:dyDescent="0.25">
      <c r="A1054">
        <v>1053</v>
      </c>
      <c r="B1054" s="1">
        <v>42748</v>
      </c>
      <c r="C1054" s="1">
        <v>42926</v>
      </c>
      <c r="D1054" t="s">
        <v>22</v>
      </c>
      <c r="E1054" t="s">
        <v>13</v>
      </c>
      <c r="F1054" s="2">
        <v>36</v>
      </c>
      <c r="G1054" t="s">
        <v>11</v>
      </c>
      <c r="H1054" s="3">
        <v>8004.2</v>
      </c>
      <c r="I1054" s="3">
        <v>260765</v>
      </c>
      <c r="J1054" s="3">
        <v>208612</v>
      </c>
      <c r="K1054" s="3">
        <v>44148.800000000003</v>
      </c>
      <c r="L1054" t="s">
        <v>18</v>
      </c>
      <c r="M1054">
        <v>4</v>
      </c>
    </row>
    <row r="1055" spans="1:13" x14ac:dyDescent="0.25">
      <c r="A1055">
        <v>1054</v>
      </c>
      <c r="B1055" s="1">
        <v>42749</v>
      </c>
      <c r="C1055" s="1">
        <v>42870</v>
      </c>
      <c r="D1055" t="s">
        <v>23</v>
      </c>
      <c r="E1055" t="s">
        <v>13</v>
      </c>
      <c r="F1055" s="2">
        <v>245</v>
      </c>
      <c r="G1055" t="s">
        <v>12</v>
      </c>
      <c r="H1055" s="3">
        <v>84935.84</v>
      </c>
      <c r="I1055" s="3">
        <v>2175256</v>
      </c>
      <c r="J1055" s="3">
        <v>1740204.8</v>
      </c>
      <c r="K1055" s="3">
        <v>350115.36</v>
      </c>
      <c r="L1055" t="s">
        <v>14</v>
      </c>
      <c r="M1055">
        <v>4.3</v>
      </c>
    </row>
    <row r="1056" spans="1:13" x14ac:dyDescent="0.25">
      <c r="A1056">
        <v>1055</v>
      </c>
      <c r="B1056" s="1">
        <v>42749</v>
      </c>
      <c r="C1056" s="1">
        <v>43038</v>
      </c>
      <c r="D1056" t="s">
        <v>21</v>
      </c>
      <c r="E1056" t="s">
        <v>29</v>
      </c>
      <c r="F1056" s="2">
        <v>144</v>
      </c>
      <c r="G1056" t="s">
        <v>12</v>
      </c>
      <c r="H1056" s="3">
        <v>49411.32</v>
      </c>
      <c r="I1056" s="3">
        <v>1286893</v>
      </c>
      <c r="J1056" s="3">
        <v>1029514.4</v>
      </c>
      <c r="K1056" s="3">
        <v>207967.27999999997</v>
      </c>
      <c r="L1056" t="s">
        <v>15</v>
      </c>
      <c r="M1056">
        <v>3.6</v>
      </c>
    </row>
    <row r="1057" spans="1:13" x14ac:dyDescent="0.25">
      <c r="A1057">
        <v>1056</v>
      </c>
      <c r="B1057" s="1">
        <v>42750</v>
      </c>
      <c r="C1057" s="1">
        <v>42888</v>
      </c>
      <c r="D1057" t="s">
        <v>20</v>
      </c>
      <c r="E1057" t="s">
        <v>13</v>
      </c>
      <c r="F1057" s="2">
        <v>41</v>
      </c>
      <c r="G1057" t="s">
        <v>11</v>
      </c>
      <c r="H1057" s="3">
        <v>11264.2</v>
      </c>
      <c r="I1057" s="3">
        <v>336590</v>
      </c>
      <c r="J1057" s="3">
        <v>269272</v>
      </c>
      <c r="K1057" s="3">
        <v>56053.8</v>
      </c>
      <c r="L1057" t="s">
        <v>14</v>
      </c>
      <c r="M1057">
        <v>3.7</v>
      </c>
    </row>
    <row r="1058" spans="1:13" x14ac:dyDescent="0.25">
      <c r="A1058">
        <v>1057</v>
      </c>
      <c r="B1058" s="1">
        <v>42750</v>
      </c>
      <c r="C1058" s="1">
        <v>43099</v>
      </c>
      <c r="D1058" t="s">
        <v>21</v>
      </c>
      <c r="E1058" t="s">
        <v>24</v>
      </c>
      <c r="F1058" s="2">
        <v>86</v>
      </c>
      <c r="G1058" t="s">
        <v>11</v>
      </c>
      <c r="H1058" s="3">
        <v>22840</v>
      </c>
      <c r="I1058" s="3">
        <v>636335</v>
      </c>
      <c r="J1058" s="3">
        <v>509068</v>
      </c>
      <c r="K1058" s="3">
        <v>104427</v>
      </c>
      <c r="L1058" t="s">
        <v>18</v>
      </c>
      <c r="M1058">
        <v>3.9</v>
      </c>
    </row>
    <row r="1059" spans="1:13" x14ac:dyDescent="0.25">
      <c r="A1059">
        <v>1058</v>
      </c>
      <c r="B1059" s="1">
        <v>42750</v>
      </c>
      <c r="C1059" s="1">
        <v>43106</v>
      </c>
      <c r="D1059" t="s">
        <v>20</v>
      </c>
      <c r="E1059" t="s">
        <v>24</v>
      </c>
      <c r="F1059" s="2">
        <v>215</v>
      </c>
      <c r="G1059" t="s">
        <v>12</v>
      </c>
      <c r="H1059" s="3">
        <v>76162.080000000002</v>
      </c>
      <c r="I1059" s="3">
        <v>1956312</v>
      </c>
      <c r="J1059" s="3">
        <v>1565049.6</v>
      </c>
      <c r="K1059" s="3">
        <v>315100.31999999989</v>
      </c>
      <c r="L1059" t="s">
        <v>16</v>
      </c>
      <c r="M1059">
        <v>4.5</v>
      </c>
    </row>
    <row r="1060" spans="1:13" x14ac:dyDescent="0.25">
      <c r="A1060">
        <v>1059</v>
      </c>
      <c r="B1060" s="1">
        <v>42751</v>
      </c>
      <c r="C1060" s="1">
        <v>42998</v>
      </c>
      <c r="D1060" t="s">
        <v>21</v>
      </c>
      <c r="E1060" t="s">
        <v>25</v>
      </c>
      <c r="F1060" s="2">
        <v>127</v>
      </c>
      <c r="G1060" t="s">
        <v>11</v>
      </c>
      <c r="H1060" s="3">
        <v>22025.200000000001</v>
      </c>
      <c r="I1060" s="3">
        <v>609715</v>
      </c>
      <c r="J1060" s="3">
        <v>487772</v>
      </c>
      <c r="K1060" s="3">
        <v>99917.8</v>
      </c>
      <c r="L1060" t="s">
        <v>17</v>
      </c>
      <c r="M1060">
        <v>4.5999999999999996</v>
      </c>
    </row>
    <row r="1061" spans="1:13" x14ac:dyDescent="0.25">
      <c r="A1061">
        <v>1060</v>
      </c>
      <c r="B1061" s="1">
        <v>42752</v>
      </c>
      <c r="C1061" s="1">
        <v>43080</v>
      </c>
      <c r="D1061" t="s">
        <v>21</v>
      </c>
      <c r="E1061" t="s">
        <v>25</v>
      </c>
      <c r="F1061" s="2">
        <v>74</v>
      </c>
      <c r="G1061" t="s">
        <v>11</v>
      </c>
      <c r="H1061" s="3">
        <v>18788.400000000001</v>
      </c>
      <c r="I1061" s="3">
        <v>537045</v>
      </c>
      <c r="J1061" s="3">
        <v>429636</v>
      </c>
      <c r="K1061" s="3">
        <v>88620.6</v>
      </c>
      <c r="L1061" t="s">
        <v>17</v>
      </c>
      <c r="M1061">
        <v>4.4000000000000004</v>
      </c>
    </row>
    <row r="1062" spans="1:13" x14ac:dyDescent="0.25">
      <c r="A1062">
        <v>1061</v>
      </c>
      <c r="B1062" s="1">
        <v>42752</v>
      </c>
      <c r="C1062" s="1">
        <v>43086</v>
      </c>
      <c r="D1062" t="s">
        <v>23</v>
      </c>
      <c r="E1062" t="s">
        <v>27</v>
      </c>
      <c r="F1062" s="2">
        <v>39</v>
      </c>
      <c r="G1062" t="s">
        <v>11</v>
      </c>
      <c r="H1062" s="3">
        <v>9246.6</v>
      </c>
      <c r="I1062" s="3">
        <v>296000</v>
      </c>
      <c r="J1062" s="3">
        <v>236800</v>
      </c>
      <c r="K1062" s="3">
        <v>49953.4</v>
      </c>
      <c r="L1062" t="s">
        <v>16</v>
      </c>
      <c r="M1062">
        <v>3.9</v>
      </c>
    </row>
    <row r="1063" spans="1:13" x14ac:dyDescent="0.25">
      <c r="A1063">
        <v>1062</v>
      </c>
      <c r="B1063" s="1">
        <v>42753</v>
      </c>
      <c r="C1063" s="1">
        <v>42998</v>
      </c>
      <c r="D1063" t="s">
        <v>21</v>
      </c>
      <c r="E1063" t="s">
        <v>26</v>
      </c>
      <c r="F1063" s="2">
        <v>64</v>
      </c>
      <c r="G1063" t="s">
        <v>11</v>
      </c>
      <c r="H1063" s="3">
        <v>24947.08</v>
      </c>
      <c r="I1063" s="3">
        <v>688537</v>
      </c>
      <c r="J1063" s="3">
        <v>550829.6</v>
      </c>
      <c r="K1063" s="3">
        <v>112760.32000000002</v>
      </c>
      <c r="L1063" t="s">
        <v>16</v>
      </c>
      <c r="M1063">
        <v>4</v>
      </c>
    </row>
    <row r="1064" spans="1:13" x14ac:dyDescent="0.25">
      <c r="A1064">
        <v>1063</v>
      </c>
      <c r="B1064" s="1">
        <v>42754</v>
      </c>
      <c r="C1064" s="1">
        <v>42983</v>
      </c>
      <c r="D1064" t="s">
        <v>22</v>
      </c>
      <c r="E1064" t="s">
        <v>29</v>
      </c>
      <c r="F1064" s="2">
        <v>206</v>
      </c>
      <c r="G1064" t="s">
        <v>12</v>
      </c>
      <c r="H1064" s="3">
        <v>74275.64</v>
      </c>
      <c r="I1064" s="3">
        <v>1923026</v>
      </c>
      <c r="J1064" s="3">
        <v>1538420.8</v>
      </c>
      <c r="K1064" s="3">
        <v>310329.55999999994</v>
      </c>
      <c r="L1064" t="s">
        <v>17</v>
      </c>
      <c r="M1064">
        <v>4.3</v>
      </c>
    </row>
    <row r="1065" spans="1:13" x14ac:dyDescent="0.25">
      <c r="A1065">
        <v>1064</v>
      </c>
      <c r="B1065" s="1">
        <v>42754</v>
      </c>
      <c r="C1065" s="1">
        <v>43059</v>
      </c>
      <c r="D1065" t="s">
        <v>20</v>
      </c>
      <c r="E1065" t="s">
        <v>28</v>
      </c>
      <c r="F1065" s="2">
        <v>76</v>
      </c>
      <c r="G1065" t="s">
        <v>11</v>
      </c>
      <c r="H1065" s="3">
        <v>23188</v>
      </c>
      <c r="I1065" s="3">
        <v>643685</v>
      </c>
      <c r="J1065" s="3">
        <v>514948</v>
      </c>
      <c r="K1065" s="3">
        <v>105549</v>
      </c>
      <c r="L1065" t="s">
        <v>14</v>
      </c>
      <c r="M1065">
        <v>3.6</v>
      </c>
    </row>
    <row r="1066" spans="1:13" x14ac:dyDescent="0.25">
      <c r="A1066">
        <v>1065</v>
      </c>
      <c r="B1066" s="1">
        <v>42754</v>
      </c>
      <c r="C1066" s="1">
        <v>43022</v>
      </c>
      <c r="D1066" t="s">
        <v>22</v>
      </c>
      <c r="E1066" t="s">
        <v>29</v>
      </c>
      <c r="F1066" s="2">
        <v>196</v>
      </c>
      <c r="G1066" t="s">
        <v>12</v>
      </c>
      <c r="H1066" s="3">
        <v>59073</v>
      </c>
      <c r="I1066" s="3">
        <v>1539285</v>
      </c>
      <c r="J1066" s="3">
        <v>1231428</v>
      </c>
      <c r="K1066" s="3">
        <v>248784</v>
      </c>
      <c r="L1066" t="s">
        <v>16</v>
      </c>
      <c r="M1066">
        <v>4.3</v>
      </c>
    </row>
    <row r="1067" spans="1:13" x14ac:dyDescent="0.25">
      <c r="A1067">
        <v>1066</v>
      </c>
      <c r="B1067" s="1">
        <v>42755</v>
      </c>
      <c r="C1067" s="1">
        <v>42910</v>
      </c>
      <c r="D1067" t="s">
        <v>22</v>
      </c>
      <c r="E1067" t="s">
        <v>25</v>
      </c>
      <c r="F1067" s="2">
        <v>280</v>
      </c>
      <c r="G1067" t="s">
        <v>12</v>
      </c>
      <c r="H1067" s="3">
        <v>111689.32</v>
      </c>
      <c r="I1067" s="3">
        <v>2844493</v>
      </c>
      <c r="J1067" s="3">
        <v>2275594.4</v>
      </c>
      <c r="K1067" s="3">
        <v>457209.28000000009</v>
      </c>
      <c r="L1067" t="s">
        <v>15</v>
      </c>
      <c r="M1067">
        <v>4.9000000000000004</v>
      </c>
    </row>
    <row r="1068" spans="1:13" x14ac:dyDescent="0.25">
      <c r="A1068">
        <v>1067</v>
      </c>
      <c r="B1068" s="1">
        <v>42755</v>
      </c>
      <c r="C1068" s="1">
        <v>43047</v>
      </c>
      <c r="D1068" t="s">
        <v>23</v>
      </c>
      <c r="E1068" t="s">
        <v>13</v>
      </c>
      <c r="F1068" s="2">
        <v>104</v>
      </c>
      <c r="G1068" t="s">
        <v>12</v>
      </c>
      <c r="H1068" s="3">
        <v>34879.800000000003</v>
      </c>
      <c r="I1068" s="3">
        <v>929105</v>
      </c>
      <c r="J1068" s="3">
        <v>743284</v>
      </c>
      <c r="K1068" s="3">
        <v>150941.20000000001</v>
      </c>
      <c r="L1068" t="s">
        <v>15</v>
      </c>
      <c r="M1068">
        <v>4.2</v>
      </c>
    </row>
    <row r="1069" spans="1:13" x14ac:dyDescent="0.25">
      <c r="A1069">
        <v>1068</v>
      </c>
      <c r="B1069" s="1">
        <v>42756</v>
      </c>
      <c r="C1069" s="1">
        <v>43025</v>
      </c>
      <c r="D1069" t="s">
        <v>23</v>
      </c>
      <c r="E1069" t="s">
        <v>28</v>
      </c>
      <c r="F1069" s="2">
        <v>218</v>
      </c>
      <c r="G1069" t="s">
        <v>12</v>
      </c>
      <c r="H1069" s="3">
        <v>57697.88</v>
      </c>
      <c r="I1069" s="3">
        <v>1507682</v>
      </c>
      <c r="J1069" s="3">
        <v>1206145.6000000001</v>
      </c>
      <c r="K1069" s="3">
        <v>243838.5199999999</v>
      </c>
      <c r="L1069" t="s">
        <v>16</v>
      </c>
      <c r="M1069">
        <v>4.4000000000000004</v>
      </c>
    </row>
    <row r="1070" spans="1:13" x14ac:dyDescent="0.25">
      <c r="A1070">
        <v>1069</v>
      </c>
      <c r="B1070" s="1">
        <v>42756</v>
      </c>
      <c r="C1070" s="1">
        <v>42858</v>
      </c>
      <c r="D1070" t="s">
        <v>20</v>
      </c>
      <c r="E1070" t="s">
        <v>25</v>
      </c>
      <c r="F1070" s="2">
        <v>105</v>
      </c>
      <c r="G1070" t="s">
        <v>12</v>
      </c>
      <c r="H1070" s="3">
        <v>41722.76</v>
      </c>
      <c r="I1070" s="3">
        <v>1102229</v>
      </c>
      <c r="J1070" s="3">
        <v>881783.2</v>
      </c>
      <c r="K1070" s="3">
        <v>178723.04000000004</v>
      </c>
      <c r="L1070" t="s">
        <v>15</v>
      </c>
      <c r="M1070">
        <v>4</v>
      </c>
    </row>
    <row r="1071" spans="1:13" x14ac:dyDescent="0.25">
      <c r="A1071">
        <v>1070</v>
      </c>
      <c r="B1071" s="1">
        <v>42756</v>
      </c>
      <c r="C1071" s="1">
        <v>42970</v>
      </c>
      <c r="D1071" t="s">
        <v>20</v>
      </c>
      <c r="E1071" t="s">
        <v>27</v>
      </c>
      <c r="F1071" s="2">
        <v>227</v>
      </c>
      <c r="G1071" t="s">
        <v>12</v>
      </c>
      <c r="H1071" s="3">
        <v>45873.36</v>
      </c>
      <c r="I1071" s="3">
        <v>1199269</v>
      </c>
      <c r="J1071" s="3">
        <v>959415.2</v>
      </c>
      <c r="K1071" s="3">
        <v>193980.44000000006</v>
      </c>
      <c r="L1071" t="s">
        <v>15</v>
      </c>
      <c r="M1071">
        <v>3.6</v>
      </c>
    </row>
    <row r="1072" spans="1:13" x14ac:dyDescent="0.25">
      <c r="A1072">
        <v>1071</v>
      </c>
      <c r="B1072" s="1">
        <v>42756</v>
      </c>
      <c r="C1072" s="1">
        <v>42852</v>
      </c>
      <c r="D1072" t="s">
        <v>23</v>
      </c>
      <c r="E1072" t="s">
        <v>25</v>
      </c>
      <c r="F1072" s="2">
        <v>114</v>
      </c>
      <c r="G1072" t="s">
        <v>12</v>
      </c>
      <c r="H1072" s="3">
        <v>44571.08</v>
      </c>
      <c r="I1072" s="3">
        <v>1170937</v>
      </c>
      <c r="J1072" s="3">
        <v>936749.6</v>
      </c>
      <c r="K1072" s="3">
        <v>189616.32</v>
      </c>
      <c r="L1072" t="s">
        <v>14</v>
      </c>
      <c r="M1072">
        <v>4.5999999999999996</v>
      </c>
    </row>
    <row r="1073" spans="1:13" x14ac:dyDescent="0.25">
      <c r="A1073">
        <v>1072</v>
      </c>
      <c r="B1073" s="1">
        <v>42757</v>
      </c>
      <c r="C1073" s="1">
        <v>42848</v>
      </c>
      <c r="D1073" t="s">
        <v>20</v>
      </c>
      <c r="E1073" t="s">
        <v>28</v>
      </c>
      <c r="F1073" s="2">
        <v>128</v>
      </c>
      <c r="G1073" t="s">
        <v>11</v>
      </c>
      <c r="H1073" s="3">
        <v>22918.080000000002</v>
      </c>
      <c r="I1073" s="3">
        <v>628637</v>
      </c>
      <c r="J1073" s="3">
        <v>502909.6</v>
      </c>
      <c r="K1073" s="3">
        <v>102809.32000000002</v>
      </c>
      <c r="L1073" t="s">
        <v>14</v>
      </c>
      <c r="M1073">
        <v>3.7</v>
      </c>
    </row>
    <row r="1074" spans="1:13" x14ac:dyDescent="0.25">
      <c r="A1074">
        <v>1073</v>
      </c>
      <c r="B1074" s="1">
        <v>42757</v>
      </c>
      <c r="C1074" s="1">
        <v>42941</v>
      </c>
      <c r="D1074" t="s">
        <v>23</v>
      </c>
      <c r="E1074" t="s">
        <v>24</v>
      </c>
      <c r="F1074" s="2">
        <v>241</v>
      </c>
      <c r="G1074" t="s">
        <v>12</v>
      </c>
      <c r="H1074" s="3">
        <v>82237.64</v>
      </c>
      <c r="I1074" s="3">
        <v>2120351</v>
      </c>
      <c r="J1074" s="3">
        <v>1696280.8</v>
      </c>
      <c r="K1074" s="3">
        <v>341832.55999999994</v>
      </c>
      <c r="L1074" t="s">
        <v>19</v>
      </c>
      <c r="M1074">
        <v>4.5999999999999996</v>
      </c>
    </row>
    <row r="1075" spans="1:13" x14ac:dyDescent="0.25">
      <c r="A1075">
        <v>1074</v>
      </c>
      <c r="B1075" s="1">
        <v>42757</v>
      </c>
      <c r="C1075" s="1">
        <v>42997</v>
      </c>
      <c r="D1075" t="s">
        <v>22</v>
      </c>
      <c r="E1075" t="s">
        <v>27</v>
      </c>
      <c r="F1075" s="2">
        <v>287</v>
      </c>
      <c r="G1075" t="s">
        <v>12</v>
      </c>
      <c r="H1075" s="3">
        <v>84556.2</v>
      </c>
      <c r="I1075" s="3">
        <v>2178315</v>
      </c>
      <c r="J1075" s="3">
        <v>1742652</v>
      </c>
      <c r="K1075" s="3">
        <v>351106.8</v>
      </c>
      <c r="L1075" t="s">
        <v>16</v>
      </c>
      <c r="M1075">
        <v>4.5999999999999996</v>
      </c>
    </row>
    <row r="1076" spans="1:13" x14ac:dyDescent="0.25">
      <c r="A1076">
        <v>1075</v>
      </c>
      <c r="B1076" s="1">
        <v>42758</v>
      </c>
      <c r="C1076" s="1">
        <v>42998</v>
      </c>
      <c r="D1076" t="s">
        <v>21</v>
      </c>
      <c r="E1076" t="s">
        <v>28</v>
      </c>
      <c r="F1076" s="2">
        <v>286</v>
      </c>
      <c r="G1076" t="s">
        <v>12</v>
      </c>
      <c r="H1076" s="3">
        <v>89884</v>
      </c>
      <c r="I1076" s="3">
        <v>2311535</v>
      </c>
      <c r="J1076" s="3">
        <v>1849228</v>
      </c>
      <c r="K1076" s="3">
        <v>372423</v>
      </c>
      <c r="L1076" t="s">
        <v>17</v>
      </c>
      <c r="M1076">
        <v>4.7</v>
      </c>
    </row>
    <row r="1077" spans="1:13" x14ac:dyDescent="0.25">
      <c r="A1077">
        <v>1076</v>
      </c>
      <c r="B1077" s="1">
        <v>42758</v>
      </c>
      <c r="C1077" s="1">
        <v>42851</v>
      </c>
      <c r="D1077" t="s">
        <v>22</v>
      </c>
      <c r="E1077" t="s">
        <v>27</v>
      </c>
      <c r="F1077" s="2">
        <v>65</v>
      </c>
      <c r="G1077" t="s">
        <v>11</v>
      </c>
      <c r="H1077" s="3">
        <v>11201.72</v>
      </c>
      <c r="I1077" s="3">
        <v>334853</v>
      </c>
      <c r="J1077" s="3">
        <v>267882.40000000002</v>
      </c>
      <c r="K1077" s="3">
        <v>55768.879999999976</v>
      </c>
      <c r="L1077" t="s">
        <v>19</v>
      </c>
      <c r="M1077">
        <v>4.2</v>
      </c>
    </row>
    <row r="1078" spans="1:13" x14ac:dyDescent="0.25">
      <c r="A1078">
        <v>1077</v>
      </c>
      <c r="B1078" s="1">
        <v>42758</v>
      </c>
      <c r="C1078" s="1">
        <v>43114</v>
      </c>
      <c r="D1078" t="s">
        <v>21</v>
      </c>
      <c r="E1078" t="s">
        <v>29</v>
      </c>
      <c r="F1078" s="2">
        <v>207</v>
      </c>
      <c r="G1078" t="s">
        <v>12</v>
      </c>
      <c r="H1078" s="3">
        <v>75245.16</v>
      </c>
      <c r="I1078" s="3">
        <v>1948089</v>
      </c>
      <c r="J1078" s="3">
        <v>1558471.2</v>
      </c>
      <c r="K1078" s="3">
        <v>314372.64</v>
      </c>
      <c r="L1078" t="s">
        <v>18</v>
      </c>
      <c r="M1078">
        <v>3.7</v>
      </c>
    </row>
    <row r="1079" spans="1:13" x14ac:dyDescent="0.25">
      <c r="A1079">
        <v>1078</v>
      </c>
      <c r="B1079" s="1">
        <v>42759</v>
      </c>
      <c r="C1079" s="1">
        <v>43067</v>
      </c>
      <c r="D1079" t="s">
        <v>23</v>
      </c>
      <c r="E1079" t="s">
        <v>27</v>
      </c>
      <c r="F1079" s="2">
        <v>248</v>
      </c>
      <c r="G1079" t="s">
        <v>12</v>
      </c>
      <c r="H1079" s="3">
        <v>73282.759999999995</v>
      </c>
      <c r="I1079" s="3">
        <v>1887129</v>
      </c>
      <c r="J1079" s="3">
        <v>1509703.2</v>
      </c>
      <c r="K1079" s="3">
        <v>304143.04000000004</v>
      </c>
      <c r="L1079" t="s">
        <v>14</v>
      </c>
      <c r="M1079">
        <v>4.5</v>
      </c>
    </row>
    <row r="1080" spans="1:13" x14ac:dyDescent="0.25">
      <c r="A1080">
        <v>1079</v>
      </c>
      <c r="B1080" s="1">
        <v>42759</v>
      </c>
      <c r="C1080" s="1">
        <v>43027</v>
      </c>
      <c r="D1080" t="s">
        <v>21</v>
      </c>
      <c r="E1080" t="s">
        <v>28</v>
      </c>
      <c r="F1080" s="2">
        <v>88</v>
      </c>
      <c r="G1080" t="s">
        <v>12</v>
      </c>
      <c r="H1080" s="3">
        <v>29933.439999999999</v>
      </c>
      <c r="I1080" s="3">
        <v>814171</v>
      </c>
      <c r="J1080" s="3">
        <v>651336.80000000005</v>
      </c>
      <c r="K1080" s="3">
        <v>132900.75999999995</v>
      </c>
      <c r="L1080" t="s">
        <v>19</v>
      </c>
      <c r="M1080">
        <v>3.9</v>
      </c>
    </row>
    <row r="1081" spans="1:13" x14ac:dyDescent="0.25">
      <c r="A1081">
        <v>1080</v>
      </c>
      <c r="B1081" s="1">
        <v>42759</v>
      </c>
      <c r="C1081" s="1">
        <v>43084</v>
      </c>
      <c r="D1081" t="s">
        <v>20</v>
      </c>
      <c r="E1081" t="s">
        <v>26</v>
      </c>
      <c r="F1081" s="2">
        <v>284</v>
      </c>
      <c r="G1081" t="s">
        <v>12</v>
      </c>
      <c r="H1081" s="3">
        <v>90092.160000000003</v>
      </c>
      <c r="I1081" s="3">
        <v>2315839</v>
      </c>
      <c r="J1081" s="3">
        <v>1852671.2</v>
      </c>
      <c r="K1081" s="3">
        <v>373075.64</v>
      </c>
      <c r="L1081" t="s">
        <v>16</v>
      </c>
      <c r="M1081">
        <v>4</v>
      </c>
    </row>
    <row r="1082" spans="1:13" x14ac:dyDescent="0.25">
      <c r="A1082">
        <v>1081</v>
      </c>
      <c r="B1082" s="1">
        <v>42759</v>
      </c>
      <c r="C1082" s="1">
        <v>43021</v>
      </c>
      <c r="D1082" t="s">
        <v>22</v>
      </c>
      <c r="E1082" t="s">
        <v>29</v>
      </c>
      <c r="F1082" s="2">
        <v>176</v>
      </c>
      <c r="G1082" t="s">
        <v>12</v>
      </c>
      <c r="H1082" s="3">
        <v>44330.8</v>
      </c>
      <c r="I1082" s="3">
        <v>1164905</v>
      </c>
      <c r="J1082" s="3">
        <v>931924</v>
      </c>
      <c r="K1082" s="3">
        <v>188650.2</v>
      </c>
      <c r="L1082" t="s">
        <v>14</v>
      </c>
      <c r="M1082">
        <v>4.5</v>
      </c>
    </row>
    <row r="1083" spans="1:13" x14ac:dyDescent="0.25">
      <c r="A1083">
        <v>1082</v>
      </c>
      <c r="B1083" s="1">
        <v>42760</v>
      </c>
      <c r="C1083" s="1">
        <v>42861</v>
      </c>
      <c r="D1083" t="s">
        <v>20</v>
      </c>
      <c r="E1083" t="s">
        <v>28</v>
      </c>
      <c r="F1083" s="2">
        <v>169</v>
      </c>
      <c r="G1083" t="s">
        <v>12</v>
      </c>
      <c r="H1083" s="3">
        <v>63401.120000000003</v>
      </c>
      <c r="I1083" s="3">
        <v>1651613</v>
      </c>
      <c r="J1083" s="3">
        <v>1321290.3999999999</v>
      </c>
      <c r="K1083" s="3">
        <v>266921.4800000001</v>
      </c>
      <c r="L1083" t="s">
        <v>14</v>
      </c>
      <c r="M1083">
        <v>4.4000000000000004</v>
      </c>
    </row>
    <row r="1084" spans="1:13" x14ac:dyDescent="0.25">
      <c r="A1084">
        <v>1083</v>
      </c>
      <c r="B1084" s="1">
        <v>42760</v>
      </c>
      <c r="C1084" s="1">
        <v>43102</v>
      </c>
      <c r="D1084" t="s">
        <v>23</v>
      </c>
      <c r="E1084" t="s">
        <v>27</v>
      </c>
      <c r="F1084" s="2">
        <v>207</v>
      </c>
      <c r="G1084" t="s">
        <v>12</v>
      </c>
      <c r="H1084" s="3">
        <v>52506.2</v>
      </c>
      <c r="I1084" s="3">
        <v>1368515</v>
      </c>
      <c r="J1084" s="3">
        <v>1094812</v>
      </c>
      <c r="K1084" s="3">
        <v>221196.79999999999</v>
      </c>
      <c r="L1084" t="s">
        <v>14</v>
      </c>
      <c r="M1084">
        <v>4.2</v>
      </c>
    </row>
    <row r="1085" spans="1:13" x14ac:dyDescent="0.25">
      <c r="A1085">
        <v>1084</v>
      </c>
      <c r="B1085" s="1">
        <v>42760</v>
      </c>
      <c r="C1085" s="1">
        <v>42858</v>
      </c>
      <c r="D1085" t="s">
        <v>22</v>
      </c>
      <c r="E1085" t="s">
        <v>24</v>
      </c>
      <c r="F1085" s="2">
        <v>283</v>
      </c>
      <c r="G1085" t="s">
        <v>12</v>
      </c>
      <c r="H1085" s="3">
        <v>54176.52</v>
      </c>
      <c r="I1085" s="3">
        <v>1406623</v>
      </c>
      <c r="J1085" s="3">
        <v>1125298.3999999999</v>
      </c>
      <c r="K1085" s="3">
        <v>227148.0800000001</v>
      </c>
      <c r="L1085" t="s">
        <v>16</v>
      </c>
      <c r="M1085">
        <v>4.8</v>
      </c>
    </row>
    <row r="1086" spans="1:13" x14ac:dyDescent="0.25">
      <c r="A1086">
        <v>1085</v>
      </c>
      <c r="B1086" s="1">
        <v>42760</v>
      </c>
      <c r="C1086" s="1">
        <v>42905</v>
      </c>
      <c r="D1086" t="s">
        <v>20</v>
      </c>
      <c r="E1086" t="s">
        <v>29</v>
      </c>
      <c r="F1086" s="2">
        <v>42</v>
      </c>
      <c r="G1086" t="s">
        <v>11</v>
      </c>
      <c r="H1086" s="3">
        <v>16314</v>
      </c>
      <c r="I1086" s="3">
        <v>460660</v>
      </c>
      <c r="J1086" s="3">
        <v>368528</v>
      </c>
      <c r="K1086" s="3">
        <v>75818</v>
      </c>
      <c r="L1086" t="s">
        <v>16</v>
      </c>
      <c r="M1086">
        <v>4.5</v>
      </c>
    </row>
    <row r="1087" spans="1:13" x14ac:dyDescent="0.25">
      <c r="A1087">
        <v>1086</v>
      </c>
      <c r="B1087" s="1">
        <v>42760</v>
      </c>
      <c r="C1087" s="1">
        <v>42878</v>
      </c>
      <c r="D1087" t="s">
        <v>21</v>
      </c>
      <c r="E1087" t="s">
        <v>24</v>
      </c>
      <c r="F1087" s="2">
        <v>253</v>
      </c>
      <c r="G1087" t="s">
        <v>12</v>
      </c>
      <c r="H1087" s="3">
        <v>100690.2</v>
      </c>
      <c r="I1087" s="3">
        <v>2582665</v>
      </c>
      <c r="J1087" s="3">
        <v>2066132</v>
      </c>
      <c r="K1087" s="3">
        <v>415842.8</v>
      </c>
      <c r="L1087" t="s">
        <v>14</v>
      </c>
      <c r="M1087">
        <v>5</v>
      </c>
    </row>
    <row r="1088" spans="1:13" x14ac:dyDescent="0.25">
      <c r="A1088">
        <v>1087</v>
      </c>
      <c r="B1088" s="1">
        <v>42761</v>
      </c>
      <c r="C1088" s="1">
        <v>43113</v>
      </c>
      <c r="D1088" t="s">
        <v>22</v>
      </c>
      <c r="E1088" t="s">
        <v>27</v>
      </c>
      <c r="F1088" s="2">
        <v>194</v>
      </c>
      <c r="G1088" t="s">
        <v>12</v>
      </c>
      <c r="H1088" s="3">
        <v>46937.2</v>
      </c>
      <c r="I1088" s="3">
        <v>1236215</v>
      </c>
      <c r="J1088" s="3">
        <v>988972</v>
      </c>
      <c r="K1088" s="3">
        <v>200305.8</v>
      </c>
      <c r="L1088" t="s">
        <v>19</v>
      </c>
      <c r="M1088">
        <v>4.5</v>
      </c>
    </row>
    <row r="1089" spans="1:13" x14ac:dyDescent="0.25">
      <c r="A1089">
        <v>1088</v>
      </c>
      <c r="B1089" s="1">
        <v>42761</v>
      </c>
      <c r="C1089" s="1">
        <v>43028</v>
      </c>
      <c r="D1089" t="s">
        <v>23</v>
      </c>
      <c r="E1089" t="s">
        <v>27</v>
      </c>
      <c r="F1089" s="2">
        <v>139</v>
      </c>
      <c r="G1089" t="s">
        <v>11</v>
      </c>
      <c r="H1089" s="3">
        <v>29172.04</v>
      </c>
      <c r="I1089" s="3">
        <v>796661</v>
      </c>
      <c r="J1089" s="3">
        <v>637328.80000000005</v>
      </c>
      <c r="K1089" s="3">
        <v>130160.15999999995</v>
      </c>
      <c r="L1089" t="s">
        <v>15</v>
      </c>
      <c r="M1089">
        <v>4.5</v>
      </c>
    </row>
    <row r="1090" spans="1:13" x14ac:dyDescent="0.25">
      <c r="A1090">
        <v>1089</v>
      </c>
      <c r="B1090" s="1">
        <v>42762</v>
      </c>
      <c r="C1090" s="1">
        <v>42887</v>
      </c>
      <c r="D1090" t="s">
        <v>22</v>
      </c>
      <c r="E1090" t="s">
        <v>29</v>
      </c>
      <c r="F1090" s="2">
        <v>165</v>
      </c>
      <c r="G1090" t="s">
        <v>12</v>
      </c>
      <c r="H1090" s="3">
        <v>42208.92</v>
      </c>
      <c r="I1090" s="3">
        <v>1117733</v>
      </c>
      <c r="J1090" s="3">
        <v>894186.4</v>
      </c>
      <c r="K1090" s="3">
        <v>181337.68</v>
      </c>
      <c r="L1090" t="s">
        <v>14</v>
      </c>
      <c r="M1090">
        <v>4.2</v>
      </c>
    </row>
    <row r="1091" spans="1:13" x14ac:dyDescent="0.25">
      <c r="A1091">
        <v>1090</v>
      </c>
      <c r="B1091" s="1">
        <v>42763</v>
      </c>
      <c r="C1091" s="1">
        <v>43030</v>
      </c>
      <c r="D1091" t="s">
        <v>21</v>
      </c>
      <c r="E1091" t="s">
        <v>27</v>
      </c>
      <c r="F1091" s="2">
        <v>249</v>
      </c>
      <c r="G1091" t="s">
        <v>12</v>
      </c>
      <c r="H1091" s="3">
        <v>71950.720000000001</v>
      </c>
      <c r="I1091" s="3">
        <v>1853278</v>
      </c>
      <c r="J1091" s="3">
        <v>1482622.4</v>
      </c>
      <c r="K1091" s="3">
        <v>298704.88000000012</v>
      </c>
      <c r="L1091" t="s">
        <v>15</v>
      </c>
      <c r="M1091">
        <v>4.0999999999999996</v>
      </c>
    </row>
    <row r="1092" spans="1:13" x14ac:dyDescent="0.25">
      <c r="A1092">
        <v>1091</v>
      </c>
      <c r="B1092" s="1">
        <v>42763</v>
      </c>
      <c r="C1092" s="1">
        <v>43126</v>
      </c>
      <c r="D1092" t="s">
        <v>22</v>
      </c>
      <c r="E1092" t="s">
        <v>24</v>
      </c>
      <c r="F1092" s="2">
        <v>103</v>
      </c>
      <c r="G1092" t="s">
        <v>12</v>
      </c>
      <c r="H1092" s="3">
        <v>36931</v>
      </c>
      <c r="I1092" s="3">
        <v>980285</v>
      </c>
      <c r="J1092" s="3">
        <v>784228</v>
      </c>
      <c r="K1092" s="3">
        <v>159126</v>
      </c>
      <c r="L1092" t="s">
        <v>17</v>
      </c>
      <c r="M1092">
        <v>4.2</v>
      </c>
    </row>
    <row r="1093" spans="1:13" x14ac:dyDescent="0.25">
      <c r="A1093">
        <v>1092</v>
      </c>
      <c r="B1093" s="1">
        <v>42764</v>
      </c>
      <c r="C1093" s="1">
        <v>43036</v>
      </c>
      <c r="D1093" t="s">
        <v>20</v>
      </c>
      <c r="E1093" t="s">
        <v>25</v>
      </c>
      <c r="F1093" s="2">
        <v>294</v>
      </c>
      <c r="G1093" t="s">
        <v>12</v>
      </c>
      <c r="H1093" s="3">
        <v>84411</v>
      </c>
      <c r="I1093" s="3">
        <v>2166860</v>
      </c>
      <c r="J1093" s="3">
        <v>1733488</v>
      </c>
      <c r="K1093" s="3">
        <v>348961</v>
      </c>
      <c r="L1093" t="s">
        <v>14</v>
      </c>
      <c r="M1093">
        <v>4</v>
      </c>
    </row>
    <row r="1094" spans="1:13" x14ac:dyDescent="0.25">
      <c r="A1094">
        <v>1093</v>
      </c>
      <c r="B1094" s="1">
        <v>42766</v>
      </c>
      <c r="C1094" s="1">
        <v>42987</v>
      </c>
      <c r="D1094" t="s">
        <v>22</v>
      </c>
      <c r="E1094" t="s">
        <v>29</v>
      </c>
      <c r="F1094" s="2">
        <v>215</v>
      </c>
      <c r="G1094" t="s">
        <v>12</v>
      </c>
      <c r="H1094" s="3">
        <v>87573.759999999995</v>
      </c>
      <c r="I1094" s="3">
        <v>2245829</v>
      </c>
      <c r="J1094" s="3">
        <v>1796663.2</v>
      </c>
      <c r="K1094" s="3">
        <v>361592.04000000004</v>
      </c>
      <c r="L1094" t="s">
        <v>14</v>
      </c>
      <c r="M1094">
        <v>3.8</v>
      </c>
    </row>
    <row r="1095" spans="1:13" x14ac:dyDescent="0.25">
      <c r="A1095">
        <v>1094</v>
      </c>
      <c r="B1095" s="1">
        <v>42767</v>
      </c>
      <c r="C1095" s="1">
        <v>42886</v>
      </c>
      <c r="D1095" t="s">
        <v>22</v>
      </c>
      <c r="E1095" t="s">
        <v>27</v>
      </c>
      <c r="F1095" s="2">
        <v>136</v>
      </c>
      <c r="G1095" t="s">
        <v>12</v>
      </c>
      <c r="H1095" s="3">
        <v>46445.08</v>
      </c>
      <c r="I1095" s="3">
        <v>1223962</v>
      </c>
      <c r="J1095" s="3">
        <v>979169.6</v>
      </c>
      <c r="K1095" s="3">
        <v>198347.32</v>
      </c>
      <c r="L1095" t="s">
        <v>14</v>
      </c>
      <c r="M1095">
        <v>4.7</v>
      </c>
    </row>
    <row r="1096" spans="1:13" x14ac:dyDescent="0.25">
      <c r="A1096">
        <v>1095</v>
      </c>
      <c r="B1096" s="1">
        <v>42767</v>
      </c>
      <c r="C1096" s="1">
        <v>43103</v>
      </c>
      <c r="D1096" t="s">
        <v>23</v>
      </c>
      <c r="E1096" t="s">
        <v>27</v>
      </c>
      <c r="F1096" s="2">
        <v>296</v>
      </c>
      <c r="G1096" t="s">
        <v>12</v>
      </c>
      <c r="H1096" s="3">
        <v>70209</v>
      </c>
      <c r="I1096" s="3">
        <v>1809185</v>
      </c>
      <c r="J1096" s="3">
        <v>1447348</v>
      </c>
      <c r="K1096" s="3">
        <v>291628</v>
      </c>
      <c r="L1096" t="s">
        <v>18</v>
      </c>
      <c r="M1096">
        <v>4.4000000000000004</v>
      </c>
    </row>
    <row r="1097" spans="1:13" x14ac:dyDescent="0.25">
      <c r="A1097">
        <v>1096</v>
      </c>
      <c r="B1097" s="1">
        <v>42767</v>
      </c>
      <c r="C1097" s="1">
        <v>42950</v>
      </c>
      <c r="D1097" t="s">
        <v>20</v>
      </c>
      <c r="E1097" t="s">
        <v>25</v>
      </c>
      <c r="F1097" s="2">
        <v>57</v>
      </c>
      <c r="G1097" t="s">
        <v>11</v>
      </c>
      <c r="H1097" s="3">
        <v>20834.68</v>
      </c>
      <c r="I1097" s="3">
        <v>575877</v>
      </c>
      <c r="J1097" s="3">
        <v>460701.6</v>
      </c>
      <c r="K1097" s="3">
        <v>94340.72000000003</v>
      </c>
      <c r="L1097" t="s">
        <v>15</v>
      </c>
      <c r="M1097">
        <v>4.3</v>
      </c>
    </row>
    <row r="1098" spans="1:13" x14ac:dyDescent="0.25">
      <c r="A1098">
        <v>1097</v>
      </c>
      <c r="B1098" s="1">
        <v>42767</v>
      </c>
      <c r="C1098" s="1">
        <v>42941</v>
      </c>
      <c r="D1098" t="s">
        <v>20</v>
      </c>
      <c r="E1098" t="s">
        <v>28</v>
      </c>
      <c r="F1098" s="2">
        <v>153</v>
      </c>
      <c r="G1098" t="s">
        <v>12</v>
      </c>
      <c r="H1098" s="3">
        <v>30037.32</v>
      </c>
      <c r="I1098" s="3">
        <v>807593</v>
      </c>
      <c r="J1098" s="3">
        <v>646074.4</v>
      </c>
      <c r="K1098" s="3">
        <v>131481.27999999997</v>
      </c>
      <c r="L1098" t="s">
        <v>19</v>
      </c>
      <c r="M1098">
        <v>4.3</v>
      </c>
    </row>
    <row r="1099" spans="1:13" x14ac:dyDescent="0.25">
      <c r="A1099">
        <v>1098</v>
      </c>
      <c r="B1099" s="1">
        <v>42767</v>
      </c>
      <c r="C1099" s="1">
        <v>42989</v>
      </c>
      <c r="D1099" t="s">
        <v>23</v>
      </c>
      <c r="E1099" t="s">
        <v>25</v>
      </c>
      <c r="F1099" s="2">
        <v>259</v>
      </c>
      <c r="G1099" t="s">
        <v>12</v>
      </c>
      <c r="H1099" s="3">
        <v>77229.320000000007</v>
      </c>
      <c r="I1099" s="3">
        <v>1997293</v>
      </c>
      <c r="J1099" s="3">
        <v>1597834.4</v>
      </c>
      <c r="K1099" s="3">
        <v>322229.28000000009</v>
      </c>
      <c r="L1099" t="s">
        <v>15</v>
      </c>
      <c r="M1099">
        <v>5</v>
      </c>
    </row>
    <row r="1100" spans="1:13" x14ac:dyDescent="0.25">
      <c r="A1100">
        <v>1099</v>
      </c>
      <c r="B1100" s="1">
        <v>42768</v>
      </c>
      <c r="C1100" s="1">
        <v>42985</v>
      </c>
      <c r="D1100" t="s">
        <v>21</v>
      </c>
      <c r="E1100" t="s">
        <v>25</v>
      </c>
      <c r="F1100" s="2">
        <v>79</v>
      </c>
      <c r="G1100" t="s">
        <v>11</v>
      </c>
      <c r="H1100" s="3">
        <v>24262.560000000001</v>
      </c>
      <c r="I1100" s="3">
        <v>657799</v>
      </c>
      <c r="J1100" s="3">
        <v>526239.19999999995</v>
      </c>
      <c r="K1100" s="3">
        <v>107297.24000000005</v>
      </c>
      <c r="L1100" t="s">
        <v>19</v>
      </c>
      <c r="M1100">
        <v>4.2</v>
      </c>
    </row>
    <row r="1101" spans="1:13" x14ac:dyDescent="0.25">
      <c r="A1101">
        <v>1100</v>
      </c>
      <c r="B1101" s="1">
        <v>42768</v>
      </c>
      <c r="C1101" s="1">
        <v>43129</v>
      </c>
      <c r="D1101" t="s">
        <v>22</v>
      </c>
      <c r="E1101" t="s">
        <v>27</v>
      </c>
      <c r="F1101" s="2">
        <v>239</v>
      </c>
      <c r="G1101" t="s">
        <v>12</v>
      </c>
      <c r="H1101" s="3">
        <v>71576.52</v>
      </c>
      <c r="I1101" s="3">
        <v>1850723</v>
      </c>
      <c r="J1101" s="3">
        <v>1480578.4</v>
      </c>
      <c r="K1101" s="3">
        <v>298568.08000000007</v>
      </c>
      <c r="L1101" t="s">
        <v>17</v>
      </c>
      <c r="M1101">
        <v>4.9000000000000004</v>
      </c>
    </row>
    <row r="1102" spans="1:13" x14ac:dyDescent="0.25">
      <c r="A1102">
        <v>1101</v>
      </c>
      <c r="B1102" s="1">
        <v>42768</v>
      </c>
      <c r="C1102" s="1">
        <v>42897</v>
      </c>
      <c r="D1102" t="s">
        <v>20</v>
      </c>
      <c r="E1102" t="s">
        <v>25</v>
      </c>
      <c r="F1102" s="2">
        <v>67</v>
      </c>
      <c r="G1102" t="s">
        <v>11</v>
      </c>
      <c r="H1102" s="3">
        <v>17575.080000000002</v>
      </c>
      <c r="I1102" s="3">
        <v>505437</v>
      </c>
      <c r="J1102" s="3">
        <v>404349.6</v>
      </c>
      <c r="K1102" s="3">
        <v>83512.320000000022</v>
      </c>
      <c r="L1102" t="s">
        <v>16</v>
      </c>
      <c r="M1102">
        <v>4.5</v>
      </c>
    </row>
    <row r="1103" spans="1:13" x14ac:dyDescent="0.25">
      <c r="A1103">
        <v>1102</v>
      </c>
      <c r="B1103" s="1">
        <v>42768</v>
      </c>
      <c r="C1103" s="1">
        <v>42888</v>
      </c>
      <c r="D1103" t="s">
        <v>22</v>
      </c>
      <c r="E1103" t="s">
        <v>13</v>
      </c>
      <c r="F1103" s="2">
        <v>264</v>
      </c>
      <c r="G1103" t="s">
        <v>12</v>
      </c>
      <c r="H1103" s="3">
        <v>76871.88</v>
      </c>
      <c r="I1103" s="3">
        <v>1987257</v>
      </c>
      <c r="J1103" s="3">
        <v>1589805.6</v>
      </c>
      <c r="K1103" s="3">
        <v>320579.5199999999</v>
      </c>
      <c r="L1103" t="s">
        <v>16</v>
      </c>
      <c r="M1103">
        <v>5</v>
      </c>
    </row>
    <row r="1104" spans="1:13" x14ac:dyDescent="0.25">
      <c r="A1104">
        <v>1103</v>
      </c>
      <c r="B1104" s="1">
        <v>42769</v>
      </c>
      <c r="C1104" s="1">
        <v>42950</v>
      </c>
      <c r="D1104" t="s">
        <v>21</v>
      </c>
      <c r="E1104" t="s">
        <v>29</v>
      </c>
      <c r="F1104" s="2">
        <v>120</v>
      </c>
      <c r="G1104" t="s">
        <v>12</v>
      </c>
      <c r="H1104" s="3">
        <v>36344</v>
      </c>
      <c r="I1104" s="3">
        <v>968735</v>
      </c>
      <c r="J1104" s="3">
        <v>774988</v>
      </c>
      <c r="K1104" s="3">
        <v>157403</v>
      </c>
      <c r="L1104" t="s">
        <v>18</v>
      </c>
      <c r="M1104">
        <v>3.7</v>
      </c>
    </row>
    <row r="1105" spans="1:13" x14ac:dyDescent="0.25">
      <c r="A1105">
        <v>1104</v>
      </c>
      <c r="B1105" s="1">
        <v>42769</v>
      </c>
      <c r="C1105" s="1">
        <v>42982</v>
      </c>
      <c r="D1105" t="s">
        <v>21</v>
      </c>
      <c r="E1105" t="s">
        <v>24</v>
      </c>
      <c r="F1105" s="2">
        <v>110</v>
      </c>
      <c r="G1105" t="s">
        <v>12</v>
      </c>
      <c r="H1105" s="3">
        <v>30820.560000000001</v>
      </c>
      <c r="I1105" s="3">
        <v>823199</v>
      </c>
      <c r="J1105" s="3">
        <v>658559.19999999995</v>
      </c>
      <c r="K1105" s="3">
        <v>133819.24000000005</v>
      </c>
      <c r="L1105" t="s">
        <v>19</v>
      </c>
      <c r="M1105">
        <v>4.7</v>
      </c>
    </row>
    <row r="1106" spans="1:13" x14ac:dyDescent="0.25">
      <c r="A1106">
        <v>1105</v>
      </c>
      <c r="B1106" s="1">
        <v>42769</v>
      </c>
      <c r="C1106" s="1">
        <v>42897</v>
      </c>
      <c r="D1106" t="s">
        <v>20</v>
      </c>
      <c r="E1106" t="s">
        <v>26</v>
      </c>
      <c r="F1106" s="2">
        <v>91</v>
      </c>
      <c r="G1106" t="s">
        <v>11</v>
      </c>
      <c r="H1106" s="3">
        <v>20642.919999999998</v>
      </c>
      <c r="I1106" s="3">
        <v>578133</v>
      </c>
      <c r="J1106" s="3">
        <v>462506.4</v>
      </c>
      <c r="K1106" s="3">
        <v>94983.679999999978</v>
      </c>
      <c r="L1106" t="s">
        <v>14</v>
      </c>
      <c r="M1106">
        <v>4.0999999999999996</v>
      </c>
    </row>
    <row r="1107" spans="1:13" x14ac:dyDescent="0.25">
      <c r="A1107">
        <v>1106</v>
      </c>
      <c r="B1107" s="1">
        <v>42770</v>
      </c>
      <c r="C1107" s="1">
        <v>43004</v>
      </c>
      <c r="D1107" t="s">
        <v>22</v>
      </c>
      <c r="E1107" t="s">
        <v>27</v>
      </c>
      <c r="F1107" s="2">
        <v>137</v>
      </c>
      <c r="G1107" t="s">
        <v>12</v>
      </c>
      <c r="H1107" s="3">
        <v>50147.360000000001</v>
      </c>
      <c r="I1107" s="3">
        <v>1315919</v>
      </c>
      <c r="J1107" s="3">
        <v>1052735.2</v>
      </c>
      <c r="K1107" s="3">
        <v>213036.44000000006</v>
      </c>
      <c r="L1107" t="s">
        <v>14</v>
      </c>
      <c r="M1107">
        <v>4.2</v>
      </c>
    </row>
    <row r="1108" spans="1:13" x14ac:dyDescent="0.25">
      <c r="A1108">
        <v>1107</v>
      </c>
      <c r="B1108" s="1">
        <v>42771</v>
      </c>
      <c r="C1108" s="1">
        <v>42881</v>
      </c>
      <c r="D1108" t="s">
        <v>21</v>
      </c>
      <c r="E1108" t="s">
        <v>28</v>
      </c>
      <c r="F1108" s="2">
        <v>101</v>
      </c>
      <c r="G1108" t="s">
        <v>11</v>
      </c>
      <c r="H1108" s="3">
        <v>24969.200000000001</v>
      </c>
      <c r="I1108" s="3">
        <v>687065</v>
      </c>
      <c r="J1108" s="3">
        <v>549652</v>
      </c>
      <c r="K1108" s="3">
        <v>112443.8</v>
      </c>
      <c r="L1108" t="s">
        <v>14</v>
      </c>
      <c r="M1108">
        <v>4.0999999999999996</v>
      </c>
    </row>
    <row r="1109" spans="1:13" x14ac:dyDescent="0.25">
      <c r="A1109">
        <v>1108</v>
      </c>
      <c r="B1109" s="1">
        <v>42771</v>
      </c>
      <c r="C1109" s="1">
        <v>43073</v>
      </c>
      <c r="D1109" t="s">
        <v>20</v>
      </c>
      <c r="E1109" t="s">
        <v>24</v>
      </c>
      <c r="F1109" s="2">
        <v>193</v>
      </c>
      <c r="G1109" t="s">
        <v>12</v>
      </c>
      <c r="H1109" s="3">
        <v>39758.120000000003</v>
      </c>
      <c r="I1109" s="3">
        <v>1045813</v>
      </c>
      <c r="J1109" s="3">
        <v>836650.4</v>
      </c>
      <c r="K1109" s="3">
        <v>169404.47999999998</v>
      </c>
      <c r="L1109" t="s">
        <v>15</v>
      </c>
      <c r="M1109">
        <v>4.7</v>
      </c>
    </row>
    <row r="1110" spans="1:13" x14ac:dyDescent="0.25">
      <c r="A1110">
        <v>1109</v>
      </c>
      <c r="B1110" s="1">
        <v>42771</v>
      </c>
      <c r="C1110" s="1">
        <v>42881</v>
      </c>
      <c r="D1110" t="s">
        <v>20</v>
      </c>
      <c r="E1110" t="s">
        <v>27</v>
      </c>
      <c r="F1110" s="2">
        <v>279</v>
      </c>
      <c r="G1110" t="s">
        <v>12</v>
      </c>
      <c r="H1110" s="3">
        <v>81927.360000000001</v>
      </c>
      <c r="I1110" s="3">
        <v>2101119</v>
      </c>
      <c r="J1110" s="3">
        <v>1680895.2</v>
      </c>
      <c r="K1110" s="3">
        <v>338296.44000000006</v>
      </c>
      <c r="L1110" t="s">
        <v>14</v>
      </c>
      <c r="M1110">
        <v>3.8</v>
      </c>
    </row>
    <row r="1111" spans="1:13" x14ac:dyDescent="0.25">
      <c r="A1111">
        <v>1110</v>
      </c>
      <c r="B1111" s="1">
        <v>42771</v>
      </c>
      <c r="C1111" s="1">
        <v>43003</v>
      </c>
      <c r="D1111" t="s">
        <v>21</v>
      </c>
      <c r="E1111" t="s">
        <v>26</v>
      </c>
      <c r="F1111" s="2">
        <v>107</v>
      </c>
      <c r="G1111" t="s">
        <v>12</v>
      </c>
      <c r="H1111" s="3">
        <v>36373.599999999999</v>
      </c>
      <c r="I1111" s="3">
        <v>961475</v>
      </c>
      <c r="J1111" s="3">
        <v>769180</v>
      </c>
      <c r="K1111" s="3">
        <v>155921.4</v>
      </c>
      <c r="L1111" t="s">
        <v>15</v>
      </c>
      <c r="M1111">
        <v>4.4000000000000004</v>
      </c>
    </row>
    <row r="1112" spans="1:13" x14ac:dyDescent="0.25">
      <c r="A1112">
        <v>1111</v>
      </c>
      <c r="B1112" s="1">
        <v>42772</v>
      </c>
      <c r="C1112" s="1">
        <v>42933</v>
      </c>
      <c r="D1112" t="s">
        <v>20</v>
      </c>
      <c r="E1112" t="s">
        <v>26</v>
      </c>
      <c r="F1112" s="2">
        <v>81</v>
      </c>
      <c r="G1112" t="s">
        <v>11</v>
      </c>
      <c r="H1112" s="3">
        <v>13731.88</v>
      </c>
      <c r="I1112" s="3">
        <v>408932</v>
      </c>
      <c r="J1112" s="3">
        <v>327145.59999999998</v>
      </c>
      <c r="K1112" s="3">
        <v>68054.520000000019</v>
      </c>
      <c r="L1112" t="s">
        <v>17</v>
      </c>
      <c r="M1112">
        <v>3.9</v>
      </c>
    </row>
    <row r="1113" spans="1:13" x14ac:dyDescent="0.25">
      <c r="A1113">
        <v>1112</v>
      </c>
      <c r="B1113" s="1">
        <v>42772</v>
      </c>
      <c r="C1113" s="1">
        <v>42912</v>
      </c>
      <c r="D1113" t="s">
        <v>23</v>
      </c>
      <c r="E1113" t="s">
        <v>27</v>
      </c>
      <c r="F1113" s="2">
        <v>205</v>
      </c>
      <c r="G1113" t="s">
        <v>12</v>
      </c>
      <c r="H1113" s="3">
        <v>63456</v>
      </c>
      <c r="I1113" s="3">
        <v>1638785</v>
      </c>
      <c r="J1113" s="3">
        <v>1311028</v>
      </c>
      <c r="K1113" s="3">
        <v>264301</v>
      </c>
      <c r="L1113" t="s">
        <v>15</v>
      </c>
      <c r="M1113">
        <v>4.5</v>
      </c>
    </row>
    <row r="1114" spans="1:13" x14ac:dyDescent="0.25">
      <c r="A1114">
        <v>1113</v>
      </c>
      <c r="B1114" s="1">
        <v>42772</v>
      </c>
      <c r="C1114" s="1">
        <v>42941</v>
      </c>
      <c r="D1114" t="s">
        <v>22</v>
      </c>
      <c r="E1114" t="s">
        <v>29</v>
      </c>
      <c r="F1114" s="2">
        <v>153</v>
      </c>
      <c r="G1114" t="s">
        <v>12</v>
      </c>
      <c r="H1114" s="3">
        <v>51801.120000000003</v>
      </c>
      <c r="I1114" s="3">
        <v>1359838</v>
      </c>
      <c r="J1114" s="3">
        <v>1087870.3999999999</v>
      </c>
      <c r="K1114" s="3">
        <v>220166.4800000001</v>
      </c>
      <c r="L1114" t="s">
        <v>19</v>
      </c>
      <c r="M1114">
        <v>4.5</v>
      </c>
    </row>
    <row r="1115" spans="1:13" x14ac:dyDescent="0.25">
      <c r="A1115">
        <v>1114</v>
      </c>
      <c r="B1115" s="1">
        <v>42773</v>
      </c>
      <c r="C1115" s="1">
        <v>42920</v>
      </c>
      <c r="D1115" t="s">
        <v>23</v>
      </c>
      <c r="E1115" t="s">
        <v>25</v>
      </c>
      <c r="F1115" s="2">
        <v>69</v>
      </c>
      <c r="G1115" t="s">
        <v>11</v>
      </c>
      <c r="H1115" s="3">
        <v>19346.759999999998</v>
      </c>
      <c r="I1115" s="3">
        <v>535729</v>
      </c>
      <c r="J1115" s="3">
        <v>428583.2</v>
      </c>
      <c r="K1115" s="3">
        <v>87799.039999999994</v>
      </c>
      <c r="L1115" t="s">
        <v>19</v>
      </c>
      <c r="M1115">
        <v>4.7</v>
      </c>
    </row>
    <row r="1116" spans="1:13" x14ac:dyDescent="0.25">
      <c r="A1116">
        <v>1115</v>
      </c>
      <c r="B1116" s="1">
        <v>42774</v>
      </c>
      <c r="C1116" s="1">
        <v>43045</v>
      </c>
      <c r="D1116" t="s">
        <v>21</v>
      </c>
      <c r="E1116" t="s">
        <v>25</v>
      </c>
      <c r="F1116" s="2">
        <v>173</v>
      </c>
      <c r="G1116" t="s">
        <v>12</v>
      </c>
      <c r="H1116" s="3">
        <v>37418.800000000003</v>
      </c>
      <c r="I1116" s="3">
        <v>999505</v>
      </c>
      <c r="J1116" s="3">
        <v>799604</v>
      </c>
      <c r="K1116" s="3">
        <v>162482.20000000001</v>
      </c>
      <c r="L1116" t="s">
        <v>15</v>
      </c>
      <c r="M1116">
        <v>4.5</v>
      </c>
    </row>
    <row r="1117" spans="1:13" x14ac:dyDescent="0.25">
      <c r="A1117">
        <v>1116</v>
      </c>
      <c r="B1117" s="1">
        <v>42774</v>
      </c>
      <c r="C1117" s="1">
        <v>43113</v>
      </c>
      <c r="D1117" t="s">
        <v>22</v>
      </c>
      <c r="E1117" t="s">
        <v>24</v>
      </c>
      <c r="F1117" s="2">
        <v>90</v>
      </c>
      <c r="G1117" t="s">
        <v>11</v>
      </c>
      <c r="H1117" s="3">
        <v>18722.28</v>
      </c>
      <c r="I1117" s="3">
        <v>530117</v>
      </c>
      <c r="J1117" s="3">
        <v>424093.6</v>
      </c>
      <c r="K1117" s="3">
        <v>87301.120000000024</v>
      </c>
      <c r="L1117" t="s">
        <v>17</v>
      </c>
      <c r="M1117">
        <v>4.9000000000000004</v>
      </c>
    </row>
    <row r="1118" spans="1:13" x14ac:dyDescent="0.25">
      <c r="A1118">
        <v>1117</v>
      </c>
      <c r="B1118" s="1">
        <v>42774</v>
      </c>
      <c r="C1118" s="1">
        <v>42998</v>
      </c>
      <c r="D1118" t="s">
        <v>21</v>
      </c>
      <c r="E1118" t="s">
        <v>27</v>
      </c>
      <c r="F1118" s="2">
        <v>147</v>
      </c>
      <c r="G1118" t="s">
        <v>12</v>
      </c>
      <c r="H1118" s="3">
        <v>40750.92</v>
      </c>
      <c r="I1118" s="3">
        <v>1073983</v>
      </c>
      <c r="J1118" s="3">
        <v>859186.4</v>
      </c>
      <c r="K1118" s="3">
        <v>174045.68</v>
      </c>
      <c r="L1118" t="s">
        <v>19</v>
      </c>
      <c r="M1118">
        <v>3.6</v>
      </c>
    </row>
    <row r="1119" spans="1:13" x14ac:dyDescent="0.25">
      <c r="A1119">
        <v>1118</v>
      </c>
      <c r="B1119" s="1">
        <v>42775</v>
      </c>
      <c r="C1119" s="1">
        <v>43028</v>
      </c>
      <c r="D1119" t="s">
        <v>21</v>
      </c>
      <c r="E1119" t="s">
        <v>28</v>
      </c>
      <c r="F1119" s="2">
        <v>290</v>
      </c>
      <c r="G1119" t="s">
        <v>12</v>
      </c>
      <c r="H1119" s="3">
        <v>108533.32</v>
      </c>
      <c r="I1119" s="3">
        <v>2777793</v>
      </c>
      <c r="J1119" s="3">
        <v>2222234.4</v>
      </c>
      <c r="K1119" s="3">
        <v>447025.28000000009</v>
      </c>
      <c r="L1119" t="s">
        <v>18</v>
      </c>
      <c r="M1119">
        <v>4.7</v>
      </c>
    </row>
    <row r="1120" spans="1:13" x14ac:dyDescent="0.25">
      <c r="A1120">
        <v>1119</v>
      </c>
      <c r="B1120" s="1">
        <v>42776</v>
      </c>
      <c r="C1120" s="1">
        <v>43065</v>
      </c>
      <c r="D1120" t="s">
        <v>20</v>
      </c>
      <c r="E1120" t="s">
        <v>26</v>
      </c>
      <c r="F1120" s="2">
        <v>283</v>
      </c>
      <c r="G1120" t="s">
        <v>12</v>
      </c>
      <c r="H1120" s="3">
        <v>75383.28</v>
      </c>
      <c r="I1120" s="3">
        <v>1948967</v>
      </c>
      <c r="J1120" s="3">
        <v>1559173.6</v>
      </c>
      <c r="K1120" s="3">
        <v>314410.11999999988</v>
      </c>
      <c r="L1120" t="s">
        <v>15</v>
      </c>
      <c r="M1120">
        <v>4</v>
      </c>
    </row>
    <row r="1121" spans="1:13" x14ac:dyDescent="0.25">
      <c r="A1121">
        <v>1120</v>
      </c>
      <c r="B1121" s="1">
        <v>42776</v>
      </c>
      <c r="C1121" s="1">
        <v>42944</v>
      </c>
      <c r="D1121" t="s">
        <v>22</v>
      </c>
      <c r="E1121" t="s">
        <v>25</v>
      </c>
      <c r="F1121" s="2">
        <v>173</v>
      </c>
      <c r="G1121" t="s">
        <v>12</v>
      </c>
      <c r="H1121" s="3">
        <v>67684.399999999994</v>
      </c>
      <c r="I1121" s="3">
        <v>1744145</v>
      </c>
      <c r="J1121" s="3">
        <v>1395316</v>
      </c>
      <c r="K1121" s="3">
        <v>281144.59999999998</v>
      </c>
      <c r="L1121" t="s">
        <v>16</v>
      </c>
      <c r="M1121">
        <v>4.5</v>
      </c>
    </row>
    <row r="1122" spans="1:13" x14ac:dyDescent="0.25">
      <c r="A1122">
        <v>1121</v>
      </c>
      <c r="B1122" s="1">
        <v>42776</v>
      </c>
      <c r="C1122" s="1">
        <v>42875</v>
      </c>
      <c r="D1122" t="s">
        <v>23</v>
      </c>
      <c r="E1122" t="s">
        <v>29</v>
      </c>
      <c r="F1122" s="2">
        <v>173</v>
      </c>
      <c r="G1122" t="s">
        <v>12</v>
      </c>
      <c r="H1122" s="3">
        <v>62657.96</v>
      </c>
      <c r="I1122" s="3">
        <v>1629109</v>
      </c>
      <c r="J1122" s="3">
        <v>1303287.2</v>
      </c>
      <c r="K1122" s="3">
        <v>263163.84000000003</v>
      </c>
      <c r="L1122" t="s">
        <v>14</v>
      </c>
      <c r="M1122">
        <v>3.9</v>
      </c>
    </row>
    <row r="1123" spans="1:13" x14ac:dyDescent="0.25">
      <c r="A1123">
        <v>1122</v>
      </c>
      <c r="B1123" s="1">
        <v>42777</v>
      </c>
      <c r="C1123" s="1">
        <v>43083</v>
      </c>
      <c r="D1123" t="s">
        <v>21</v>
      </c>
      <c r="E1123" t="s">
        <v>27</v>
      </c>
      <c r="F1123" s="2">
        <v>221</v>
      </c>
      <c r="G1123" t="s">
        <v>12</v>
      </c>
      <c r="H1123" s="3">
        <v>52428.76</v>
      </c>
      <c r="I1123" s="3">
        <v>1375529</v>
      </c>
      <c r="J1123" s="3">
        <v>1100423.2</v>
      </c>
      <c r="K1123" s="3">
        <v>222677.04000000004</v>
      </c>
      <c r="L1123" t="s">
        <v>15</v>
      </c>
      <c r="M1123">
        <v>3.7</v>
      </c>
    </row>
    <row r="1124" spans="1:13" x14ac:dyDescent="0.25">
      <c r="A1124">
        <v>1123</v>
      </c>
      <c r="B1124" s="1">
        <v>42777</v>
      </c>
      <c r="C1124" s="1">
        <v>42872</v>
      </c>
      <c r="D1124" t="s">
        <v>21</v>
      </c>
      <c r="E1124" t="s">
        <v>27</v>
      </c>
      <c r="F1124" s="2">
        <v>150</v>
      </c>
      <c r="G1124" t="s">
        <v>12</v>
      </c>
      <c r="H1124" s="3">
        <v>34157.279999999999</v>
      </c>
      <c r="I1124" s="3">
        <v>915842</v>
      </c>
      <c r="J1124" s="3">
        <v>732673.6</v>
      </c>
      <c r="K1124" s="3">
        <v>149011.12000000002</v>
      </c>
      <c r="L1124" t="s">
        <v>16</v>
      </c>
      <c r="M1124">
        <v>4.8</v>
      </c>
    </row>
    <row r="1125" spans="1:13" x14ac:dyDescent="0.25">
      <c r="A1125">
        <v>1124</v>
      </c>
      <c r="B1125" s="1">
        <v>42777</v>
      </c>
      <c r="C1125" s="1">
        <v>42882</v>
      </c>
      <c r="D1125" t="s">
        <v>23</v>
      </c>
      <c r="E1125" t="s">
        <v>24</v>
      </c>
      <c r="F1125" s="2">
        <v>204</v>
      </c>
      <c r="G1125" t="s">
        <v>12</v>
      </c>
      <c r="H1125" s="3">
        <v>47738.76</v>
      </c>
      <c r="I1125" s="3">
        <v>1251829</v>
      </c>
      <c r="J1125" s="3">
        <v>1001463.2</v>
      </c>
      <c r="K1125" s="3">
        <v>202627.04000000004</v>
      </c>
      <c r="L1125" t="s">
        <v>17</v>
      </c>
      <c r="M1125">
        <v>3.9</v>
      </c>
    </row>
    <row r="1126" spans="1:13" x14ac:dyDescent="0.25">
      <c r="A1126">
        <v>1125</v>
      </c>
      <c r="B1126" s="1">
        <v>42779</v>
      </c>
      <c r="C1126" s="1">
        <v>43131</v>
      </c>
      <c r="D1126" t="s">
        <v>20</v>
      </c>
      <c r="E1126" t="s">
        <v>29</v>
      </c>
      <c r="F1126" s="2">
        <v>241</v>
      </c>
      <c r="G1126" t="s">
        <v>12</v>
      </c>
      <c r="H1126" s="3">
        <v>90862</v>
      </c>
      <c r="I1126" s="3">
        <v>2323560</v>
      </c>
      <c r="J1126" s="3">
        <v>1858848</v>
      </c>
      <c r="K1126" s="3">
        <v>373850</v>
      </c>
      <c r="L1126" t="s">
        <v>19</v>
      </c>
      <c r="M1126">
        <v>4.5</v>
      </c>
    </row>
    <row r="1127" spans="1:13" x14ac:dyDescent="0.25">
      <c r="A1127">
        <v>1126</v>
      </c>
      <c r="B1127" s="1">
        <v>42779</v>
      </c>
      <c r="C1127" s="1">
        <v>43113</v>
      </c>
      <c r="D1127" t="s">
        <v>23</v>
      </c>
      <c r="E1127" t="s">
        <v>13</v>
      </c>
      <c r="F1127" s="2">
        <v>104</v>
      </c>
      <c r="G1127" t="s">
        <v>11</v>
      </c>
      <c r="H1127" s="3">
        <v>17828.599999999999</v>
      </c>
      <c r="I1127" s="3">
        <v>498800</v>
      </c>
      <c r="J1127" s="3">
        <v>399040</v>
      </c>
      <c r="K1127" s="3">
        <v>81931.399999999994</v>
      </c>
      <c r="L1127" t="s">
        <v>19</v>
      </c>
      <c r="M1127">
        <v>4.0999999999999996</v>
      </c>
    </row>
    <row r="1128" spans="1:13" x14ac:dyDescent="0.25">
      <c r="A1128">
        <v>1127</v>
      </c>
      <c r="B1128" s="1">
        <v>42780</v>
      </c>
      <c r="C1128" s="1">
        <v>42884</v>
      </c>
      <c r="D1128" t="s">
        <v>23</v>
      </c>
      <c r="E1128" t="s">
        <v>28</v>
      </c>
      <c r="F1128" s="2">
        <v>68</v>
      </c>
      <c r="G1128" t="s">
        <v>11</v>
      </c>
      <c r="H1128" s="3">
        <v>13542</v>
      </c>
      <c r="I1128" s="3">
        <v>396260</v>
      </c>
      <c r="J1128" s="3">
        <v>317008</v>
      </c>
      <c r="K1128" s="3">
        <v>65710</v>
      </c>
      <c r="L1128" t="s">
        <v>18</v>
      </c>
      <c r="M1128">
        <v>3.8</v>
      </c>
    </row>
    <row r="1129" spans="1:13" x14ac:dyDescent="0.25">
      <c r="A1129">
        <v>1128</v>
      </c>
      <c r="B1129" s="1">
        <v>42780</v>
      </c>
      <c r="C1129" s="1">
        <v>43106</v>
      </c>
      <c r="D1129" t="s">
        <v>23</v>
      </c>
      <c r="E1129" t="s">
        <v>13</v>
      </c>
      <c r="F1129" s="2">
        <v>224</v>
      </c>
      <c r="G1129" t="s">
        <v>12</v>
      </c>
      <c r="H1129" s="3">
        <v>73507.199999999997</v>
      </c>
      <c r="I1129" s="3">
        <v>1895965</v>
      </c>
      <c r="J1129" s="3">
        <v>1516772</v>
      </c>
      <c r="K1129" s="3">
        <v>305685.8</v>
      </c>
      <c r="L1129" t="s">
        <v>16</v>
      </c>
      <c r="M1129">
        <v>3.9</v>
      </c>
    </row>
    <row r="1130" spans="1:13" x14ac:dyDescent="0.25">
      <c r="A1130">
        <v>1129</v>
      </c>
      <c r="B1130" s="1">
        <v>42780</v>
      </c>
      <c r="C1130" s="1">
        <v>43081</v>
      </c>
      <c r="D1130" t="s">
        <v>23</v>
      </c>
      <c r="E1130" t="s">
        <v>25</v>
      </c>
      <c r="F1130" s="2">
        <v>116</v>
      </c>
      <c r="G1130" t="s">
        <v>12</v>
      </c>
      <c r="H1130" s="3">
        <v>34791.599999999999</v>
      </c>
      <c r="I1130" s="3">
        <v>936125</v>
      </c>
      <c r="J1130" s="3">
        <v>748900</v>
      </c>
      <c r="K1130" s="3">
        <v>152433.4</v>
      </c>
      <c r="L1130" t="s">
        <v>15</v>
      </c>
      <c r="M1130">
        <v>4</v>
      </c>
    </row>
    <row r="1131" spans="1:13" x14ac:dyDescent="0.25">
      <c r="A1131">
        <v>1130</v>
      </c>
      <c r="B1131" s="1">
        <v>42781</v>
      </c>
      <c r="C1131" s="1">
        <v>42890</v>
      </c>
      <c r="D1131" t="s">
        <v>21</v>
      </c>
      <c r="E1131" t="s">
        <v>26</v>
      </c>
      <c r="F1131" s="2">
        <v>52</v>
      </c>
      <c r="G1131" t="s">
        <v>11</v>
      </c>
      <c r="H1131" s="3">
        <v>16730.52</v>
      </c>
      <c r="I1131" s="3">
        <v>480823</v>
      </c>
      <c r="J1131" s="3">
        <v>384658.4</v>
      </c>
      <c r="K1131" s="3">
        <v>79434.079999999973</v>
      </c>
      <c r="L1131" t="s">
        <v>14</v>
      </c>
      <c r="M1131">
        <v>5</v>
      </c>
    </row>
    <row r="1132" spans="1:13" x14ac:dyDescent="0.25">
      <c r="A1132">
        <v>1131</v>
      </c>
      <c r="B1132" s="1">
        <v>42781</v>
      </c>
      <c r="C1132" s="1">
        <v>43106</v>
      </c>
      <c r="D1132" t="s">
        <v>20</v>
      </c>
      <c r="E1132" t="s">
        <v>13</v>
      </c>
      <c r="F1132" s="2">
        <v>151</v>
      </c>
      <c r="G1132" t="s">
        <v>12</v>
      </c>
      <c r="H1132" s="3">
        <v>30727.48</v>
      </c>
      <c r="I1132" s="3">
        <v>832397</v>
      </c>
      <c r="J1132" s="3">
        <v>665917.6</v>
      </c>
      <c r="K1132" s="3">
        <v>135751.92000000001</v>
      </c>
      <c r="L1132" t="s">
        <v>14</v>
      </c>
      <c r="M1132">
        <v>5</v>
      </c>
    </row>
    <row r="1133" spans="1:13" x14ac:dyDescent="0.25">
      <c r="A1133">
        <v>1132</v>
      </c>
      <c r="B1133" s="1">
        <v>42781</v>
      </c>
      <c r="C1133" s="1">
        <v>42900</v>
      </c>
      <c r="D1133" t="s">
        <v>22</v>
      </c>
      <c r="E1133" t="s">
        <v>29</v>
      </c>
      <c r="F1133" s="2">
        <v>88</v>
      </c>
      <c r="G1133" t="s">
        <v>12</v>
      </c>
      <c r="H1133" s="3">
        <v>35245.24</v>
      </c>
      <c r="I1133" s="3">
        <v>937441</v>
      </c>
      <c r="J1133" s="3">
        <v>749952.8</v>
      </c>
      <c r="K1133" s="3">
        <v>152242.95999999996</v>
      </c>
      <c r="L1133" t="s">
        <v>15</v>
      </c>
      <c r="M1133">
        <v>4.5999999999999996</v>
      </c>
    </row>
    <row r="1134" spans="1:13" x14ac:dyDescent="0.25">
      <c r="A1134">
        <v>1133</v>
      </c>
      <c r="B1134" s="1">
        <v>42781</v>
      </c>
      <c r="C1134" s="1">
        <v>42950</v>
      </c>
      <c r="D1134" t="s">
        <v>20</v>
      </c>
      <c r="E1134" t="s">
        <v>29</v>
      </c>
      <c r="F1134" s="2">
        <v>128</v>
      </c>
      <c r="G1134" t="s">
        <v>11</v>
      </c>
      <c r="H1134" s="3">
        <v>27690.16</v>
      </c>
      <c r="I1134" s="3">
        <v>748889</v>
      </c>
      <c r="J1134" s="3">
        <v>599111.19999999995</v>
      </c>
      <c r="K1134" s="3">
        <v>122087.64000000004</v>
      </c>
      <c r="L1134" t="s">
        <v>14</v>
      </c>
      <c r="M1134">
        <v>4.0999999999999996</v>
      </c>
    </row>
    <row r="1135" spans="1:13" x14ac:dyDescent="0.25">
      <c r="A1135">
        <v>1134</v>
      </c>
      <c r="B1135" s="1">
        <v>42781</v>
      </c>
      <c r="C1135" s="1">
        <v>42911</v>
      </c>
      <c r="D1135" t="s">
        <v>21</v>
      </c>
      <c r="E1135" t="s">
        <v>13</v>
      </c>
      <c r="F1135" s="2">
        <v>117</v>
      </c>
      <c r="G1135" t="s">
        <v>12</v>
      </c>
      <c r="H1135" s="3">
        <v>34504.160000000003</v>
      </c>
      <c r="I1135" s="3">
        <v>915739</v>
      </c>
      <c r="J1135" s="3">
        <v>732591.2</v>
      </c>
      <c r="K1135" s="3">
        <v>148643.64000000004</v>
      </c>
      <c r="L1135" t="s">
        <v>19</v>
      </c>
      <c r="M1135">
        <v>3.6</v>
      </c>
    </row>
    <row r="1136" spans="1:13" x14ac:dyDescent="0.25">
      <c r="A1136">
        <v>1135</v>
      </c>
      <c r="B1136" s="1">
        <v>42782</v>
      </c>
      <c r="C1136" s="1">
        <v>43030</v>
      </c>
      <c r="D1136" t="s">
        <v>22</v>
      </c>
      <c r="E1136" t="s">
        <v>28</v>
      </c>
      <c r="F1136" s="2">
        <v>53</v>
      </c>
      <c r="G1136" t="s">
        <v>11</v>
      </c>
      <c r="H1136" s="3">
        <v>12872.08</v>
      </c>
      <c r="I1136" s="3">
        <v>385587</v>
      </c>
      <c r="J1136" s="3">
        <v>308469.59999999998</v>
      </c>
      <c r="K1136" s="3">
        <v>64245.320000000022</v>
      </c>
      <c r="L1136" t="s">
        <v>14</v>
      </c>
      <c r="M1136">
        <v>3.9</v>
      </c>
    </row>
    <row r="1137" spans="1:13" x14ac:dyDescent="0.25">
      <c r="A1137">
        <v>1136</v>
      </c>
      <c r="B1137" s="1">
        <v>42782</v>
      </c>
      <c r="C1137" s="1">
        <v>43139</v>
      </c>
      <c r="D1137" t="s">
        <v>23</v>
      </c>
      <c r="E1137" t="s">
        <v>27</v>
      </c>
      <c r="F1137" s="2">
        <v>63</v>
      </c>
      <c r="G1137" t="s">
        <v>11</v>
      </c>
      <c r="H1137" s="3">
        <v>10821.28</v>
      </c>
      <c r="I1137" s="3">
        <v>334367</v>
      </c>
      <c r="J1137" s="3">
        <v>267493.59999999998</v>
      </c>
      <c r="K1137" s="3">
        <v>56052.120000000024</v>
      </c>
      <c r="L1137" t="s">
        <v>16</v>
      </c>
      <c r="M1137">
        <v>4.4000000000000004</v>
      </c>
    </row>
    <row r="1138" spans="1:13" x14ac:dyDescent="0.25">
      <c r="A1138">
        <v>1137</v>
      </c>
      <c r="B1138" s="1">
        <v>42782</v>
      </c>
      <c r="C1138" s="1">
        <v>43094</v>
      </c>
      <c r="D1138" t="s">
        <v>23</v>
      </c>
      <c r="E1138" t="s">
        <v>25</v>
      </c>
      <c r="F1138" s="2">
        <v>70</v>
      </c>
      <c r="G1138" t="s">
        <v>11</v>
      </c>
      <c r="H1138" s="3">
        <v>21497</v>
      </c>
      <c r="I1138" s="3">
        <v>599960</v>
      </c>
      <c r="J1138" s="3">
        <v>479968</v>
      </c>
      <c r="K1138" s="3">
        <v>98495</v>
      </c>
      <c r="L1138" t="s">
        <v>15</v>
      </c>
      <c r="M1138">
        <v>4.3</v>
      </c>
    </row>
    <row r="1139" spans="1:13" x14ac:dyDescent="0.25">
      <c r="A1139">
        <v>1138</v>
      </c>
      <c r="B1139" s="1">
        <v>42782</v>
      </c>
      <c r="C1139" s="1">
        <v>43001</v>
      </c>
      <c r="D1139" t="s">
        <v>22</v>
      </c>
      <c r="E1139" t="s">
        <v>25</v>
      </c>
      <c r="F1139" s="2">
        <v>253</v>
      </c>
      <c r="G1139" t="s">
        <v>12</v>
      </c>
      <c r="H1139" s="3">
        <v>41638</v>
      </c>
      <c r="I1139" s="3">
        <v>1103035</v>
      </c>
      <c r="J1139" s="3">
        <v>882428</v>
      </c>
      <c r="K1139" s="3">
        <v>178969</v>
      </c>
      <c r="L1139" t="s">
        <v>14</v>
      </c>
      <c r="M1139">
        <v>3.9</v>
      </c>
    </row>
    <row r="1140" spans="1:13" x14ac:dyDescent="0.25">
      <c r="A1140">
        <v>1139</v>
      </c>
      <c r="B1140" s="1">
        <v>42782</v>
      </c>
      <c r="C1140" s="1">
        <v>43084</v>
      </c>
      <c r="D1140" t="s">
        <v>23</v>
      </c>
      <c r="E1140" t="s">
        <v>24</v>
      </c>
      <c r="F1140" s="2">
        <v>90</v>
      </c>
      <c r="G1140" t="s">
        <v>11</v>
      </c>
      <c r="H1140" s="3">
        <v>28755.040000000001</v>
      </c>
      <c r="I1140" s="3">
        <v>778661</v>
      </c>
      <c r="J1140" s="3">
        <v>622928.80000000005</v>
      </c>
      <c r="K1140" s="3">
        <v>126977.15999999995</v>
      </c>
      <c r="L1140" t="s">
        <v>15</v>
      </c>
      <c r="M1140">
        <v>4.5999999999999996</v>
      </c>
    </row>
    <row r="1141" spans="1:13" x14ac:dyDescent="0.25">
      <c r="A1141">
        <v>1140</v>
      </c>
      <c r="B1141" s="1">
        <v>42782</v>
      </c>
      <c r="C1141" s="1">
        <v>43024</v>
      </c>
      <c r="D1141" t="s">
        <v>22</v>
      </c>
      <c r="E1141" t="s">
        <v>24</v>
      </c>
      <c r="F1141" s="2">
        <v>137</v>
      </c>
      <c r="G1141" t="s">
        <v>12</v>
      </c>
      <c r="H1141" s="3">
        <v>52143.4</v>
      </c>
      <c r="I1141" s="3">
        <v>1355145</v>
      </c>
      <c r="J1141" s="3">
        <v>1084116</v>
      </c>
      <c r="K1141" s="3">
        <v>218885.6</v>
      </c>
      <c r="L1141" t="s">
        <v>15</v>
      </c>
      <c r="M1141">
        <v>4.5999999999999996</v>
      </c>
    </row>
    <row r="1142" spans="1:13" x14ac:dyDescent="0.25">
      <c r="A1142">
        <v>1141</v>
      </c>
      <c r="B1142" s="1">
        <v>42782</v>
      </c>
      <c r="C1142" s="1">
        <v>43046</v>
      </c>
      <c r="D1142" t="s">
        <v>21</v>
      </c>
      <c r="E1142" t="s">
        <v>27</v>
      </c>
      <c r="F1142" s="2">
        <v>172</v>
      </c>
      <c r="G1142" t="s">
        <v>12</v>
      </c>
      <c r="H1142" s="3">
        <v>62883.360000000001</v>
      </c>
      <c r="I1142" s="3">
        <v>1637819</v>
      </c>
      <c r="J1142" s="3">
        <v>1310255.2</v>
      </c>
      <c r="K1142" s="3">
        <v>264680.44000000006</v>
      </c>
      <c r="L1142" t="s">
        <v>17</v>
      </c>
      <c r="M1142">
        <v>3.8</v>
      </c>
    </row>
    <row r="1143" spans="1:13" x14ac:dyDescent="0.25">
      <c r="A1143">
        <v>1142</v>
      </c>
      <c r="B1143" s="1">
        <v>42782</v>
      </c>
      <c r="C1143" s="1">
        <v>43038</v>
      </c>
      <c r="D1143" t="s">
        <v>21</v>
      </c>
      <c r="E1143" t="s">
        <v>28</v>
      </c>
      <c r="F1143" s="2">
        <v>225</v>
      </c>
      <c r="G1143" t="s">
        <v>12</v>
      </c>
      <c r="H1143" s="3">
        <v>40691</v>
      </c>
      <c r="I1143" s="3">
        <v>1070335</v>
      </c>
      <c r="J1143" s="3">
        <v>856268</v>
      </c>
      <c r="K1143" s="3">
        <v>173376</v>
      </c>
      <c r="L1143" t="s">
        <v>18</v>
      </c>
      <c r="M1143">
        <v>4</v>
      </c>
    </row>
    <row r="1144" spans="1:13" x14ac:dyDescent="0.25">
      <c r="A1144">
        <v>1143</v>
      </c>
      <c r="B1144" s="1">
        <v>42783</v>
      </c>
      <c r="C1144" s="1">
        <v>42883</v>
      </c>
      <c r="D1144" t="s">
        <v>22</v>
      </c>
      <c r="E1144" t="s">
        <v>29</v>
      </c>
      <c r="F1144" s="2">
        <v>248</v>
      </c>
      <c r="G1144" t="s">
        <v>12</v>
      </c>
      <c r="H1144" s="3">
        <v>54908.24</v>
      </c>
      <c r="I1144" s="3">
        <v>1430691</v>
      </c>
      <c r="J1144" s="3">
        <v>1144552.8</v>
      </c>
      <c r="K1144" s="3">
        <v>231229.95999999996</v>
      </c>
      <c r="L1144" t="s">
        <v>14</v>
      </c>
      <c r="M1144">
        <v>4.0999999999999996</v>
      </c>
    </row>
    <row r="1145" spans="1:13" x14ac:dyDescent="0.25">
      <c r="A1145">
        <v>1144</v>
      </c>
      <c r="B1145" s="1">
        <v>42783</v>
      </c>
      <c r="C1145" s="1">
        <v>43144</v>
      </c>
      <c r="D1145" t="s">
        <v>23</v>
      </c>
      <c r="E1145" t="s">
        <v>25</v>
      </c>
      <c r="F1145" s="2">
        <v>249</v>
      </c>
      <c r="G1145" t="s">
        <v>12</v>
      </c>
      <c r="H1145" s="3">
        <v>86101.72</v>
      </c>
      <c r="I1145" s="3">
        <v>2213253</v>
      </c>
      <c r="J1145" s="3">
        <v>1770602.4</v>
      </c>
      <c r="K1145" s="3">
        <v>356548.88000000012</v>
      </c>
      <c r="L1145" t="s">
        <v>14</v>
      </c>
      <c r="M1145">
        <v>3.7</v>
      </c>
    </row>
    <row r="1146" spans="1:13" x14ac:dyDescent="0.25">
      <c r="A1146">
        <v>1145</v>
      </c>
      <c r="B1146" s="1">
        <v>42783</v>
      </c>
      <c r="C1146" s="1">
        <v>42980</v>
      </c>
      <c r="D1146" t="s">
        <v>22</v>
      </c>
      <c r="E1146" t="s">
        <v>28</v>
      </c>
      <c r="F1146" s="2">
        <v>101</v>
      </c>
      <c r="G1146" t="s">
        <v>12</v>
      </c>
      <c r="H1146" s="3">
        <v>33193.040000000001</v>
      </c>
      <c r="I1146" s="3">
        <v>886711</v>
      </c>
      <c r="J1146" s="3">
        <v>709368.8</v>
      </c>
      <c r="K1146" s="3">
        <v>144149.15999999995</v>
      </c>
      <c r="L1146" t="s">
        <v>16</v>
      </c>
      <c r="M1146">
        <v>4.2</v>
      </c>
    </row>
    <row r="1147" spans="1:13" x14ac:dyDescent="0.25">
      <c r="A1147">
        <v>1146</v>
      </c>
      <c r="B1147" s="1">
        <v>42783</v>
      </c>
      <c r="C1147" s="1">
        <v>43132</v>
      </c>
      <c r="D1147" t="s">
        <v>21</v>
      </c>
      <c r="E1147" t="s">
        <v>24</v>
      </c>
      <c r="F1147" s="2">
        <v>195</v>
      </c>
      <c r="G1147" t="s">
        <v>12</v>
      </c>
      <c r="H1147" s="3">
        <v>42749.279999999999</v>
      </c>
      <c r="I1147" s="3">
        <v>1127267</v>
      </c>
      <c r="J1147" s="3">
        <v>901813.6</v>
      </c>
      <c r="K1147" s="3">
        <v>182704.12000000002</v>
      </c>
      <c r="L1147" t="s">
        <v>16</v>
      </c>
      <c r="M1147">
        <v>4.2</v>
      </c>
    </row>
    <row r="1148" spans="1:13" x14ac:dyDescent="0.25">
      <c r="A1148">
        <v>1147</v>
      </c>
      <c r="B1148" s="1">
        <v>42784</v>
      </c>
      <c r="C1148" s="1">
        <v>42906</v>
      </c>
      <c r="D1148" t="s">
        <v>20</v>
      </c>
      <c r="E1148" t="s">
        <v>25</v>
      </c>
      <c r="F1148" s="2">
        <v>146</v>
      </c>
      <c r="G1148" t="s">
        <v>12</v>
      </c>
      <c r="H1148" s="3">
        <v>59621.48</v>
      </c>
      <c r="I1148" s="3">
        <v>1555622</v>
      </c>
      <c r="J1148" s="3">
        <v>1244497.6000000001</v>
      </c>
      <c r="K1148" s="3">
        <v>251502.9199999999</v>
      </c>
      <c r="L1148" t="s">
        <v>14</v>
      </c>
      <c r="M1148">
        <v>4.3</v>
      </c>
    </row>
    <row r="1149" spans="1:13" x14ac:dyDescent="0.25">
      <c r="A1149">
        <v>1148</v>
      </c>
      <c r="B1149" s="1">
        <v>42784</v>
      </c>
      <c r="C1149" s="1">
        <v>43128</v>
      </c>
      <c r="D1149" t="s">
        <v>21</v>
      </c>
      <c r="E1149" t="s">
        <v>13</v>
      </c>
      <c r="F1149" s="2">
        <v>230</v>
      </c>
      <c r="G1149" t="s">
        <v>12</v>
      </c>
      <c r="H1149" s="3">
        <v>38145.68</v>
      </c>
      <c r="I1149" s="3">
        <v>1020677</v>
      </c>
      <c r="J1149" s="3">
        <v>816541.6</v>
      </c>
      <c r="K1149" s="3">
        <v>165989.72000000003</v>
      </c>
      <c r="L1149" t="s">
        <v>17</v>
      </c>
      <c r="M1149">
        <v>5</v>
      </c>
    </row>
    <row r="1150" spans="1:13" x14ac:dyDescent="0.25">
      <c r="A1150">
        <v>1149</v>
      </c>
      <c r="B1150" s="1">
        <v>42784</v>
      </c>
      <c r="C1150" s="1">
        <v>42996</v>
      </c>
      <c r="D1150" t="s">
        <v>23</v>
      </c>
      <c r="E1150" t="s">
        <v>13</v>
      </c>
      <c r="F1150" s="2">
        <v>57</v>
      </c>
      <c r="G1150" t="s">
        <v>11</v>
      </c>
      <c r="H1150" s="3">
        <v>18027.240000000002</v>
      </c>
      <c r="I1150" s="3">
        <v>518141</v>
      </c>
      <c r="J1150" s="3">
        <v>414512.8</v>
      </c>
      <c r="K1150" s="3">
        <v>85600.960000000006</v>
      </c>
      <c r="L1150" t="s">
        <v>14</v>
      </c>
      <c r="M1150">
        <v>4</v>
      </c>
    </row>
    <row r="1151" spans="1:13" x14ac:dyDescent="0.25">
      <c r="A1151">
        <v>1150</v>
      </c>
      <c r="B1151" s="1">
        <v>42784</v>
      </c>
      <c r="C1151" s="1">
        <v>43033</v>
      </c>
      <c r="D1151" t="s">
        <v>20</v>
      </c>
      <c r="E1151" t="s">
        <v>29</v>
      </c>
      <c r="F1151" s="2">
        <v>100</v>
      </c>
      <c r="G1151" t="s">
        <v>12</v>
      </c>
      <c r="H1151" s="3">
        <v>35221.599999999999</v>
      </c>
      <c r="I1151" s="3">
        <v>945575</v>
      </c>
      <c r="J1151" s="3">
        <v>756460</v>
      </c>
      <c r="K1151" s="3">
        <v>153893.4</v>
      </c>
      <c r="L1151" t="s">
        <v>17</v>
      </c>
      <c r="M1151">
        <v>4.7</v>
      </c>
    </row>
    <row r="1152" spans="1:13" x14ac:dyDescent="0.25">
      <c r="A1152">
        <v>1151</v>
      </c>
      <c r="B1152" s="1">
        <v>42784</v>
      </c>
      <c r="C1152" s="1">
        <v>43136</v>
      </c>
      <c r="D1152" t="s">
        <v>20</v>
      </c>
      <c r="E1152" t="s">
        <v>28</v>
      </c>
      <c r="F1152" s="2">
        <v>154</v>
      </c>
      <c r="G1152" t="s">
        <v>12</v>
      </c>
      <c r="H1152" s="3">
        <v>51427.92</v>
      </c>
      <c r="I1152" s="3">
        <v>1344883</v>
      </c>
      <c r="J1152" s="3">
        <v>1075906.3999999999</v>
      </c>
      <c r="K1152" s="3">
        <v>217548.68000000011</v>
      </c>
      <c r="L1152" t="s">
        <v>14</v>
      </c>
      <c r="M1152">
        <v>4.2</v>
      </c>
    </row>
    <row r="1153" spans="1:13" x14ac:dyDescent="0.25">
      <c r="A1153">
        <v>1152</v>
      </c>
      <c r="B1153" s="1">
        <v>42785</v>
      </c>
      <c r="C1153" s="1">
        <v>43071</v>
      </c>
      <c r="D1153" t="s">
        <v>21</v>
      </c>
      <c r="E1153" t="s">
        <v>28</v>
      </c>
      <c r="F1153" s="2">
        <v>219</v>
      </c>
      <c r="G1153" t="s">
        <v>12</v>
      </c>
      <c r="H1153" s="3">
        <v>77414.880000000005</v>
      </c>
      <c r="I1153" s="3">
        <v>2002757</v>
      </c>
      <c r="J1153" s="3">
        <v>1602205.6</v>
      </c>
      <c r="K1153" s="3">
        <v>323136.5199999999</v>
      </c>
      <c r="L1153" t="s">
        <v>15</v>
      </c>
      <c r="M1153">
        <v>4.9000000000000004</v>
      </c>
    </row>
    <row r="1154" spans="1:13" x14ac:dyDescent="0.25">
      <c r="A1154">
        <v>1153</v>
      </c>
      <c r="B1154" s="1">
        <v>42785</v>
      </c>
      <c r="C1154" s="1">
        <v>43024</v>
      </c>
      <c r="D1154" t="s">
        <v>20</v>
      </c>
      <c r="E1154" t="s">
        <v>24</v>
      </c>
      <c r="F1154" s="2">
        <v>268</v>
      </c>
      <c r="G1154" t="s">
        <v>12</v>
      </c>
      <c r="H1154" s="3">
        <v>79935.28</v>
      </c>
      <c r="I1154" s="3">
        <v>2057717</v>
      </c>
      <c r="J1154" s="3">
        <v>1646173.6</v>
      </c>
      <c r="K1154" s="3">
        <v>331608.11999999988</v>
      </c>
      <c r="L1154" t="s">
        <v>17</v>
      </c>
      <c r="M1154">
        <v>4</v>
      </c>
    </row>
    <row r="1155" spans="1:13" x14ac:dyDescent="0.25">
      <c r="A1155">
        <v>1154</v>
      </c>
      <c r="B1155" s="1">
        <v>42786</v>
      </c>
      <c r="C1155" s="1">
        <v>42968</v>
      </c>
      <c r="D1155" t="s">
        <v>21</v>
      </c>
      <c r="E1155" t="s">
        <v>13</v>
      </c>
      <c r="F1155" s="2">
        <v>287</v>
      </c>
      <c r="G1155" t="s">
        <v>12</v>
      </c>
      <c r="H1155" s="3">
        <v>113686.52</v>
      </c>
      <c r="I1155" s="3">
        <v>2902173</v>
      </c>
      <c r="J1155" s="3">
        <v>2321738.4</v>
      </c>
      <c r="K1155" s="3">
        <v>466748.08000000007</v>
      </c>
      <c r="L1155" t="s">
        <v>14</v>
      </c>
      <c r="M1155">
        <v>4.0999999999999996</v>
      </c>
    </row>
    <row r="1156" spans="1:13" x14ac:dyDescent="0.25">
      <c r="A1156">
        <v>1155</v>
      </c>
      <c r="B1156" s="1">
        <v>42786</v>
      </c>
      <c r="C1156" s="1">
        <v>43080</v>
      </c>
      <c r="D1156" t="s">
        <v>22</v>
      </c>
      <c r="E1156" t="s">
        <v>13</v>
      </c>
      <c r="F1156" s="2">
        <v>89</v>
      </c>
      <c r="G1156" t="s">
        <v>12</v>
      </c>
      <c r="H1156" s="3">
        <v>33249.96</v>
      </c>
      <c r="I1156" s="3">
        <v>893859</v>
      </c>
      <c r="J1156" s="3">
        <v>715087.2</v>
      </c>
      <c r="K1156" s="3">
        <v>145521.84000000005</v>
      </c>
      <c r="L1156" t="s">
        <v>14</v>
      </c>
      <c r="M1156">
        <v>4</v>
      </c>
    </row>
    <row r="1157" spans="1:13" x14ac:dyDescent="0.25">
      <c r="A1157">
        <v>1156</v>
      </c>
      <c r="B1157" s="1">
        <v>42786</v>
      </c>
      <c r="C1157" s="1">
        <v>43087</v>
      </c>
      <c r="D1157" t="s">
        <v>22</v>
      </c>
      <c r="E1157" t="s">
        <v>28</v>
      </c>
      <c r="F1157" s="2">
        <v>244</v>
      </c>
      <c r="G1157" t="s">
        <v>12</v>
      </c>
      <c r="H1157" s="3">
        <v>51508</v>
      </c>
      <c r="I1157" s="3">
        <v>1341685</v>
      </c>
      <c r="J1157" s="3">
        <v>1073348</v>
      </c>
      <c r="K1157" s="3">
        <v>216829</v>
      </c>
      <c r="L1157" t="s">
        <v>19</v>
      </c>
      <c r="M1157">
        <v>4.7</v>
      </c>
    </row>
    <row r="1158" spans="1:13" x14ac:dyDescent="0.25">
      <c r="A1158">
        <v>1157</v>
      </c>
      <c r="B1158" s="1">
        <v>42786</v>
      </c>
      <c r="C1158" s="1">
        <v>43118</v>
      </c>
      <c r="D1158" t="s">
        <v>23</v>
      </c>
      <c r="E1158" t="s">
        <v>24</v>
      </c>
      <c r="F1158" s="2">
        <v>248</v>
      </c>
      <c r="G1158" t="s">
        <v>12</v>
      </c>
      <c r="H1158" s="3">
        <v>63757.8</v>
      </c>
      <c r="I1158" s="3">
        <v>1650655</v>
      </c>
      <c r="J1158" s="3">
        <v>1320524</v>
      </c>
      <c r="K1158" s="3">
        <v>266373.2</v>
      </c>
      <c r="L1158" t="s">
        <v>18</v>
      </c>
      <c r="M1158">
        <v>4.3</v>
      </c>
    </row>
    <row r="1159" spans="1:13" x14ac:dyDescent="0.25">
      <c r="A1159">
        <v>1158</v>
      </c>
      <c r="B1159" s="1">
        <v>42786</v>
      </c>
      <c r="C1159" s="1">
        <v>42960</v>
      </c>
      <c r="D1159" t="s">
        <v>23</v>
      </c>
      <c r="E1159" t="s">
        <v>27</v>
      </c>
      <c r="F1159" s="2">
        <v>291</v>
      </c>
      <c r="G1159" t="s">
        <v>12</v>
      </c>
      <c r="H1159" s="3">
        <v>96863.92</v>
      </c>
      <c r="I1159" s="3">
        <v>2472933</v>
      </c>
      <c r="J1159" s="3">
        <v>1978346.4</v>
      </c>
      <c r="K1159" s="3">
        <v>397722.68000000011</v>
      </c>
      <c r="L1159" t="s">
        <v>14</v>
      </c>
      <c r="M1159">
        <v>4.9000000000000004</v>
      </c>
    </row>
    <row r="1160" spans="1:13" x14ac:dyDescent="0.25">
      <c r="A1160">
        <v>1159</v>
      </c>
      <c r="B1160" s="1">
        <v>42786</v>
      </c>
      <c r="C1160" s="1">
        <v>42994</v>
      </c>
      <c r="D1160" t="s">
        <v>21</v>
      </c>
      <c r="E1160" t="s">
        <v>24</v>
      </c>
      <c r="F1160" s="2">
        <v>207</v>
      </c>
      <c r="G1160" t="s">
        <v>12</v>
      </c>
      <c r="H1160" s="3">
        <v>72002.320000000007</v>
      </c>
      <c r="I1160" s="3">
        <v>1860193</v>
      </c>
      <c r="J1160" s="3">
        <v>1488154.4</v>
      </c>
      <c r="K1160" s="3">
        <v>300036.28000000009</v>
      </c>
      <c r="L1160" t="s">
        <v>16</v>
      </c>
      <c r="M1160">
        <v>3.8</v>
      </c>
    </row>
    <row r="1161" spans="1:13" x14ac:dyDescent="0.25">
      <c r="A1161">
        <v>1160</v>
      </c>
      <c r="B1161" s="1">
        <v>42787</v>
      </c>
      <c r="C1161" s="1">
        <v>43020</v>
      </c>
      <c r="D1161" t="s">
        <v>20</v>
      </c>
      <c r="E1161" t="s">
        <v>29</v>
      </c>
      <c r="F1161" s="2">
        <v>272</v>
      </c>
      <c r="G1161" t="s">
        <v>12</v>
      </c>
      <c r="H1161" s="3">
        <v>85172.36</v>
      </c>
      <c r="I1161" s="3">
        <v>2184869</v>
      </c>
      <c r="J1161" s="3">
        <v>1747895.2</v>
      </c>
      <c r="K1161" s="3">
        <v>351801.44000000006</v>
      </c>
      <c r="L1161" t="s">
        <v>17</v>
      </c>
      <c r="M1161">
        <v>4.2</v>
      </c>
    </row>
    <row r="1162" spans="1:13" x14ac:dyDescent="0.25">
      <c r="A1162">
        <v>1161</v>
      </c>
      <c r="B1162" s="1">
        <v>42788</v>
      </c>
      <c r="C1162" s="1">
        <v>43115</v>
      </c>
      <c r="D1162" t="s">
        <v>22</v>
      </c>
      <c r="E1162" t="s">
        <v>28</v>
      </c>
      <c r="F1162" s="2">
        <v>191</v>
      </c>
      <c r="G1162" t="s">
        <v>12</v>
      </c>
      <c r="H1162" s="3">
        <v>62847.6</v>
      </c>
      <c r="I1162" s="3">
        <v>1631200</v>
      </c>
      <c r="J1162" s="3">
        <v>1304960</v>
      </c>
      <c r="K1162" s="3">
        <v>263392.40000000002</v>
      </c>
      <c r="L1162" t="s">
        <v>19</v>
      </c>
      <c r="M1162">
        <v>4</v>
      </c>
    </row>
    <row r="1163" spans="1:13" x14ac:dyDescent="0.25">
      <c r="A1163">
        <v>1162</v>
      </c>
      <c r="B1163" s="1">
        <v>42788</v>
      </c>
      <c r="C1163" s="1">
        <v>43031</v>
      </c>
      <c r="D1163" t="s">
        <v>23</v>
      </c>
      <c r="E1163" t="s">
        <v>29</v>
      </c>
      <c r="F1163" s="2">
        <v>104</v>
      </c>
      <c r="G1163" t="s">
        <v>11</v>
      </c>
      <c r="H1163" s="3">
        <v>26742.04</v>
      </c>
      <c r="I1163" s="3">
        <v>734786</v>
      </c>
      <c r="J1163" s="3">
        <v>587828.80000000005</v>
      </c>
      <c r="K1163" s="3">
        <v>120215.15999999995</v>
      </c>
      <c r="L1163" t="s">
        <v>16</v>
      </c>
      <c r="M1163">
        <v>3.8</v>
      </c>
    </row>
    <row r="1164" spans="1:13" x14ac:dyDescent="0.25">
      <c r="A1164">
        <v>1163</v>
      </c>
      <c r="B1164" s="1">
        <v>42788</v>
      </c>
      <c r="C1164" s="1">
        <v>43021</v>
      </c>
      <c r="D1164" t="s">
        <v>20</v>
      </c>
      <c r="E1164" t="s">
        <v>25</v>
      </c>
      <c r="F1164" s="2">
        <v>78</v>
      </c>
      <c r="G1164" t="s">
        <v>11</v>
      </c>
      <c r="H1164" s="3">
        <v>20111.560000000001</v>
      </c>
      <c r="I1164" s="3">
        <v>560474</v>
      </c>
      <c r="J1164" s="3">
        <v>448379.2</v>
      </c>
      <c r="K1164" s="3">
        <v>91983.239999999991</v>
      </c>
      <c r="L1164" t="s">
        <v>16</v>
      </c>
      <c r="M1164">
        <v>3.6</v>
      </c>
    </row>
    <row r="1165" spans="1:13" x14ac:dyDescent="0.25">
      <c r="A1165">
        <v>1164</v>
      </c>
      <c r="B1165" s="1">
        <v>42788</v>
      </c>
      <c r="C1165" s="1">
        <v>42923</v>
      </c>
      <c r="D1165" t="s">
        <v>23</v>
      </c>
      <c r="E1165" t="s">
        <v>25</v>
      </c>
      <c r="F1165" s="2">
        <v>167</v>
      </c>
      <c r="G1165" t="s">
        <v>11</v>
      </c>
      <c r="H1165" s="3">
        <v>29065.360000000001</v>
      </c>
      <c r="I1165" s="3">
        <v>787469</v>
      </c>
      <c r="J1165" s="3">
        <v>629975.19999999995</v>
      </c>
      <c r="K1165" s="3">
        <v>128428.44000000005</v>
      </c>
      <c r="L1165" t="s">
        <v>16</v>
      </c>
      <c r="M1165">
        <v>4.0999999999999996</v>
      </c>
    </row>
    <row r="1166" spans="1:13" x14ac:dyDescent="0.25">
      <c r="A1166">
        <v>1165</v>
      </c>
      <c r="B1166" s="1">
        <v>42789</v>
      </c>
      <c r="C1166" s="1">
        <v>43029</v>
      </c>
      <c r="D1166" t="s">
        <v>23</v>
      </c>
      <c r="E1166" t="s">
        <v>26</v>
      </c>
      <c r="F1166" s="2">
        <v>209</v>
      </c>
      <c r="G1166" t="s">
        <v>12</v>
      </c>
      <c r="H1166" s="3">
        <v>65742.36</v>
      </c>
      <c r="I1166" s="3">
        <v>1701619</v>
      </c>
      <c r="J1166" s="3">
        <v>1361295.2</v>
      </c>
      <c r="K1166" s="3">
        <v>274581.44000000006</v>
      </c>
      <c r="L1166" t="s">
        <v>15</v>
      </c>
      <c r="M1166">
        <v>4.7</v>
      </c>
    </row>
    <row r="1167" spans="1:13" x14ac:dyDescent="0.25">
      <c r="A1167">
        <v>1166</v>
      </c>
      <c r="B1167" s="1">
        <v>42789</v>
      </c>
      <c r="C1167" s="1">
        <v>43020</v>
      </c>
      <c r="D1167" t="s">
        <v>21</v>
      </c>
      <c r="E1167" t="s">
        <v>25</v>
      </c>
      <c r="F1167" s="2">
        <v>224</v>
      </c>
      <c r="G1167" t="s">
        <v>12</v>
      </c>
      <c r="H1167" s="3">
        <v>71696.600000000006</v>
      </c>
      <c r="I1167" s="3">
        <v>1857025</v>
      </c>
      <c r="J1167" s="3">
        <v>1485620</v>
      </c>
      <c r="K1167" s="3">
        <v>299708.40000000002</v>
      </c>
      <c r="L1167" t="s">
        <v>19</v>
      </c>
      <c r="M1167">
        <v>4.2</v>
      </c>
    </row>
    <row r="1168" spans="1:13" x14ac:dyDescent="0.25">
      <c r="A1168">
        <v>1167</v>
      </c>
      <c r="B1168" s="1">
        <v>42789</v>
      </c>
      <c r="C1168" s="1">
        <v>42882</v>
      </c>
      <c r="D1168" t="s">
        <v>21</v>
      </c>
      <c r="E1168" t="s">
        <v>24</v>
      </c>
      <c r="F1168" s="2">
        <v>149</v>
      </c>
      <c r="G1168" t="s">
        <v>12</v>
      </c>
      <c r="H1168" s="3">
        <v>42165.56</v>
      </c>
      <c r="I1168" s="3">
        <v>1112949</v>
      </c>
      <c r="J1168" s="3">
        <v>890359.2</v>
      </c>
      <c r="K1168" s="3">
        <v>180424.24000000005</v>
      </c>
      <c r="L1168" t="s">
        <v>15</v>
      </c>
      <c r="M1168">
        <v>4.9000000000000004</v>
      </c>
    </row>
    <row r="1169" spans="1:13" x14ac:dyDescent="0.25">
      <c r="A1169">
        <v>1168</v>
      </c>
      <c r="B1169" s="1">
        <v>42790</v>
      </c>
      <c r="C1169" s="1">
        <v>43122</v>
      </c>
      <c r="D1169" t="s">
        <v>22</v>
      </c>
      <c r="E1169" t="s">
        <v>13</v>
      </c>
      <c r="F1169" s="2">
        <v>202</v>
      </c>
      <c r="G1169" t="s">
        <v>12</v>
      </c>
      <c r="H1169" s="3">
        <v>44697.08</v>
      </c>
      <c r="I1169" s="3">
        <v>1172987</v>
      </c>
      <c r="J1169" s="3">
        <v>938389.6</v>
      </c>
      <c r="K1169" s="3">
        <v>189900.32</v>
      </c>
      <c r="L1169" t="s">
        <v>15</v>
      </c>
      <c r="M1169">
        <v>4.5</v>
      </c>
    </row>
    <row r="1170" spans="1:13" x14ac:dyDescent="0.25">
      <c r="A1170">
        <v>1169</v>
      </c>
      <c r="B1170" s="1">
        <v>42790</v>
      </c>
      <c r="C1170" s="1">
        <v>43148</v>
      </c>
      <c r="D1170" t="s">
        <v>20</v>
      </c>
      <c r="E1170" t="s">
        <v>29</v>
      </c>
      <c r="F1170" s="2">
        <v>143</v>
      </c>
      <c r="G1170" t="s">
        <v>12</v>
      </c>
      <c r="H1170" s="3">
        <v>41036</v>
      </c>
      <c r="I1170" s="3">
        <v>1087985</v>
      </c>
      <c r="J1170" s="3">
        <v>870388</v>
      </c>
      <c r="K1170" s="3">
        <v>176561</v>
      </c>
      <c r="L1170" t="s">
        <v>16</v>
      </c>
      <c r="M1170">
        <v>3.8</v>
      </c>
    </row>
    <row r="1171" spans="1:13" x14ac:dyDescent="0.25">
      <c r="A1171">
        <v>1170</v>
      </c>
      <c r="B1171" s="1">
        <v>42790</v>
      </c>
      <c r="C1171" s="1">
        <v>42953</v>
      </c>
      <c r="D1171" t="s">
        <v>22</v>
      </c>
      <c r="E1171" t="s">
        <v>26</v>
      </c>
      <c r="F1171" s="2">
        <v>159</v>
      </c>
      <c r="G1171" t="s">
        <v>11</v>
      </c>
      <c r="H1171" s="3">
        <v>28871.200000000001</v>
      </c>
      <c r="I1171" s="3">
        <v>780965</v>
      </c>
      <c r="J1171" s="3">
        <v>624772</v>
      </c>
      <c r="K1171" s="3">
        <v>127321.8</v>
      </c>
      <c r="L1171" t="s">
        <v>17</v>
      </c>
      <c r="M1171">
        <v>4.0999999999999996</v>
      </c>
    </row>
    <row r="1172" spans="1:13" x14ac:dyDescent="0.25">
      <c r="A1172">
        <v>1171</v>
      </c>
      <c r="B1172" s="1">
        <v>42790</v>
      </c>
      <c r="C1172" s="1">
        <v>42980</v>
      </c>
      <c r="D1172" t="s">
        <v>22</v>
      </c>
      <c r="E1172" t="s">
        <v>27</v>
      </c>
      <c r="F1172" s="2">
        <v>115</v>
      </c>
      <c r="G1172" t="s">
        <v>11</v>
      </c>
      <c r="H1172" s="3">
        <v>25040.2</v>
      </c>
      <c r="I1172" s="3">
        <v>683765</v>
      </c>
      <c r="J1172" s="3">
        <v>547012</v>
      </c>
      <c r="K1172" s="3">
        <v>111712.8</v>
      </c>
      <c r="L1172" t="s">
        <v>17</v>
      </c>
      <c r="M1172">
        <v>4.7</v>
      </c>
    </row>
    <row r="1173" spans="1:13" x14ac:dyDescent="0.25">
      <c r="A1173">
        <v>1172</v>
      </c>
      <c r="B1173" s="1">
        <v>42790</v>
      </c>
      <c r="C1173" s="1">
        <v>42951</v>
      </c>
      <c r="D1173" t="s">
        <v>21</v>
      </c>
      <c r="E1173" t="s">
        <v>28</v>
      </c>
      <c r="F1173" s="2">
        <v>185</v>
      </c>
      <c r="G1173" t="s">
        <v>12</v>
      </c>
      <c r="H1173" s="3">
        <v>67276.600000000006</v>
      </c>
      <c r="I1173" s="3">
        <v>1734125</v>
      </c>
      <c r="J1173" s="3">
        <v>1387300</v>
      </c>
      <c r="K1173" s="3">
        <v>279548.40000000002</v>
      </c>
      <c r="L1173" t="s">
        <v>19</v>
      </c>
      <c r="M1173">
        <v>4.5</v>
      </c>
    </row>
    <row r="1174" spans="1:13" x14ac:dyDescent="0.25">
      <c r="A1174">
        <v>1173</v>
      </c>
      <c r="B1174" s="1">
        <v>42791</v>
      </c>
      <c r="C1174" s="1">
        <v>42982</v>
      </c>
      <c r="D1174" t="s">
        <v>22</v>
      </c>
      <c r="E1174" t="s">
        <v>25</v>
      </c>
      <c r="F1174" s="2">
        <v>77</v>
      </c>
      <c r="G1174" t="s">
        <v>11</v>
      </c>
      <c r="H1174" s="3">
        <v>17816.240000000002</v>
      </c>
      <c r="I1174" s="3">
        <v>499791</v>
      </c>
      <c r="J1174" s="3">
        <v>399832.8</v>
      </c>
      <c r="K1174" s="3">
        <v>82141.960000000006</v>
      </c>
      <c r="L1174" t="s">
        <v>18</v>
      </c>
      <c r="M1174">
        <v>4</v>
      </c>
    </row>
    <row r="1175" spans="1:13" x14ac:dyDescent="0.25">
      <c r="A1175">
        <v>1174</v>
      </c>
      <c r="B1175" s="1">
        <v>42792</v>
      </c>
      <c r="C1175" s="1">
        <v>42950</v>
      </c>
      <c r="D1175" t="s">
        <v>21</v>
      </c>
      <c r="E1175" t="s">
        <v>26</v>
      </c>
      <c r="F1175" s="2">
        <v>65</v>
      </c>
      <c r="G1175" t="s">
        <v>11</v>
      </c>
      <c r="H1175" s="3">
        <v>11681.76</v>
      </c>
      <c r="I1175" s="3">
        <v>358829</v>
      </c>
      <c r="J1175" s="3">
        <v>287063.2</v>
      </c>
      <c r="K1175" s="3">
        <v>60084.039999999986</v>
      </c>
      <c r="L1175" t="s">
        <v>18</v>
      </c>
      <c r="M1175">
        <v>4.5</v>
      </c>
    </row>
    <row r="1176" spans="1:13" x14ac:dyDescent="0.25">
      <c r="A1176">
        <v>1175</v>
      </c>
      <c r="B1176" s="1">
        <v>42792</v>
      </c>
      <c r="C1176" s="1">
        <v>43017</v>
      </c>
      <c r="D1176" t="s">
        <v>22</v>
      </c>
      <c r="E1176" t="s">
        <v>27</v>
      </c>
      <c r="F1176" s="2">
        <v>57</v>
      </c>
      <c r="G1176" t="s">
        <v>11</v>
      </c>
      <c r="H1176" s="3">
        <v>18339.68</v>
      </c>
      <c r="I1176" s="3">
        <v>521077</v>
      </c>
      <c r="J1176" s="3">
        <v>416861.6</v>
      </c>
      <c r="K1176" s="3">
        <v>85875.72000000003</v>
      </c>
      <c r="L1176" t="s">
        <v>18</v>
      </c>
      <c r="M1176">
        <v>4.7</v>
      </c>
    </row>
    <row r="1177" spans="1:13" x14ac:dyDescent="0.25">
      <c r="A1177">
        <v>1176</v>
      </c>
      <c r="B1177" s="1">
        <v>42792</v>
      </c>
      <c r="C1177" s="1">
        <v>43091</v>
      </c>
      <c r="D1177" t="s">
        <v>22</v>
      </c>
      <c r="E1177" t="s">
        <v>29</v>
      </c>
      <c r="F1177" s="2">
        <v>128</v>
      </c>
      <c r="G1177" t="s">
        <v>12</v>
      </c>
      <c r="H1177" s="3">
        <v>51244.160000000003</v>
      </c>
      <c r="I1177" s="3">
        <v>1341614</v>
      </c>
      <c r="J1177" s="3">
        <v>1073291.2</v>
      </c>
      <c r="K1177" s="3">
        <v>217078.64000000004</v>
      </c>
      <c r="L1177" t="s">
        <v>16</v>
      </c>
      <c r="M1177">
        <v>4.7</v>
      </c>
    </row>
    <row r="1178" spans="1:13" x14ac:dyDescent="0.25">
      <c r="A1178">
        <v>1177</v>
      </c>
      <c r="B1178" s="1">
        <v>42793</v>
      </c>
      <c r="C1178" s="1">
        <v>43049</v>
      </c>
      <c r="D1178" t="s">
        <v>23</v>
      </c>
      <c r="E1178" t="s">
        <v>28</v>
      </c>
      <c r="F1178" s="2">
        <v>73</v>
      </c>
      <c r="G1178" t="s">
        <v>11</v>
      </c>
      <c r="H1178" s="3">
        <v>27298.36</v>
      </c>
      <c r="I1178" s="3">
        <v>748119</v>
      </c>
      <c r="J1178" s="3">
        <v>598495.19999999995</v>
      </c>
      <c r="K1178" s="3">
        <v>122325.44000000005</v>
      </c>
      <c r="L1178" t="s">
        <v>17</v>
      </c>
      <c r="M1178">
        <v>3.6</v>
      </c>
    </row>
    <row r="1179" spans="1:13" x14ac:dyDescent="0.25">
      <c r="A1179">
        <v>1178</v>
      </c>
      <c r="B1179" s="1">
        <v>42793</v>
      </c>
      <c r="C1179" s="1">
        <v>43018</v>
      </c>
      <c r="D1179" t="s">
        <v>23</v>
      </c>
      <c r="E1179" t="s">
        <v>28</v>
      </c>
      <c r="F1179" s="2">
        <v>215</v>
      </c>
      <c r="G1179" t="s">
        <v>12</v>
      </c>
      <c r="H1179" s="3">
        <v>57515.56</v>
      </c>
      <c r="I1179" s="3">
        <v>1505099</v>
      </c>
      <c r="J1179" s="3">
        <v>1204079.2</v>
      </c>
      <c r="K1179" s="3">
        <v>243504.24000000005</v>
      </c>
      <c r="L1179" t="s">
        <v>15</v>
      </c>
      <c r="M1179">
        <v>3.6</v>
      </c>
    </row>
    <row r="1180" spans="1:13" x14ac:dyDescent="0.25">
      <c r="A1180">
        <v>1179</v>
      </c>
      <c r="B1180" s="1">
        <v>42793</v>
      </c>
      <c r="C1180" s="1">
        <v>43046</v>
      </c>
      <c r="D1180" t="s">
        <v>23</v>
      </c>
      <c r="E1180" t="s">
        <v>28</v>
      </c>
      <c r="F1180" s="2">
        <v>85</v>
      </c>
      <c r="G1180" t="s">
        <v>12</v>
      </c>
      <c r="H1180" s="3">
        <v>30463.919999999998</v>
      </c>
      <c r="I1180" s="3">
        <v>817083</v>
      </c>
      <c r="J1180" s="3">
        <v>653666.4</v>
      </c>
      <c r="K1180" s="3">
        <v>132952.68</v>
      </c>
      <c r="L1180" t="s">
        <v>17</v>
      </c>
      <c r="M1180">
        <v>3.6</v>
      </c>
    </row>
    <row r="1181" spans="1:13" x14ac:dyDescent="0.25">
      <c r="A1181">
        <v>1180</v>
      </c>
      <c r="B1181" s="1">
        <v>42794</v>
      </c>
      <c r="C1181" s="1">
        <v>43057</v>
      </c>
      <c r="D1181" t="s">
        <v>23</v>
      </c>
      <c r="E1181" t="s">
        <v>26</v>
      </c>
      <c r="F1181" s="2">
        <v>67</v>
      </c>
      <c r="G1181" t="s">
        <v>11</v>
      </c>
      <c r="H1181" s="3">
        <v>13196.8</v>
      </c>
      <c r="I1181" s="3">
        <v>390755</v>
      </c>
      <c r="J1181" s="3">
        <v>312604</v>
      </c>
      <c r="K1181" s="3">
        <v>64954.2</v>
      </c>
      <c r="L1181" t="s">
        <v>17</v>
      </c>
      <c r="M1181">
        <v>3.6</v>
      </c>
    </row>
    <row r="1182" spans="1:13" x14ac:dyDescent="0.25">
      <c r="A1182">
        <v>1181</v>
      </c>
      <c r="B1182" s="1">
        <v>42794</v>
      </c>
      <c r="C1182" s="1">
        <v>43116</v>
      </c>
      <c r="D1182" t="s">
        <v>20</v>
      </c>
      <c r="E1182" t="s">
        <v>29</v>
      </c>
      <c r="F1182" s="2">
        <v>42</v>
      </c>
      <c r="G1182" t="s">
        <v>11</v>
      </c>
      <c r="H1182" s="3">
        <v>16196.6</v>
      </c>
      <c r="I1182" s="3">
        <v>462275</v>
      </c>
      <c r="J1182" s="3">
        <v>369820</v>
      </c>
      <c r="K1182" s="3">
        <v>76258.399999999994</v>
      </c>
      <c r="L1182" t="s">
        <v>18</v>
      </c>
      <c r="M1182">
        <v>3.7</v>
      </c>
    </row>
    <row r="1183" spans="1:13" x14ac:dyDescent="0.25">
      <c r="A1183">
        <v>1182</v>
      </c>
      <c r="B1183" s="1">
        <v>42795</v>
      </c>
      <c r="C1183" s="1">
        <v>43151</v>
      </c>
      <c r="D1183" t="s">
        <v>23</v>
      </c>
      <c r="E1183" t="s">
        <v>25</v>
      </c>
      <c r="F1183" s="2">
        <v>174</v>
      </c>
      <c r="G1183" t="s">
        <v>12</v>
      </c>
      <c r="H1183" s="3">
        <v>47328.84</v>
      </c>
      <c r="I1183" s="3">
        <v>1239731</v>
      </c>
      <c r="J1183" s="3">
        <v>991784.8</v>
      </c>
      <c r="K1183" s="3">
        <v>200617.35999999996</v>
      </c>
      <c r="L1183" t="s">
        <v>14</v>
      </c>
      <c r="M1183">
        <v>3.7</v>
      </c>
    </row>
    <row r="1184" spans="1:13" x14ac:dyDescent="0.25">
      <c r="A1184">
        <v>1183</v>
      </c>
      <c r="B1184" s="1">
        <v>42795</v>
      </c>
      <c r="C1184" s="1">
        <v>42980</v>
      </c>
      <c r="D1184" t="s">
        <v>23</v>
      </c>
      <c r="E1184" t="s">
        <v>27</v>
      </c>
      <c r="F1184" s="2">
        <v>38</v>
      </c>
      <c r="G1184" t="s">
        <v>11</v>
      </c>
      <c r="H1184" s="3">
        <v>13743.6</v>
      </c>
      <c r="I1184" s="3">
        <v>397025</v>
      </c>
      <c r="J1184" s="3">
        <v>317620</v>
      </c>
      <c r="K1184" s="3">
        <v>65661.399999999994</v>
      </c>
      <c r="L1184" t="s">
        <v>18</v>
      </c>
      <c r="M1184">
        <v>4.3</v>
      </c>
    </row>
    <row r="1185" spans="1:13" x14ac:dyDescent="0.25">
      <c r="A1185">
        <v>1184</v>
      </c>
      <c r="B1185" s="1">
        <v>42795</v>
      </c>
      <c r="C1185" s="1">
        <v>43004</v>
      </c>
      <c r="D1185" t="s">
        <v>22</v>
      </c>
      <c r="E1185" t="s">
        <v>13</v>
      </c>
      <c r="F1185" s="2">
        <v>89</v>
      </c>
      <c r="G1185" t="s">
        <v>11</v>
      </c>
      <c r="H1185" s="3">
        <v>24641.08</v>
      </c>
      <c r="I1185" s="3">
        <v>676437</v>
      </c>
      <c r="J1185" s="3">
        <v>541149.6</v>
      </c>
      <c r="K1185" s="3">
        <v>110646.32000000002</v>
      </c>
      <c r="L1185" t="s">
        <v>19</v>
      </c>
      <c r="M1185">
        <v>4.8</v>
      </c>
    </row>
    <row r="1186" spans="1:13" x14ac:dyDescent="0.25">
      <c r="A1186">
        <v>1185</v>
      </c>
      <c r="B1186" s="1">
        <v>42796</v>
      </c>
      <c r="C1186" s="1">
        <v>43135</v>
      </c>
      <c r="D1186" t="s">
        <v>23</v>
      </c>
      <c r="E1186" t="s">
        <v>27</v>
      </c>
      <c r="F1186" s="2">
        <v>229</v>
      </c>
      <c r="G1186" t="s">
        <v>12</v>
      </c>
      <c r="H1186" s="3">
        <v>54761.52</v>
      </c>
      <c r="I1186" s="3">
        <v>1424873</v>
      </c>
      <c r="J1186" s="3">
        <v>1139898.3999999999</v>
      </c>
      <c r="K1186" s="3">
        <v>230213.0800000001</v>
      </c>
      <c r="L1186" t="s">
        <v>16</v>
      </c>
      <c r="M1186">
        <v>4.5</v>
      </c>
    </row>
    <row r="1187" spans="1:13" x14ac:dyDescent="0.25">
      <c r="A1187">
        <v>1186</v>
      </c>
      <c r="B1187" s="1">
        <v>42797</v>
      </c>
      <c r="C1187" s="1">
        <v>43144</v>
      </c>
      <c r="D1187" t="s">
        <v>20</v>
      </c>
      <c r="E1187" t="s">
        <v>13</v>
      </c>
      <c r="F1187" s="2">
        <v>146</v>
      </c>
      <c r="G1187" t="s">
        <v>11</v>
      </c>
      <c r="H1187" s="3">
        <v>29334.32</v>
      </c>
      <c r="I1187" s="3">
        <v>792693</v>
      </c>
      <c r="J1187" s="3">
        <v>634154.4</v>
      </c>
      <c r="K1187" s="3">
        <v>129204.27999999997</v>
      </c>
      <c r="L1187" t="s">
        <v>19</v>
      </c>
      <c r="M1187">
        <v>4</v>
      </c>
    </row>
    <row r="1188" spans="1:13" x14ac:dyDescent="0.25">
      <c r="A1188">
        <v>1187</v>
      </c>
      <c r="B1188" s="1">
        <v>42797</v>
      </c>
      <c r="C1188" s="1">
        <v>42916</v>
      </c>
      <c r="D1188" t="s">
        <v>23</v>
      </c>
      <c r="E1188" t="s">
        <v>28</v>
      </c>
      <c r="F1188" s="2">
        <v>44</v>
      </c>
      <c r="G1188" t="s">
        <v>11</v>
      </c>
      <c r="H1188" s="3">
        <v>17013</v>
      </c>
      <c r="I1188" s="3">
        <v>478785</v>
      </c>
      <c r="J1188" s="3">
        <v>383028</v>
      </c>
      <c r="K1188" s="3">
        <v>78744</v>
      </c>
      <c r="L1188" t="s">
        <v>18</v>
      </c>
      <c r="M1188">
        <v>3.8</v>
      </c>
    </row>
    <row r="1189" spans="1:13" x14ac:dyDescent="0.25">
      <c r="A1189">
        <v>1188</v>
      </c>
      <c r="B1189" s="1">
        <v>42797</v>
      </c>
      <c r="C1189" s="1">
        <v>42928</v>
      </c>
      <c r="D1189" t="s">
        <v>22</v>
      </c>
      <c r="E1189" t="s">
        <v>27</v>
      </c>
      <c r="F1189" s="2">
        <v>86</v>
      </c>
      <c r="G1189" t="s">
        <v>11</v>
      </c>
      <c r="H1189" s="3">
        <v>13900.52</v>
      </c>
      <c r="I1189" s="3">
        <v>412298</v>
      </c>
      <c r="J1189" s="3">
        <v>329838.40000000002</v>
      </c>
      <c r="K1189" s="3">
        <v>68559.079999999973</v>
      </c>
      <c r="L1189" t="s">
        <v>15</v>
      </c>
      <c r="M1189">
        <v>4.9000000000000004</v>
      </c>
    </row>
    <row r="1190" spans="1:13" x14ac:dyDescent="0.25">
      <c r="A1190">
        <v>1189</v>
      </c>
      <c r="B1190" s="1">
        <v>42797</v>
      </c>
      <c r="C1190" s="1">
        <v>43019</v>
      </c>
      <c r="D1190" t="s">
        <v>20</v>
      </c>
      <c r="E1190" t="s">
        <v>27</v>
      </c>
      <c r="F1190" s="2">
        <v>249</v>
      </c>
      <c r="G1190" t="s">
        <v>12</v>
      </c>
      <c r="H1190" s="3">
        <v>57650.2</v>
      </c>
      <c r="I1190" s="3">
        <v>1508090</v>
      </c>
      <c r="J1190" s="3">
        <v>1206472</v>
      </c>
      <c r="K1190" s="3">
        <v>243967.8</v>
      </c>
      <c r="L1190" t="s">
        <v>14</v>
      </c>
      <c r="M1190">
        <v>4.5</v>
      </c>
    </row>
    <row r="1191" spans="1:13" x14ac:dyDescent="0.25">
      <c r="A1191">
        <v>1190</v>
      </c>
      <c r="B1191" s="1">
        <v>42797</v>
      </c>
      <c r="C1191" s="1">
        <v>42992</v>
      </c>
      <c r="D1191" t="s">
        <v>23</v>
      </c>
      <c r="E1191" t="s">
        <v>29</v>
      </c>
      <c r="F1191" s="2">
        <v>149</v>
      </c>
      <c r="G1191" t="s">
        <v>12</v>
      </c>
      <c r="H1191" s="3">
        <v>54898.32</v>
      </c>
      <c r="I1191" s="3">
        <v>1438118</v>
      </c>
      <c r="J1191" s="3">
        <v>1150494.3999999999</v>
      </c>
      <c r="K1191" s="3">
        <v>232725.28000000009</v>
      </c>
      <c r="L1191" t="s">
        <v>14</v>
      </c>
      <c r="M1191">
        <v>3.6</v>
      </c>
    </row>
    <row r="1192" spans="1:13" x14ac:dyDescent="0.25">
      <c r="A1192">
        <v>1191</v>
      </c>
      <c r="B1192" s="1">
        <v>42797</v>
      </c>
      <c r="C1192" s="1">
        <v>42937</v>
      </c>
      <c r="D1192" t="s">
        <v>23</v>
      </c>
      <c r="E1192" t="s">
        <v>29</v>
      </c>
      <c r="F1192" s="2">
        <v>135</v>
      </c>
      <c r="G1192" t="s">
        <v>12</v>
      </c>
      <c r="H1192" s="3">
        <v>49302.96</v>
      </c>
      <c r="I1192" s="3">
        <v>1292759</v>
      </c>
      <c r="J1192" s="3">
        <v>1034207.2</v>
      </c>
      <c r="K1192" s="3">
        <v>209248.84000000005</v>
      </c>
      <c r="L1192" t="s">
        <v>15</v>
      </c>
      <c r="M1192">
        <v>4.7</v>
      </c>
    </row>
    <row r="1193" spans="1:13" x14ac:dyDescent="0.25">
      <c r="A1193">
        <v>1192</v>
      </c>
      <c r="B1193" s="1">
        <v>42798</v>
      </c>
      <c r="C1193" s="1">
        <v>43103</v>
      </c>
      <c r="D1193" t="s">
        <v>22</v>
      </c>
      <c r="E1193" t="s">
        <v>25</v>
      </c>
      <c r="F1193" s="2">
        <v>230</v>
      </c>
      <c r="G1193" t="s">
        <v>12</v>
      </c>
      <c r="H1193" s="3">
        <v>81278.399999999994</v>
      </c>
      <c r="I1193" s="3">
        <v>2091795</v>
      </c>
      <c r="J1193" s="3">
        <v>1673436</v>
      </c>
      <c r="K1193" s="3">
        <v>337080.6</v>
      </c>
      <c r="L1193" t="s">
        <v>17</v>
      </c>
      <c r="M1193">
        <v>4.3</v>
      </c>
    </row>
    <row r="1194" spans="1:13" x14ac:dyDescent="0.25">
      <c r="A1194">
        <v>1193</v>
      </c>
      <c r="B1194" s="1">
        <v>42798</v>
      </c>
      <c r="C1194" s="1">
        <v>42950</v>
      </c>
      <c r="D1194" t="s">
        <v>20</v>
      </c>
      <c r="E1194" t="s">
        <v>27</v>
      </c>
      <c r="F1194" s="2">
        <v>234</v>
      </c>
      <c r="G1194" t="s">
        <v>12</v>
      </c>
      <c r="H1194" s="3">
        <v>51598.44</v>
      </c>
      <c r="I1194" s="3">
        <v>1356721</v>
      </c>
      <c r="J1194" s="3">
        <v>1085376.8</v>
      </c>
      <c r="K1194" s="3">
        <v>219745.75999999995</v>
      </c>
      <c r="L1194" t="s">
        <v>14</v>
      </c>
      <c r="M1194">
        <v>3.6</v>
      </c>
    </row>
    <row r="1195" spans="1:13" x14ac:dyDescent="0.25">
      <c r="A1195">
        <v>1194</v>
      </c>
      <c r="B1195" s="1">
        <v>42798</v>
      </c>
      <c r="C1195" s="1">
        <v>43074</v>
      </c>
      <c r="D1195" t="s">
        <v>21</v>
      </c>
      <c r="E1195" t="s">
        <v>28</v>
      </c>
      <c r="F1195" s="2">
        <v>185</v>
      </c>
      <c r="G1195" t="s">
        <v>12</v>
      </c>
      <c r="H1195" s="3">
        <v>37817.279999999999</v>
      </c>
      <c r="I1195" s="3">
        <v>1006192</v>
      </c>
      <c r="J1195" s="3">
        <v>804953.59999999998</v>
      </c>
      <c r="K1195" s="3">
        <v>163421.12000000002</v>
      </c>
      <c r="L1195" t="s">
        <v>15</v>
      </c>
      <c r="M1195">
        <v>4.5999999999999996</v>
      </c>
    </row>
    <row r="1196" spans="1:13" x14ac:dyDescent="0.25">
      <c r="A1196">
        <v>1195</v>
      </c>
      <c r="B1196" s="1">
        <v>42798</v>
      </c>
      <c r="C1196" s="1">
        <v>42958</v>
      </c>
      <c r="D1196" t="s">
        <v>20</v>
      </c>
      <c r="E1196" t="s">
        <v>26</v>
      </c>
      <c r="F1196" s="2">
        <v>86</v>
      </c>
      <c r="G1196" t="s">
        <v>11</v>
      </c>
      <c r="H1196" s="3">
        <v>28526.400000000001</v>
      </c>
      <c r="I1196" s="3">
        <v>779845</v>
      </c>
      <c r="J1196" s="3">
        <v>623876</v>
      </c>
      <c r="K1196" s="3">
        <v>127442.6</v>
      </c>
      <c r="L1196" t="s">
        <v>15</v>
      </c>
      <c r="M1196">
        <v>4.9000000000000004</v>
      </c>
    </row>
    <row r="1197" spans="1:13" x14ac:dyDescent="0.25">
      <c r="A1197">
        <v>1196</v>
      </c>
      <c r="B1197" s="1">
        <v>42799</v>
      </c>
      <c r="C1197" s="1">
        <v>42929</v>
      </c>
      <c r="D1197" t="s">
        <v>22</v>
      </c>
      <c r="E1197" t="s">
        <v>27</v>
      </c>
      <c r="F1197" s="2">
        <v>120</v>
      </c>
      <c r="G1197" t="s">
        <v>11</v>
      </c>
      <c r="H1197" s="3">
        <v>23561.919999999998</v>
      </c>
      <c r="I1197" s="3">
        <v>650533</v>
      </c>
      <c r="J1197" s="3">
        <v>520426.4</v>
      </c>
      <c r="K1197" s="3">
        <v>106544.67999999998</v>
      </c>
      <c r="L1197" t="s">
        <v>16</v>
      </c>
      <c r="M1197">
        <v>3.9</v>
      </c>
    </row>
    <row r="1198" spans="1:13" x14ac:dyDescent="0.25">
      <c r="A1198">
        <v>1197</v>
      </c>
      <c r="B1198" s="1">
        <v>42800</v>
      </c>
      <c r="C1198" s="1">
        <v>43087</v>
      </c>
      <c r="D1198" t="s">
        <v>22</v>
      </c>
      <c r="E1198" t="s">
        <v>24</v>
      </c>
      <c r="F1198" s="2">
        <v>52</v>
      </c>
      <c r="G1198" t="s">
        <v>11</v>
      </c>
      <c r="H1198" s="3">
        <v>8225.32</v>
      </c>
      <c r="I1198" s="3">
        <v>269843</v>
      </c>
      <c r="J1198" s="3">
        <v>215874.4</v>
      </c>
      <c r="K1198" s="3">
        <v>45743.280000000006</v>
      </c>
      <c r="L1198" t="s">
        <v>19</v>
      </c>
      <c r="M1198">
        <v>3.6</v>
      </c>
    </row>
    <row r="1199" spans="1:13" x14ac:dyDescent="0.25">
      <c r="A1199">
        <v>1198</v>
      </c>
      <c r="B1199" s="1">
        <v>42800</v>
      </c>
      <c r="C1199" s="1">
        <v>43075</v>
      </c>
      <c r="D1199" t="s">
        <v>22</v>
      </c>
      <c r="E1199" t="s">
        <v>29</v>
      </c>
      <c r="F1199" s="2">
        <v>91</v>
      </c>
      <c r="G1199" t="s">
        <v>12</v>
      </c>
      <c r="H1199" s="3">
        <v>35703.120000000003</v>
      </c>
      <c r="I1199" s="3">
        <v>953863</v>
      </c>
      <c r="J1199" s="3">
        <v>763090.4</v>
      </c>
      <c r="K1199" s="3">
        <v>155069.47999999998</v>
      </c>
      <c r="L1199" t="s">
        <v>15</v>
      </c>
      <c r="M1199">
        <v>4.2</v>
      </c>
    </row>
    <row r="1200" spans="1:13" x14ac:dyDescent="0.25">
      <c r="A1200">
        <v>1199</v>
      </c>
      <c r="B1200" s="1">
        <v>42800</v>
      </c>
      <c r="C1200" s="1">
        <v>42941</v>
      </c>
      <c r="D1200" t="s">
        <v>21</v>
      </c>
      <c r="E1200" t="s">
        <v>25</v>
      </c>
      <c r="F1200" s="2">
        <v>39</v>
      </c>
      <c r="G1200" t="s">
        <v>11</v>
      </c>
      <c r="H1200" s="3">
        <v>8768.84</v>
      </c>
      <c r="I1200" s="3">
        <v>272231</v>
      </c>
      <c r="J1200" s="3">
        <v>217784.8</v>
      </c>
      <c r="K1200" s="3">
        <v>45677.360000000015</v>
      </c>
      <c r="L1200" t="s">
        <v>16</v>
      </c>
      <c r="M1200">
        <v>4.8</v>
      </c>
    </row>
    <row r="1201" spans="1:13" x14ac:dyDescent="0.25">
      <c r="A1201">
        <v>1200</v>
      </c>
      <c r="B1201" s="1">
        <v>42800</v>
      </c>
      <c r="C1201" s="1">
        <v>43009</v>
      </c>
      <c r="D1201" t="s">
        <v>21</v>
      </c>
      <c r="E1201" t="s">
        <v>25</v>
      </c>
      <c r="F1201" s="2">
        <v>57</v>
      </c>
      <c r="G1201" t="s">
        <v>11</v>
      </c>
      <c r="H1201" s="3">
        <v>18327</v>
      </c>
      <c r="I1201" s="3">
        <v>511085</v>
      </c>
      <c r="J1201" s="3">
        <v>408868</v>
      </c>
      <c r="K1201" s="3">
        <v>83890</v>
      </c>
      <c r="L1201" t="s">
        <v>19</v>
      </c>
      <c r="M1201">
        <v>4.5</v>
      </c>
    </row>
    <row r="1202" spans="1:13" x14ac:dyDescent="0.25">
      <c r="A1202">
        <v>1201</v>
      </c>
      <c r="B1202" s="1">
        <v>42801</v>
      </c>
      <c r="C1202" s="1">
        <v>42900</v>
      </c>
      <c r="D1202" t="s">
        <v>22</v>
      </c>
      <c r="E1202" t="s">
        <v>26</v>
      </c>
      <c r="F1202" s="2">
        <v>50</v>
      </c>
      <c r="G1202" t="s">
        <v>11</v>
      </c>
      <c r="H1202" s="3">
        <v>11108</v>
      </c>
      <c r="I1202" s="3">
        <v>334835</v>
      </c>
      <c r="J1202" s="3">
        <v>267868</v>
      </c>
      <c r="K1202" s="3">
        <v>55859</v>
      </c>
      <c r="L1202" t="s">
        <v>14</v>
      </c>
      <c r="M1202">
        <v>4.3</v>
      </c>
    </row>
    <row r="1203" spans="1:13" x14ac:dyDescent="0.25">
      <c r="A1203">
        <v>1202</v>
      </c>
      <c r="B1203" s="1">
        <v>42801</v>
      </c>
      <c r="C1203" s="1">
        <v>42975</v>
      </c>
      <c r="D1203" t="s">
        <v>22</v>
      </c>
      <c r="E1203" t="s">
        <v>26</v>
      </c>
      <c r="F1203" s="2">
        <v>132</v>
      </c>
      <c r="G1203" t="s">
        <v>12</v>
      </c>
      <c r="H1203" s="3">
        <v>43108.84</v>
      </c>
      <c r="I1203" s="3">
        <v>1136531</v>
      </c>
      <c r="J1203" s="3">
        <v>909224.8</v>
      </c>
      <c r="K1203" s="3">
        <v>184197.35999999996</v>
      </c>
      <c r="L1203" t="s">
        <v>18</v>
      </c>
      <c r="M1203">
        <v>4.4000000000000004</v>
      </c>
    </row>
    <row r="1204" spans="1:13" x14ac:dyDescent="0.25">
      <c r="A1204">
        <v>1203</v>
      </c>
      <c r="B1204" s="1">
        <v>42801</v>
      </c>
      <c r="C1204" s="1">
        <v>43110</v>
      </c>
      <c r="D1204" t="s">
        <v>22</v>
      </c>
      <c r="E1204" t="s">
        <v>28</v>
      </c>
      <c r="F1204" s="2">
        <v>234</v>
      </c>
      <c r="G1204" t="s">
        <v>12</v>
      </c>
      <c r="H1204" s="3">
        <v>39431</v>
      </c>
      <c r="I1204" s="3">
        <v>1049660</v>
      </c>
      <c r="J1204" s="3">
        <v>839728</v>
      </c>
      <c r="K1204" s="3">
        <v>170501</v>
      </c>
      <c r="L1204" t="s">
        <v>15</v>
      </c>
      <c r="M1204">
        <v>3.9</v>
      </c>
    </row>
    <row r="1205" spans="1:13" x14ac:dyDescent="0.25">
      <c r="A1205">
        <v>1204</v>
      </c>
      <c r="B1205" s="1">
        <v>42801</v>
      </c>
      <c r="C1205" s="1">
        <v>42973</v>
      </c>
      <c r="D1205" t="s">
        <v>21</v>
      </c>
      <c r="E1205" t="s">
        <v>28</v>
      </c>
      <c r="F1205" s="2">
        <v>250</v>
      </c>
      <c r="G1205" t="s">
        <v>12</v>
      </c>
      <c r="H1205" s="3">
        <v>85078.399999999994</v>
      </c>
      <c r="I1205" s="3">
        <v>2187920</v>
      </c>
      <c r="J1205" s="3">
        <v>1750336</v>
      </c>
      <c r="K1205" s="3">
        <v>352505.59999999998</v>
      </c>
      <c r="L1205" t="s">
        <v>15</v>
      </c>
      <c r="M1205">
        <v>4.2</v>
      </c>
    </row>
    <row r="1206" spans="1:13" x14ac:dyDescent="0.25">
      <c r="A1206">
        <v>1205</v>
      </c>
      <c r="B1206" s="1">
        <v>42801</v>
      </c>
      <c r="C1206" s="1">
        <v>42941</v>
      </c>
      <c r="D1206" t="s">
        <v>21</v>
      </c>
      <c r="E1206" t="s">
        <v>26</v>
      </c>
      <c r="F1206" s="2">
        <v>210</v>
      </c>
      <c r="G1206" t="s">
        <v>12</v>
      </c>
      <c r="H1206" s="3">
        <v>83425.16</v>
      </c>
      <c r="I1206" s="3">
        <v>2141564</v>
      </c>
      <c r="J1206" s="3">
        <v>1713251.2</v>
      </c>
      <c r="K1206" s="3">
        <v>344887.64</v>
      </c>
      <c r="L1206" t="s">
        <v>16</v>
      </c>
      <c r="M1206">
        <v>3.6</v>
      </c>
    </row>
    <row r="1207" spans="1:13" x14ac:dyDescent="0.25">
      <c r="A1207">
        <v>1206</v>
      </c>
      <c r="B1207" s="1">
        <v>42801</v>
      </c>
      <c r="C1207" s="1">
        <v>43096</v>
      </c>
      <c r="D1207" t="s">
        <v>22</v>
      </c>
      <c r="E1207" t="s">
        <v>25</v>
      </c>
      <c r="F1207" s="2">
        <v>113</v>
      </c>
      <c r="G1207" t="s">
        <v>12</v>
      </c>
      <c r="H1207" s="3">
        <v>37537.64</v>
      </c>
      <c r="I1207" s="3">
        <v>989801</v>
      </c>
      <c r="J1207" s="3">
        <v>791840.8</v>
      </c>
      <c r="K1207" s="3">
        <v>160422.55999999994</v>
      </c>
      <c r="L1207" t="s">
        <v>18</v>
      </c>
      <c r="M1207">
        <v>3.6</v>
      </c>
    </row>
    <row r="1208" spans="1:13" x14ac:dyDescent="0.25">
      <c r="A1208">
        <v>1207</v>
      </c>
      <c r="B1208" s="1">
        <v>42801</v>
      </c>
      <c r="C1208" s="1">
        <v>43140</v>
      </c>
      <c r="D1208" t="s">
        <v>20</v>
      </c>
      <c r="E1208" t="s">
        <v>27</v>
      </c>
      <c r="F1208" s="2">
        <v>245</v>
      </c>
      <c r="G1208" t="s">
        <v>12</v>
      </c>
      <c r="H1208" s="3">
        <v>60490</v>
      </c>
      <c r="I1208" s="3">
        <v>1567485</v>
      </c>
      <c r="J1208" s="3">
        <v>1253988</v>
      </c>
      <c r="K1208" s="3">
        <v>253007</v>
      </c>
      <c r="L1208" t="s">
        <v>16</v>
      </c>
      <c r="M1208">
        <v>4.3</v>
      </c>
    </row>
    <row r="1209" spans="1:13" x14ac:dyDescent="0.25">
      <c r="A1209">
        <v>1208</v>
      </c>
      <c r="B1209" s="1">
        <v>42802</v>
      </c>
      <c r="C1209" s="1">
        <v>43136</v>
      </c>
      <c r="D1209" t="s">
        <v>21</v>
      </c>
      <c r="E1209" t="s">
        <v>29</v>
      </c>
      <c r="F1209" s="2">
        <v>232</v>
      </c>
      <c r="G1209" t="s">
        <v>12</v>
      </c>
      <c r="H1209" s="3">
        <v>57252.480000000003</v>
      </c>
      <c r="I1209" s="3">
        <v>1485997</v>
      </c>
      <c r="J1209" s="3">
        <v>1188797.6000000001</v>
      </c>
      <c r="K1209" s="3">
        <v>239946.9199999999</v>
      </c>
      <c r="L1209" t="s">
        <v>16</v>
      </c>
      <c r="M1209">
        <v>4.4000000000000004</v>
      </c>
    </row>
    <row r="1210" spans="1:13" x14ac:dyDescent="0.25">
      <c r="A1210">
        <v>1209</v>
      </c>
      <c r="B1210" s="1">
        <v>42802</v>
      </c>
      <c r="C1210" s="1">
        <v>43079</v>
      </c>
      <c r="D1210" t="s">
        <v>22</v>
      </c>
      <c r="E1210" t="s">
        <v>13</v>
      </c>
      <c r="F1210" s="2">
        <v>84</v>
      </c>
      <c r="G1210" t="s">
        <v>11</v>
      </c>
      <c r="H1210" s="3">
        <v>15079</v>
      </c>
      <c r="I1210" s="3">
        <v>432335</v>
      </c>
      <c r="J1210" s="3">
        <v>345868</v>
      </c>
      <c r="K1210" s="3">
        <v>71388</v>
      </c>
      <c r="L1210" t="s">
        <v>14</v>
      </c>
      <c r="M1210">
        <v>4.9000000000000004</v>
      </c>
    </row>
    <row r="1211" spans="1:13" x14ac:dyDescent="0.25">
      <c r="A1211">
        <v>1210</v>
      </c>
      <c r="B1211" s="1">
        <v>42803</v>
      </c>
      <c r="C1211" s="1">
        <v>43103</v>
      </c>
      <c r="D1211" t="s">
        <v>20</v>
      </c>
      <c r="E1211" t="s">
        <v>13</v>
      </c>
      <c r="F1211" s="2">
        <v>240</v>
      </c>
      <c r="G1211" t="s">
        <v>12</v>
      </c>
      <c r="H1211" s="3">
        <v>59487.08</v>
      </c>
      <c r="I1211" s="3">
        <v>1540962</v>
      </c>
      <c r="J1211" s="3">
        <v>1232769.6000000001</v>
      </c>
      <c r="K1211" s="3">
        <v>248705.31999999989</v>
      </c>
      <c r="L1211" t="s">
        <v>17</v>
      </c>
      <c r="M1211">
        <v>4.0999999999999996</v>
      </c>
    </row>
    <row r="1212" spans="1:13" x14ac:dyDescent="0.25">
      <c r="A1212">
        <v>1211</v>
      </c>
      <c r="B1212" s="1">
        <v>42803</v>
      </c>
      <c r="C1212" s="1">
        <v>43026</v>
      </c>
      <c r="D1212" t="s">
        <v>20</v>
      </c>
      <c r="E1212" t="s">
        <v>13</v>
      </c>
      <c r="F1212" s="2">
        <v>225</v>
      </c>
      <c r="G1212" t="s">
        <v>12</v>
      </c>
      <c r="H1212" s="3">
        <v>36548.76</v>
      </c>
      <c r="I1212" s="3">
        <v>972179</v>
      </c>
      <c r="J1212" s="3">
        <v>777743.2</v>
      </c>
      <c r="K1212" s="3">
        <v>157887.04000000004</v>
      </c>
      <c r="L1212" t="s">
        <v>17</v>
      </c>
      <c r="M1212">
        <v>4.5999999999999996</v>
      </c>
    </row>
    <row r="1213" spans="1:13" x14ac:dyDescent="0.25">
      <c r="A1213">
        <v>1212</v>
      </c>
      <c r="B1213" s="1">
        <v>42804</v>
      </c>
      <c r="C1213" s="1">
        <v>43006</v>
      </c>
      <c r="D1213" t="s">
        <v>22</v>
      </c>
      <c r="E1213" t="s">
        <v>25</v>
      </c>
      <c r="F1213" s="2">
        <v>136</v>
      </c>
      <c r="G1213" t="s">
        <v>12</v>
      </c>
      <c r="H1213" s="3">
        <v>48653.4</v>
      </c>
      <c r="I1213" s="3">
        <v>1283445</v>
      </c>
      <c r="J1213" s="3">
        <v>1026756</v>
      </c>
      <c r="K1213" s="3">
        <v>208035.6</v>
      </c>
      <c r="L1213" t="s">
        <v>14</v>
      </c>
      <c r="M1213">
        <v>4</v>
      </c>
    </row>
    <row r="1214" spans="1:13" x14ac:dyDescent="0.25">
      <c r="A1214">
        <v>1213</v>
      </c>
      <c r="B1214" s="1">
        <v>42804</v>
      </c>
      <c r="C1214" s="1">
        <v>42982</v>
      </c>
      <c r="D1214" t="s">
        <v>21</v>
      </c>
      <c r="E1214" t="s">
        <v>13</v>
      </c>
      <c r="F1214" s="2">
        <v>148</v>
      </c>
      <c r="G1214" t="s">
        <v>12</v>
      </c>
      <c r="H1214" s="3">
        <v>48481.24</v>
      </c>
      <c r="I1214" s="3">
        <v>1274491</v>
      </c>
      <c r="J1214" s="3">
        <v>1019592.8</v>
      </c>
      <c r="K1214" s="3">
        <v>206416.95999999996</v>
      </c>
      <c r="L1214" t="s">
        <v>18</v>
      </c>
      <c r="M1214">
        <v>4.7</v>
      </c>
    </row>
    <row r="1215" spans="1:13" x14ac:dyDescent="0.25">
      <c r="A1215">
        <v>1214</v>
      </c>
      <c r="B1215" s="1">
        <v>42804</v>
      </c>
      <c r="C1215" s="1">
        <v>42894</v>
      </c>
      <c r="D1215" t="s">
        <v>21</v>
      </c>
      <c r="E1215" t="s">
        <v>29</v>
      </c>
      <c r="F1215" s="2">
        <v>138</v>
      </c>
      <c r="G1215" t="s">
        <v>11</v>
      </c>
      <c r="H1215" s="3">
        <v>25533.599999999999</v>
      </c>
      <c r="I1215" s="3">
        <v>692175</v>
      </c>
      <c r="J1215" s="3">
        <v>553740</v>
      </c>
      <c r="K1215" s="3">
        <v>112901.4</v>
      </c>
      <c r="L1215" t="s">
        <v>18</v>
      </c>
      <c r="M1215">
        <v>4.4000000000000004</v>
      </c>
    </row>
    <row r="1216" spans="1:13" x14ac:dyDescent="0.25">
      <c r="A1216">
        <v>1215</v>
      </c>
      <c r="B1216" s="1">
        <v>42804</v>
      </c>
      <c r="C1216" s="1">
        <v>42967</v>
      </c>
      <c r="D1216" t="s">
        <v>23</v>
      </c>
      <c r="E1216" t="s">
        <v>27</v>
      </c>
      <c r="F1216" s="2">
        <v>38</v>
      </c>
      <c r="G1216" t="s">
        <v>11</v>
      </c>
      <c r="H1216" s="3">
        <v>10949.8</v>
      </c>
      <c r="I1216" s="3">
        <v>329855</v>
      </c>
      <c r="J1216" s="3">
        <v>263884</v>
      </c>
      <c r="K1216" s="3">
        <v>55021.2</v>
      </c>
      <c r="L1216" t="s">
        <v>15</v>
      </c>
      <c r="M1216">
        <v>3.8</v>
      </c>
    </row>
    <row r="1217" spans="1:13" x14ac:dyDescent="0.25">
      <c r="A1217">
        <v>1216</v>
      </c>
      <c r="B1217" s="1">
        <v>42804</v>
      </c>
      <c r="C1217" s="1">
        <v>43032</v>
      </c>
      <c r="D1217" t="s">
        <v>22</v>
      </c>
      <c r="E1217" t="s">
        <v>27</v>
      </c>
      <c r="F1217" s="2">
        <v>274</v>
      </c>
      <c r="G1217" t="s">
        <v>12</v>
      </c>
      <c r="H1217" s="3">
        <v>106775.84</v>
      </c>
      <c r="I1217" s="3">
        <v>2724531</v>
      </c>
      <c r="J1217" s="3">
        <v>2179624.7999999998</v>
      </c>
      <c r="K1217" s="3">
        <v>438130.36000000022</v>
      </c>
      <c r="L1217" t="s">
        <v>19</v>
      </c>
      <c r="M1217">
        <v>4.7</v>
      </c>
    </row>
    <row r="1218" spans="1:13" x14ac:dyDescent="0.25">
      <c r="A1218">
        <v>1217</v>
      </c>
      <c r="B1218" s="1">
        <v>42805</v>
      </c>
      <c r="C1218" s="1">
        <v>43125</v>
      </c>
      <c r="D1218" t="s">
        <v>20</v>
      </c>
      <c r="E1218" t="s">
        <v>26</v>
      </c>
      <c r="F1218" s="2">
        <v>177</v>
      </c>
      <c r="G1218" t="s">
        <v>12</v>
      </c>
      <c r="H1218" s="3">
        <v>72640</v>
      </c>
      <c r="I1218" s="3">
        <v>1867285</v>
      </c>
      <c r="J1218" s="3">
        <v>1493828</v>
      </c>
      <c r="K1218" s="3">
        <v>300817</v>
      </c>
      <c r="L1218" t="s">
        <v>15</v>
      </c>
      <c r="M1218">
        <v>4.8</v>
      </c>
    </row>
    <row r="1219" spans="1:13" x14ac:dyDescent="0.25">
      <c r="A1219">
        <v>1218</v>
      </c>
      <c r="B1219" s="1">
        <v>42805</v>
      </c>
      <c r="C1219" s="1">
        <v>42996</v>
      </c>
      <c r="D1219" t="s">
        <v>23</v>
      </c>
      <c r="E1219" t="s">
        <v>28</v>
      </c>
      <c r="F1219" s="2">
        <v>234</v>
      </c>
      <c r="G1219" t="s">
        <v>12</v>
      </c>
      <c r="H1219" s="3">
        <v>68289.64</v>
      </c>
      <c r="I1219" s="3">
        <v>1765901</v>
      </c>
      <c r="J1219" s="3">
        <v>1412720.8</v>
      </c>
      <c r="K1219" s="3">
        <v>284890.55999999994</v>
      </c>
      <c r="L1219" t="s">
        <v>14</v>
      </c>
      <c r="M1219">
        <v>3.9</v>
      </c>
    </row>
    <row r="1220" spans="1:13" x14ac:dyDescent="0.25">
      <c r="A1220">
        <v>1219</v>
      </c>
      <c r="B1220" s="1">
        <v>42805</v>
      </c>
      <c r="C1220" s="1">
        <v>42948</v>
      </c>
      <c r="D1220" t="s">
        <v>23</v>
      </c>
      <c r="E1220" t="s">
        <v>24</v>
      </c>
      <c r="F1220" s="2">
        <v>247</v>
      </c>
      <c r="G1220" t="s">
        <v>12</v>
      </c>
      <c r="H1220" s="3">
        <v>88390.12</v>
      </c>
      <c r="I1220" s="3">
        <v>2271138</v>
      </c>
      <c r="J1220" s="3">
        <v>1816910.4</v>
      </c>
      <c r="K1220" s="3">
        <v>365837.4800000001</v>
      </c>
      <c r="L1220" t="s">
        <v>19</v>
      </c>
      <c r="M1220">
        <v>4.9000000000000004</v>
      </c>
    </row>
    <row r="1221" spans="1:13" x14ac:dyDescent="0.25">
      <c r="A1221">
        <v>1220</v>
      </c>
      <c r="B1221" s="1">
        <v>42806</v>
      </c>
      <c r="C1221" s="1">
        <v>43031</v>
      </c>
      <c r="D1221" t="s">
        <v>22</v>
      </c>
      <c r="E1221" t="s">
        <v>27</v>
      </c>
      <c r="F1221" s="2">
        <v>87</v>
      </c>
      <c r="G1221" t="s">
        <v>11</v>
      </c>
      <c r="H1221" s="3">
        <v>16383.2</v>
      </c>
      <c r="I1221" s="3">
        <v>474965</v>
      </c>
      <c r="J1221" s="3">
        <v>379972</v>
      </c>
      <c r="K1221" s="3">
        <v>78609.8</v>
      </c>
      <c r="L1221" t="s">
        <v>16</v>
      </c>
      <c r="M1221">
        <v>4.3</v>
      </c>
    </row>
    <row r="1222" spans="1:13" x14ac:dyDescent="0.25">
      <c r="A1222">
        <v>1221</v>
      </c>
      <c r="B1222" s="1">
        <v>42806</v>
      </c>
      <c r="C1222" s="1">
        <v>43066</v>
      </c>
      <c r="D1222" t="s">
        <v>21</v>
      </c>
      <c r="E1222" t="s">
        <v>24</v>
      </c>
      <c r="F1222" s="2">
        <v>262</v>
      </c>
      <c r="G1222" t="s">
        <v>12</v>
      </c>
      <c r="H1222" s="3">
        <v>80358.8</v>
      </c>
      <c r="I1222" s="3">
        <v>2068780</v>
      </c>
      <c r="J1222" s="3">
        <v>1655024</v>
      </c>
      <c r="K1222" s="3">
        <v>333397.2</v>
      </c>
      <c r="L1222" t="s">
        <v>16</v>
      </c>
      <c r="M1222">
        <v>3.9</v>
      </c>
    </row>
    <row r="1223" spans="1:13" x14ac:dyDescent="0.25">
      <c r="A1223">
        <v>1222</v>
      </c>
      <c r="B1223" s="1">
        <v>42806</v>
      </c>
      <c r="C1223" s="1">
        <v>42926</v>
      </c>
      <c r="D1223" t="s">
        <v>23</v>
      </c>
      <c r="E1223" t="s">
        <v>27</v>
      </c>
      <c r="F1223" s="2">
        <v>238</v>
      </c>
      <c r="G1223" t="s">
        <v>12</v>
      </c>
      <c r="H1223" s="3">
        <v>54498.2</v>
      </c>
      <c r="I1223" s="3">
        <v>1414365</v>
      </c>
      <c r="J1223" s="3">
        <v>1131492</v>
      </c>
      <c r="K1223" s="3">
        <v>228374.8</v>
      </c>
      <c r="L1223" t="s">
        <v>16</v>
      </c>
      <c r="M1223">
        <v>4.0999999999999996</v>
      </c>
    </row>
    <row r="1224" spans="1:13" x14ac:dyDescent="0.25">
      <c r="A1224">
        <v>1223</v>
      </c>
      <c r="B1224" s="1">
        <v>42806</v>
      </c>
      <c r="C1224" s="1">
        <v>42896</v>
      </c>
      <c r="D1224" t="s">
        <v>22</v>
      </c>
      <c r="E1224" t="s">
        <v>24</v>
      </c>
      <c r="F1224" s="2">
        <v>176</v>
      </c>
      <c r="G1224" t="s">
        <v>12</v>
      </c>
      <c r="H1224" s="3">
        <v>71283</v>
      </c>
      <c r="I1224" s="3">
        <v>1841960</v>
      </c>
      <c r="J1224" s="3">
        <v>1473568</v>
      </c>
      <c r="K1224" s="3">
        <v>297109</v>
      </c>
      <c r="L1224" t="s">
        <v>18</v>
      </c>
      <c r="M1224">
        <v>4.7</v>
      </c>
    </row>
    <row r="1225" spans="1:13" x14ac:dyDescent="0.25">
      <c r="A1225">
        <v>1224</v>
      </c>
      <c r="B1225" s="1">
        <v>42807</v>
      </c>
      <c r="C1225" s="1">
        <v>43091</v>
      </c>
      <c r="D1225" t="s">
        <v>22</v>
      </c>
      <c r="E1225" t="s">
        <v>28</v>
      </c>
      <c r="F1225" s="2">
        <v>121</v>
      </c>
      <c r="G1225" t="s">
        <v>12</v>
      </c>
      <c r="H1225" s="3">
        <v>41976.6</v>
      </c>
      <c r="I1225" s="3">
        <v>1107225</v>
      </c>
      <c r="J1225" s="3">
        <v>885780</v>
      </c>
      <c r="K1225" s="3">
        <v>179468.4</v>
      </c>
      <c r="L1225" t="s">
        <v>14</v>
      </c>
      <c r="M1225">
        <v>4.0999999999999996</v>
      </c>
    </row>
    <row r="1226" spans="1:13" x14ac:dyDescent="0.25">
      <c r="A1226">
        <v>1225</v>
      </c>
      <c r="B1226" s="1">
        <v>42808</v>
      </c>
      <c r="C1226" s="1">
        <v>43122</v>
      </c>
      <c r="D1226" t="s">
        <v>20</v>
      </c>
      <c r="E1226" t="s">
        <v>29</v>
      </c>
      <c r="F1226" s="2">
        <v>158</v>
      </c>
      <c r="G1226" t="s">
        <v>12</v>
      </c>
      <c r="H1226" s="3">
        <v>30572.720000000001</v>
      </c>
      <c r="I1226" s="3">
        <v>821553</v>
      </c>
      <c r="J1226" s="3">
        <v>657242.4</v>
      </c>
      <c r="K1226" s="3">
        <v>133737.87999999998</v>
      </c>
      <c r="L1226" t="s">
        <v>17</v>
      </c>
      <c r="M1226">
        <v>4.0999999999999996</v>
      </c>
    </row>
    <row r="1227" spans="1:13" x14ac:dyDescent="0.25">
      <c r="A1227">
        <v>1226</v>
      </c>
      <c r="B1227" s="1">
        <v>42808</v>
      </c>
      <c r="C1227" s="1">
        <v>42964</v>
      </c>
      <c r="D1227" t="s">
        <v>21</v>
      </c>
      <c r="E1227" t="s">
        <v>24</v>
      </c>
      <c r="F1227" s="2">
        <v>284</v>
      </c>
      <c r="G1227" t="s">
        <v>12</v>
      </c>
      <c r="H1227" s="3">
        <v>59103.8</v>
      </c>
      <c r="I1227" s="3">
        <v>1533680</v>
      </c>
      <c r="J1227" s="3">
        <v>1226944</v>
      </c>
      <c r="K1227" s="3">
        <v>247632.2</v>
      </c>
      <c r="L1227" t="s">
        <v>18</v>
      </c>
      <c r="M1227">
        <v>4.8</v>
      </c>
    </row>
    <row r="1228" spans="1:13" x14ac:dyDescent="0.25">
      <c r="A1228">
        <v>1227</v>
      </c>
      <c r="B1228" s="1">
        <v>42808</v>
      </c>
      <c r="C1228" s="1">
        <v>43028</v>
      </c>
      <c r="D1228" t="s">
        <v>20</v>
      </c>
      <c r="E1228" t="s">
        <v>24</v>
      </c>
      <c r="F1228" s="2">
        <v>160</v>
      </c>
      <c r="G1228" t="s">
        <v>12</v>
      </c>
      <c r="H1228" s="3">
        <v>60418.6</v>
      </c>
      <c r="I1228" s="3">
        <v>1563325</v>
      </c>
      <c r="J1228" s="3">
        <v>1250660</v>
      </c>
      <c r="K1228" s="3">
        <v>252246.39999999999</v>
      </c>
      <c r="L1228" t="s">
        <v>18</v>
      </c>
      <c r="M1228">
        <v>5</v>
      </c>
    </row>
    <row r="1229" spans="1:13" x14ac:dyDescent="0.25">
      <c r="A1229">
        <v>1228</v>
      </c>
      <c r="B1229" s="1">
        <v>42808</v>
      </c>
      <c r="C1229" s="1">
        <v>42906</v>
      </c>
      <c r="D1229" t="s">
        <v>20</v>
      </c>
      <c r="E1229" t="s">
        <v>27</v>
      </c>
      <c r="F1229" s="2">
        <v>182</v>
      </c>
      <c r="G1229" t="s">
        <v>12</v>
      </c>
      <c r="H1229" s="3">
        <v>38714.519999999997</v>
      </c>
      <c r="I1229" s="3">
        <v>1033073</v>
      </c>
      <c r="J1229" s="3">
        <v>826458.4</v>
      </c>
      <c r="K1229" s="3">
        <v>167900.08</v>
      </c>
      <c r="L1229" t="s">
        <v>14</v>
      </c>
      <c r="M1229">
        <v>4</v>
      </c>
    </row>
    <row r="1230" spans="1:13" x14ac:dyDescent="0.25">
      <c r="A1230">
        <v>1229</v>
      </c>
      <c r="B1230" s="1">
        <v>42808</v>
      </c>
      <c r="C1230" s="1">
        <v>43115</v>
      </c>
      <c r="D1230" t="s">
        <v>20</v>
      </c>
      <c r="E1230" t="s">
        <v>13</v>
      </c>
      <c r="F1230" s="2">
        <v>72</v>
      </c>
      <c r="G1230" t="s">
        <v>11</v>
      </c>
      <c r="H1230" s="3">
        <v>17148.72</v>
      </c>
      <c r="I1230" s="3">
        <v>488128</v>
      </c>
      <c r="J1230" s="3">
        <v>390502.40000000002</v>
      </c>
      <c r="K1230" s="3">
        <v>80476.879999999976</v>
      </c>
      <c r="L1230" t="s">
        <v>18</v>
      </c>
      <c r="M1230">
        <v>3.6</v>
      </c>
    </row>
    <row r="1231" spans="1:13" x14ac:dyDescent="0.25">
      <c r="A1231">
        <v>1230</v>
      </c>
      <c r="B1231" s="1">
        <v>42809</v>
      </c>
      <c r="C1231" s="1">
        <v>43066</v>
      </c>
      <c r="D1231" t="s">
        <v>22</v>
      </c>
      <c r="E1231" t="s">
        <v>13</v>
      </c>
      <c r="F1231" s="2">
        <v>262</v>
      </c>
      <c r="G1231" t="s">
        <v>12</v>
      </c>
      <c r="H1231" s="3">
        <v>95763.8</v>
      </c>
      <c r="I1231" s="3">
        <v>2459205</v>
      </c>
      <c r="J1231" s="3">
        <v>1967364</v>
      </c>
      <c r="K1231" s="3">
        <v>396077.2</v>
      </c>
      <c r="L1231" t="s">
        <v>14</v>
      </c>
      <c r="M1231">
        <v>5</v>
      </c>
    </row>
    <row r="1232" spans="1:13" x14ac:dyDescent="0.25">
      <c r="A1232">
        <v>1231</v>
      </c>
      <c r="B1232" s="1">
        <v>42810</v>
      </c>
      <c r="C1232" s="1">
        <v>43050</v>
      </c>
      <c r="D1232" t="s">
        <v>23</v>
      </c>
      <c r="E1232" t="s">
        <v>28</v>
      </c>
      <c r="F1232" s="2">
        <v>125</v>
      </c>
      <c r="G1232" t="s">
        <v>12</v>
      </c>
      <c r="H1232" s="3">
        <v>50575.199999999997</v>
      </c>
      <c r="I1232" s="3">
        <v>1329465</v>
      </c>
      <c r="J1232" s="3">
        <v>1063572</v>
      </c>
      <c r="K1232" s="3">
        <v>215317.8</v>
      </c>
      <c r="L1232" t="s">
        <v>19</v>
      </c>
      <c r="M1232">
        <v>4.8</v>
      </c>
    </row>
    <row r="1233" spans="1:13" x14ac:dyDescent="0.25">
      <c r="A1233">
        <v>1232</v>
      </c>
      <c r="B1233" s="1">
        <v>42810</v>
      </c>
      <c r="C1233" s="1">
        <v>43148</v>
      </c>
      <c r="D1233" t="s">
        <v>20</v>
      </c>
      <c r="E1233" t="s">
        <v>25</v>
      </c>
      <c r="F1233" s="2">
        <v>134</v>
      </c>
      <c r="G1233" t="s">
        <v>12</v>
      </c>
      <c r="H1233" s="3">
        <v>37258.120000000003</v>
      </c>
      <c r="I1233" s="3">
        <v>986063</v>
      </c>
      <c r="J1233" s="3">
        <v>788850.4</v>
      </c>
      <c r="K1233" s="3">
        <v>159954.47999999998</v>
      </c>
      <c r="L1233" t="s">
        <v>18</v>
      </c>
      <c r="M1233">
        <v>4.8</v>
      </c>
    </row>
    <row r="1234" spans="1:13" x14ac:dyDescent="0.25">
      <c r="A1234">
        <v>1233</v>
      </c>
      <c r="B1234" s="1">
        <v>42811</v>
      </c>
      <c r="C1234" s="1">
        <v>42967</v>
      </c>
      <c r="D1234" t="s">
        <v>23</v>
      </c>
      <c r="E1234" t="s">
        <v>29</v>
      </c>
      <c r="F1234" s="2">
        <v>84</v>
      </c>
      <c r="G1234" t="s">
        <v>12</v>
      </c>
      <c r="H1234" s="3">
        <v>31762.04</v>
      </c>
      <c r="I1234" s="3">
        <v>857261</v>
      </c>
      <c r="J1234" s="3">
        <v>685808.8</v>
      </c>
      <c r="K1234" s="3">
        <v>139690.15999999995</v>
      </c>
      <c r="L1234" t="s">
        <v>14</v>
      </c>
      <c r="M1234">
        <v>4.9000000000000004</v>
      </c>
    </row>
    <row r="1235" spans="1:13" x14ac:dyDescent="0.25">
      <c r="A1235">
        <v>1234</v>
      </c>
      <c r="B1235" s="1">
        <v>42811</v>
      </c>
      <c r="C1235" s="1">
        <v>42942</v>
      </c>
      <c r="D1235" t="s">
        <v>21</v>
      </c>
      <c r="E1235" t="s">
        <v>27</v>
      </c>
      <c r="F1235" s="2">
        <v>109</v>
      </c>
      <c r="G1235" t="s">
        <v>12</v>
      </c>
      <c r="H1235" s="3">
        <v>32977.519999999997</v>
      </c>
      <c r="I1235" s="3">
        <v>885373</v>
      </c>
      <c r="J1235" s="3">
        <v>708298.4</v>
      </c>
      <c r="K1235" s="3">
        <v>144097.07999999999</v>
      </c>
      <c r="L1235" t="s">
        <v>17</v>
      </c>
      <c r="M1235">
        <v>3.7</v>
      </c>
    </row>
    <row r="1236" spans="1:13" x14ac:dyDescent="0.25">
      <c r="A1236">
        <v>1235</v>
      </c>
      <c r="B1236" s="1">
        <v>42812</v>
      </c>
      <c r="C1236" s="1">
        <v>42914</v>
      </c>
      <c r="D1236" t="s">
        <v>20</v>
      </c>
      <c r="E1236" t="s">
        <v>25</v>
      </c>
      <c r="F1236" s="2">
        <v>226</v>
      </c>
      <c r="G1236" t="s">
        <v>12</v>
      </c>
      <c r="H1236" s="3">
        <v>65744.92</v>
      </c>
      <c r="I1236" s="3">
        <v>1709658</v>
      </c>
      <c r="J1236" s="3">
        <v>1367726.4</v>
      </c>
      <c r="K1236" s="3">
        <v>276186.68000000011</v>
      </c>
      <c r="L1236" t="s">
        <v>16</v>
      </c>
      <c r="M1236">
        <v>4</v>
      </c>
    </row>
    <row r="1237" spans="1:13" x14ac:dyDescent="0.25">
      <c r="A1237">
        <v>1236</v>
      </c>
      <c r="B1237" s="1">
        <v>42812</v>
      </c>
      <c r="C1237" s="1">
        <v>43118</v>
      </c>
      <c r="D1237" t="s">
        <v>23</v>
      </c>
      <c r="E1237" t="s">
        <v>29</v>
      </c>
      <c r="F1237" s="2">
        <v>111</v>
      </c>
      <c r="G1237" t="s">
        <v>12</v>
      </c>
      <c r="H1237" s="3">
        <v>33008.28</v>
      </c>
      <c r="I1237" s="3">
        <v>877717</v>
      </c>
      <c r="J1237" s="3">
        <v>702173.6</v>
      </c>
      <c r="K1237" s="3">
        <v>142535.12000000002</v>
      </c>
      <c r="L1237" t="s">
        <v>18</v>
      </c>
      <c r="M1237">
        <v>4.4000000000000004</v>
      </c>
    </row>
    <row r="1238" spans="1:13" x14ac:dyDescent="0.25">
      <c r="A1238">
        <v>1237</v>
      </c>
      <c r="B1238" s="1">
        <v>42813</v>
      </c>
      <c r="C1238" s="1">
        <v>43158</v>
      </c>
      <c r="D1238" t="s">
        <v>20</v>
      </c>
      <c r="E1238" t="s">
        <v>24</v>
      </c>
      <c r="F1238" s="2">
        <v>51</v>
      </c>
      <c r="G1238" t="s">
        <v>11</v>
      </c>
      <c r="H1238" s="3">
        <v>13943.6</v>
      </c>
      <c r="I1238" s="3">
        <v>412575</v>
      </c>
      <c r="J1238" s="3">
        <v>330060</v>
      </c>
      <c r="K1238" s="3">
        <v>68571.399999999994</v>
      </c>
      <c r="L1238" t="s">
        <v>16</v>
      </c>
      <c r="M1238">
        <v>4.5999999999999996</v>
      </c>
    </row>
    <row r="1239" spans="1:13" x14ac:dyDescent="0.25">
      <c r="A1239">
        <v>1238</v>
      </c>
      <c r="B1239" s="1">
        <v>42813</v>
      </c>
      <c r="C1239" s="1">
        <v>42944</v>
      </c>
      <c r="D1239" t="s">
        <v>23</v>
      </c>
      <c r="E1239" t="s">
        <v>28</v>
      </c>
      <c r="F1239" s="2">
        <v>188</v>
      </c>
      <c r="G1239" t="s">
        <v>12</v>
      </c>
      <c r="H1239" s="3">
        <v>31819.32</v>
      </c>
      <c r="I1239" s="3">
        <v>857093</v>
      </c>
      <c r="J1239" s="3">
        <v>685674.4</v>
      </c>
      <c r="K1239" s="3">
        <v>139599.27999999997</v>
      </c>
      <c r="L1239" t="s">
        <v>19</v>
      </c>
      <c r="M1239">
        <v>3.7</v>
      </c>
    </row>
    <row r="1240" spans="1:13" x14ac:dyDescent="0.25">
      <c r="A1240">
        <v>1239</v>
      </c>
      <c r="B1240" s="1">
        <v>42813</v>
      </c>
      <c r="C1240" s="1">
        <v>43013</v>
      </c>
      <c r="D1240" t="s">
        <v>20</v>
      </c>
      <c r="E1240" t="s">
        <v>29</v>
      </c>
      <c r="F1240" s="2">
        <v>142</v>
      </c>
      <c r="G1240" t="s">
        <v>12</v>
      </c>
      <c r="H1240" s="3">
        <v>32611.599999999999</v>
      </c>
      <c r="I1240" s="3">
        <v>876100</v>
      </c>
      <c r="J1240" s="3">
        <v>700880</v>
      </c>
      <c r="K1240" s="3">
        <v>142608.4</v>
      </c>
      <c r="L1240" t="s">
        <v>18</v>
      </c>
      <c r="M1240">
        <v>3.6</v>
      </c>
    </row>
    <row r="1241" spans="1:13" x14ac:dyDescent="0.25">
      <c r="A1241">
        <v>1240</v>
      </c>
      <c r="B1241" s="1">
        <v>42813</v>
      </c>
      <c r="C1241" s="1">
        <v>42906</v>
      </c>
      <c r="D1241" t="s">
        <v>23</v>
      </c>
      <c r="E1241" t="s">
        <v>28</v>
      </c>
      <c r="F1241" s="2">
        <v>280</v>
      </c>
      <c r="G1241" t="s">
        <v>12</v>
      </c>
      <c r="H1241" s="3">
        <v>101761.4</v>
      </c>
      <c r="I1241" s="3">
        <v>2598920</v>
      </c>
      <c r="J1241" s="3">
        <v>2079136</v>
      </c>
      <c r="K1241" s="3">
        <v>418022.6</v>
      </c>
      <c r="L1241" t="s">
        <v>14</v>
      </c>
      <c r="M1241">
        <v>4.3</v>
      </c>
    </row>
    <row r="1242" spans="1:13" x14ac:dyDescent="0.25">
      <c r="A1242">
        <v>1241</v>
      </c>
      <c r="B1242" s="1">
        <v>42813</v>
      </c>
      <c r="C1242" s="1">
        <v>43086</v>
      </c>
      <c r="D1242" t="s">
        <v>23</v>
      </c>
      <c r="E1242" t="s">
        <v>26</v>
      </c>
      <c r="F1242" s="2">
        <v>83</v>
      </c>
      <c r="G1242" t="s">
        <v>11</v>
      </c>
      <c r="H1242" s="3">
        <v>24372.32</v>
      </c>
      <c r="I1242" s="3">
        <v>667093</v>
      </c>
      <c r="J1242" s="3">
        <v>533674.4</v>
      </c>
      <c r="K1242" s="3">
        <v>109046.27999999997</v>
      </c>
      <c r="L1242" t="s">
        <v>16</v>
      </c>
      <c r="M1242">
        <v>4.2</v>
      </c>
    </row>
    <row r="1243" spans="1:13" x14ac:dyDescent="0.25">
      <c r="A1243">
        <v>1242</v>
      </c>
      <c r="B1243" s="1">
        <v>42814</v>
      </c>
      <c r="C1243" s="1">
        <v>43008</v>
      </c>
      <c r="D1243" t="s">
        <v>21</v>
      </c>
      <c r="E1243" t="s">
        <v>28</v>
      </c>
      <c r="F1243" s="2">
        <v>93</v>
      </c>
      <c r="G1243" t="s">
        <v>11</v>
      </c>
      <c r="H1243" s="3">
        <v>18230</v>
      </c>
      <c r="I1243" s="3">
        <v>520685</v>
      </c>
      <c r="J1243" s="3">
        <v>416548</v>
      </c>
      <c r="K1243" s="3">
        <v>85907</v>
      </c>
      <c r="L1243" t="s">
        <v>15</v>
      </c>
      <c r="M1243">
        <v>3.7</v>
      </c>
    </row>
    <row r="1244" spans="1:13" x14ac:dyDescent="0.25">
      <c r="A1244">
        <v>1243</v>
      </c>
      <c r="B1244" s="1">
        <v>42814</v>
      </c>
      <c r="C1244" s="1">
        <v>42968</v>
      </c>
      <c r="D1244" t="s">
        <v>22</v>
      </c>
      <c r="E1244" t="s">
        <v>26</v>
      </c>
      <c r="F1244" s="2">
        <v>46</v>
      </c>
      <c r="G1244" t="s">
        <v>11</v>
      </c>
      <c r="H1244" s="3">
        <v>9819.64</v>
      </c>
      <c r="I1244" s="3">
        <v>306001</v>
      </c>
      <c r="J1244" s="3">
        <v>244800.8</v>
      </c>
      <c r="K1244" s="3">
        <v>51380.560000000012</v>
      </c>
      <c r="L1244" t="s">
        <v>14</v>
      </c>
      <c r="M1244">
        <v>4.8</v>
      </c>
    </row>
    <row r="1245" spans="1:13" x14ac:dyDescent="0.25">
      <c r="A1245">
        <v>1244</v>
      </c>
      <c r="B1245" s="1">
        <v>42814</v>
      </c>
      <c r="C1245" s="1">
        <v>42947</v>
      </c>
      <c r="D1245" t="s">
        <v>23</v>
      </c>
      <c r="E1245" t="s">
        <v>27</v>
      </c>
      <c r="F1245" s="2">
        <v>270</v>
      </c>
      <c r="G1245" t="s">
        <v>12</v>
      </c>
      <c r="H1245" s="3">
        <v>44909.72</v>
      </c>
      <c r="I1245" s="3">
        <v>1189203</v>
      </c>
      <c r="J1245" s="3">
        <v>951362.4</v>
      </c>
      <c r="K1245" s="3">
        <v>192930.87999999998</v>
      </c>
      <c r="L1245" t="s">
        <v>15</v>
      </c>
      <c r="M1245">
        <v>4</v>
      </c>
    </row>
    <row r="1246" spans="1:13" x14ac:dyDescent="0.25">
      <c r="A1246">
        <v>1245</v>
      </c>
      <c r="B1246" s="1">
        <v>42814</v>
      </c>
      <c r="C1246" s="1">
        <v>43062</v>
      </c>
      <c r="D1246" t="s">
        <v>20</v>
      </c>
      <c r="E1246" t="s">
        <v>26</v>
      </c>
      <c r="F1246" s="2">
        <v>273</v>
      </c>
      <c r="G1246" t="s">
        <v>12</v>
      </c>
      <c r="H1246" s="3">
        <v>57944.12</v>
      </c>
      <c r="I1246" s="3">
        <v>1513913</v>
      </c>
      <c r="J1246" s="3">
        <v>1211130.3999999999</v>
      </c>
      <c r="K1246" s="3">
        <v>244838.4800000001</v>
      </c>
      <c r="L1246" t="s">
        <v>18</v>
      </c>
      <c r="M1246">
        <v>3.7</v>
      </c>
    </row>
    <row r="1247" spans="1:13" x14ac:dyDescent="0.25">
      <c r="A1247">
        <v>1246</v>
      </c>
      <c r="B1247" s="1">
        <v>42815</v>
      </c>
      <c r="C1247" s="1">
        <v>42978</v>
      </c>
      <c r="D1247" t="s">
        <v>21</v>
      </c>
      <c r="E1247" t="s">
        <v>26</v>
      </c>
      <c r="F1247" s="2">
        <v>64</v>
      </c>
      <c r="G1247" t="s">
        <v>11</v>
      </c>
      <c r="H1247" s="3">
        <v>13550.28</v>
      </c>
      <c r="I1247" s="3">
        <v>403617</v>
      </c>
      <c r="J1247" s="3">
        <v>322893.59999999998</v>
      </c>
      <c r="K1247" s="3">
        <v>67173.120000000024</v>
      </c>
      <c r="L1247" t="s">
        <v>16</v>
      </c>
      <c r="M1247">
        <v>4.0999999999999996</v>
      </c>
    </row>
    <row r="1248" spans="1:13" x14ac:dyDescent="0.25">
      <c r="A1248">
        <v>1247</v>
      </c>
      <c r="B1248" s="1">
        <v>42816</v>
      </c>
      <c r="C1248" s="1">
        <v>43078</v>
      </c>
      <c r="D1248" t="s">
        <v>22</v>
      </c>
      <c r="E1248" t="s">
        <v>26</v>
      </c>
      <c r="F1248" s="2">
        <v>263</v>
      </c>
      <c r="G1248" t="s">
        <v>12</v>
      </c>
      <c r="H1248" s="3">
        <v>61457.36</v>
      </c>
      <c r="I1248" s="3">
        <v>1594369</v>
      </c>
      <c r="J1248" s="3">
        <v>1275495.2</v>
      </c>
      <c r="K1248" s="3">
        <v>257416.44000000006</v>
      </c>
      <c r="L1248" t="s">
        <v>19</v>
      </c>
      <c r="M1248">
        <v>4.8</v>
      </c>
    </row>
    <row r="1249" spans="1:13" x14ac:dyDescent="0.25">
      <c r="A1249">
        <v>1248</v>
      </c>
      <c r="B1249" s="1">
        <v>42816</v>
      </c>
      <c r="C1249" s="1">
        <v>43102</v>
      </c>
      <c r="D1249" t="s">
        <v>23</v>
      </c>
      <c r="E1249" t="s">
        <v>28</v>
      </c>
      <c r="F1249" s="2">
        <v>179</v>
      </c>
      <c r="G1249" t="s">
        <v>12</v>
      </c>
      <c r="H1249" s="3">
        <v>33059.279999999999</v>
      </c>
      <c r="I1249" s="3">
        <v>887517</v>
      </c>
      <c r="J1249" s="3">
        <v>710013.6</v>
      </c>
      <c r="K1249" s="3">
        <v>144444.12000000002</v>
      </c>
      <c r="L1249" t="s">
        <v>14</v>
      </c>
      <c r="M1249">
        <v>4.5</v>
      </c>
    </row>
    <row r="1250" spans="1:13" x14ac:dyDescent="0.25">
      <c r="A1250">
        <v>1249</v>
      </c>
      <c r="B1250" s="1">
        <v>42816</v>
      </c>
      <c r="C1250" s="1">
        <v>42956</v>
      </c>
      <c r="D1250" t="s">
        <v>20</v>
      </c>
      <c r="E1250" t="s">
        <v>26</v>
      </c>
      <c r="F1250" s="2">
        <v>92</v>
      </c>
      <c r="G1250" t="s">
        <v>11</v>
      </c>
      <c r="H1250" s="3">
        <v>19089.919999999998</v>
      </c>
      <c r="I1250" s="3">
        <v>536633</v>
      </c>
      <c r="J1250" s="3">
        <v>429306.4</v>
      </c>
      <c r="K1250" s="3">
        <v>88236.679999999978</v>
      </c>
      <c r="L1250" t="s">
        <v>16</v>
      </c>
      <c r="M1250">
        <v>4.3</v>
      </c>
    </row>
    <row r="1251" spans="1:13" x14ac:dyDescent="0.25">
      <c r="A1251">
        <v>1250</v>
      </c>
      <c r="B1251" s="1">
        <v>42817</v>
      </c>
      <c r="C1251" s="1">
        <v>43131</v>
      </c>
      <c r="D1251" t="s">
        <v>23</v>
      </c>
      <c r="E1251" t="s">
        <v>24</v>
      </c>
      <c r="F1251" s="2">
        <v>156</v>
      </c>
      <c r="G1251" t="s">
        <v>12</v>
      </c>
      <c r="H1251" s="3">
        <v>53816.72</v>
      </c>
      <c r="I1251" s="3">
        <v>1399328</v>
      </c>
      <c r="J1251" s="3">
        <v>1119462.3999999999</v>
      </c>
      <c r="K1251" s="3">
        <v>226048.88000000009</v>
      </c>
      <c r="L1251" t="s">
        <v>19</v>
      </c>
      <c r="M1251">
        <v>4</v>
      </c>
    </row>
    <row r="1252" spans="1:13" x14ac:dyDescent="0.25">
      <c r="A1252">
        <v>1251</v>
      </c>
      <c r="B1252" s="1">
        <v>42817</v>
      </c>
      <c r="C1252" s="1">
        <v>42914</v>
      </c>
      <c r="D1252" t="s">
        <v>21</v>
      </c>
      <c r="E1252" t="s">
        <v>27</v>
      </c>
      <c r="F1252" s="2">
        <v>145</v>
      </c>
      <c r="G1252" t="s">
        <v>11</v>
      </c>
      <c r="H1252" s="3">
        <v>28201</v>
      </c>
      <c r="I1252" s="3">
        <v>766835</v>
      </c>
      <c r="J1252" s="3">
        <v>613468</v>
      </c>
      <c r="K1252" s="3">
        <v>125166</v>
      </c>
      <c r="L1252" t="s">
        <v>14</v>
      </c>
      <c r="M1252">
        <v>3.6</v>
      </c>
    </row>
    <row r="1253" spans="1:13" x14ac:dyDescent="0.25">
      <c r="A1253">
        <v>1252</v>
      </c>
      <c r="B1253" s="1">
        <v>42817</v>
      </c>
      <c r="C1253" s="1">
        <v>43041</v>
      </c>
      <c r="D1253" t="s">
        <v>21</v>
      </c>
      <c r="E1253" t="s">
        <v>28</v>
      </c>
      <c r="F1253" s="2">
        <v>122</v>
      </c>
      <c r="G1253" t="s">
        <v>12</v>
      </c>
      <c r="H1253" s="3">
        <v>33551.440000000002</v>
      </c>
      <c r="I1253" s="3">
        <v>904121</v>
      </c>
      <c r="J1253" s="3">
        <v>723296.8</v>
      </c>
      <c r="K1253" s="3">
        <v>147272.75999999995</v>
      </c>
      <c r="L1253" t="s">
        <v>19</v>
      </c>
      <c r="M1253">
        <v>4.4000000000000004</v>
      </c>
    </row>
    <row r="1254" spans="1:13" x14ac:dyDescent="0.25">
      <c r="A1254">
        <v>1253</v>
      </c>
      <c r="B1254" s="1">
        <v>42817</v>
      </c>
      <c r="C1254" s="1">
        <v>43126</v>
      </c>
      <c r="D1254" t="s">
        <v>20</v>
      </c>
      <c r="E1254" t="s">
        <v>26</v>
      </c>
      <c r="F1254" s="2">
        <v>65</v>
      </c>
      <c r="G1254" t="s">
        <v>11</v>
      </c>
      <c r="H1254" s="3">
        <v>17194</v>
      </c>
      <c r="I1254" s="3">
        <v>496210</v>
      </c>
      <c r="J1254" s="3">
        <v>396968</v>
      </c>
      <c r="K1254" s="3">
        <v>82048</v>
      </c>
      <c r="L1254" t="s">
        <v>16</v>
      </c>
      <c r="M1254">
        <v>3.8</v>
      </c>
    </row>
    <row r="1255" spans="1:13" x14ac:dyDescent="0.25">
      <c r="A1255">
        <v>1254</v>
      </c>
      <c r="B1255" s="1">
        <v>42818</v>
      </c>
      <c r="C1255" s="1">
        <v>43151</v>
      </c>
      <c r="D1255" t="s">
        <v>21</v>
      </c>
      <c r="E1255" t="s">
        <v>28</v>
      </c>
      <c r="F1255" s="2">
        <v>122</v>
      </c>
      <c r="G1255" t="s">
        <v>11</v>
      </c>
      <c r="H1255" s="3">
        <v>29115.360000000001</v>
      </c>
      <c r="I1255" s="3">
        <v>794294</v>
      </c>
      <c r="J1255" s="3">
        <v>635435.19999999995</v>
      </c>
      <c r="K1255" s="3">
        <v>129743.44000000005</v>
      </c>
      <c r="L1255" t="s">
        <v>19</v>
      </c>
      <c r="M1255">
        <v>3.9</v>
      </c>
    </row>
    <row r="1256" spans="1:13" x14ac:dyDescent="0.25">
      <c r="A1256">
        <v>1255</v>
      </c>
      <c r="B1256" s="1">
        <v>42818</v>
      </c>
      <c r="C1256" s="1">
        <v>43024</v>
      </c>
      <c r="D1256" t="s">
        <v>20</v>
      </c>
      <c r="E1256" t="s">
        <v>29</v>
      </c>
      <c r="F1256" s="2">
        <v>33</v>
      </c>
      <c r="G1256" t="s">
        <v>11</v>
      </c>
      <c r="H1256" s="3">
        <v>13269.4</v>
      </c>
      <c r="I1256" s="3">
        <v>390845</v>
      </c>
      <c r="J1256" s="3">
        <v>312676</v>
      </c>
      <c r="K1256" s="3">
        <v>64899.6</v>
      </c>
      <c r="L1256" t="s">
        <v>14</v>
      </c>
      <c r="M1256">
        <v>5</v>
      </c>
    </row>
    <row r="1257" spans="1:13" x14ac:dyDescent="0.25">
      <c r="A1257">
        <v>1256</v>
      </c>
      <c r="B1257" s="1">
        <v>42818</v>
      </c>
      <c r="C1257" s="1">
        <v>43017</v>
      </c>
      <c r="D1257" t="s">
        <v>21</v>
      </c>
      <c r="E1257" t="s">
        <v>24</v>
      </c>
      <c r="F1257" s="2">
        <v>162</v>
      </c>
      <c r="G1257" t="s">
        <v>12</v>
      </c>
      <c r="H1257" s="3">
        <v>64087.68</v>
      </c>
      <c r="I1257" s="3">
        <v>1656677</v>
      </c>
      <c r="J1257" s="3">
        <v>1325341.6000000001</v>
      </c>
      <c r="K1257" s="3">
        <v>267247.71999999991</v>
      </c>
      <c r="L1257" t="s">
        <v>18</v>
      </c>
      <c r="M1257">
        <v>4.9000000000000004</v>
      </c>
    </row>
    <row r="1258" spans="1:13" x14ac:dyDescent="0.25">
      <c r="A1258">
        <v>1257</v>
      </c>
      <c r="B1258" s="1">
        <v>42819</v>
      </c>
      <c r="C1258" s="1">
        <v>43158</v>
      </c>
      <c r="D1258" t="s">
        <v>22</v>
      </c>
      <c r="E1258" t="s">
        <v>13</v>
      </c>
      <c r="F1258" s="2">
        <v>112</v>
      </c>
      <c r="G1258" t="s">
        <v>12</v>
      </c>
      <c r="H1258" s="3">
        <v>45180</v>
      </c>
      <c r="I1258" s="3">
        <v>1186010</v>
      </c>
      <c r="J1258" s="3">
        <v>948808</v>
      </c>
      <c r="K1258" s="3">
        <v>192022</v>
      </c>
      <c r="L1258" t="s">
        <v>15</v>
      </c>
      <c r="M1258">
        <v>3.6</v>
      </c>
    </row>
    <row r="1259" spans="1:13" x14ac:dyDescent="0.25">
      <c r="A1259">
        <v>1258</v>
      </c>
      <c r="B1259" s="1">
        <v>42819</v>
      </c>
      <c r="C1259" s="1">
        <v>42969</v>
      </c>
      <c r="D1259" t="s">
        <v>21</v>
      </c>
      <c r="E1259" t="s">
        <v>24</v>
      </c>
      <c r="F1259" s="2">
        <v>235</v>
      </c>
      <c r="G1259" t="s">
        <v>12</v>
      </c>
      <c r="H1259" s="3">
        <v>48815.48</v>
      </c>
      <c r="I1259" s="3">
        <v>1285347</v>
      </c>
      <c r="J1259" s="3">
        <v>1028277.6</v>
      </c>
      <c r="K1259" s="3">
        <v>208253.92</v>
      </c>
      <c r="L1259" t="s">
        <v>17</v>
      </c>
      <c r="M1259">
        <v>4.9000000000000004</v>
      </c>
    </row>
    <row r="1260" spans="1:13" x14ac:dyDescent="0.25">
      <c r="A1260">
        <v>1259</v>
      </c>
      <c r="B1260" s="1">
        <v>42819</v>
      </c>
      <c r="C1260" s="1">
        <v>43042</v>
      </c>
      <c r="D1260" t="s">
        <v>22</v>
      </c>
      <c r="E1260" t="s">
        <v>29</v>
      </c>
      <c r="F1260" s="2">
        <v>173</v>
      </c>
      <c r="G1260" t="s">
        <v>12</v>
      </c>
      <c r="H1260" s="3">
        <v>58682.400000000001</v>
      </c>
      <c r="I1260" s="3">
        <v>1531745</v>
      </c>
      <c r="J1260" s="3">
        <v>1225396</v>
      </c>
      <c r="K1260" s="3">
        <v>247666.6</v>
      </c>
      <c r="L1260" t="s">
        <v>19</v>
      </c>
      <c r="M1260">
        <v>4.5999999999999996</v>
      </c>
    </row>
    <row r="1261" spans="1:13" x14ac:dyDescent="0.25">
      <c r="A1261">
        <v>1260</v>
      </c>
      <c r="B1261" s="1">
        <v>42820</v>
      </c>
      <c r="C1261" s="1">
        <v>42940</v>
      </c>
      <c r="D1261" t="s">
        <v>23</v>
      </c>
      <c r="E1261" t="s">
        <v>24</v>
      </c>
      <c r="F1261" s="2">
        <v>87</v>
      </c>
      <c r="G1261" t="s">
        <v>11</v>
      </c>
      <c r="H1261" s="3">
        <v>18623.96</v>
      </c>
      <c r="I1261" s="3">
        <v>522334</v>
      </c>
      <c r="J1261" s="3">
        <v>417867.2</v>
      </c>
      <c r="K1261" s="3">
        <v>85842.84</v>
      </c>
      <c r="L1261" t="s">
        <v>15</v>
      </c>
      <c r="M1261">
        <v>4.7</v>
      </c>
    </row>
    <row r="1262" spans="1:13" x14ac:dyDescent="0.25">
      <c r="A1262">
        <v>1261</v>
      </c>
      <c r="B1262" s="1">
        <v>42820</v>
      </c>
      <c r="C1262" s="1">
        <v>43139</v>
      </c>
      <c r="D1262" t="s">
        <v>22</v>
      </c>
      <c r="E1262" t="s">
        <v>25</v>
      </c>
      <c r="F1262" s="2">
        <v>180</v>
      </c>
      <c r="G1262" t="s">
        <v>12</v>
      </c>
      <c r="H1262" s="3">
        <v>46749.2</v>
      </c>
      <c r="I1262" s="3">
        <v>1231415</v>
      </c>
      <c r="J1262" s="3">
        <v>985132</v>
      </c>
      <c r="K1262" s="3">
        <v>199533.8</v>
      </c>
      <c r="L1262" t="s">
        <v>17</v>
      </c>
      <c r="M1262">
        <v>3.8</v>
      </c>
    </row>
    <row r="1263" spans="1:13" x14ac:dyDescent="0.25">
      <c r="A1263">
        <v>1262</v>
      </c>
      <c r="B1263" s="1">
        <v>42820</v>
      </c>
      <c r="C1263" s="1">
        <v>42974</v>
      </c>
      <c r="D1263" t="s">
        <v>22</v>
      </c>
      <c r="E1263" t="s">
        <v>26</v>
      </c>
      <c r="F1263" s="2">
        <v>63</v>
      </c>
      <c r="G1263" t="s">
        <v>11</v>
      </c>
      <c r="H1263" s="3">
        <v>19995.84</v>
      </c>
      <c r="I1263" s="3">
        <v>561581</v>
      </c>
      <c r="J1263" s="3">
        <v>449264.8</v>
      </c>
      <c r="K1263" s="3">
        <v>92320.360000000015</v>
      </c>
      <c r="L1263" t="s">
        <v>16</v>
      </c>
      <c r="M1263">
        <v>4.4000000000000004</v>
      </c>
    </row>
    <row r="1264" spans="1:13" x14ac:dyDescent="0.25">
      <c r="A1264">
        <v>1263</v>
      </c>
      <c r="B1264" s="1">
        <v>42821</v>
      </c>
      <c r="C1264" s="1">
        <v>43185</v>
      </c>
      <c r="D1264" t="s">
        <v>23</v>
      </c>
      <c r="E1264" t="s">
        <v>28</v>
      </c>
      <c r="F1264" s="2">
        <v>192</v>
      </c>
      <c r="G1264" t="s">
        <v>12</v>
      </c>
      <c r="H1264" s="3">
        <v>33036.559999999998</v>
      </c>
      <c r="I1264" s="3">
        <v>885949</v>
      </c>
      <c r="J1264" s="3">
        <v>708759.2</v>
      </c>
      <c r="K1264" s="3">
        <v>144153.24000000005</v>
      </c>
      <c r="L1264" t="s">
        <v>17</v>
      </c>
      <c r="M1264">
        <v>3.9</v>
      </c>
    </row>
    <row r="1265" spans="1:13" x14ac:dyDescent="0.25">
      <c r="A1265">
        <v>1264</v>
      </c>
      <c r="B1265" s="1">
        <v>42822</v>
      </c>
      <c r="C1265" s="1">
        <v>43012</v>
      </c>
      <c r="D1265" t="s">
        <v>20</v>
      </c>
      <c r="E1265" t="s">
        <v>25</v>
      </c>
      <c r="F1265" s="2">
        <v>180</v>
      </c>
      <c r="G1265" t="s">
        <v>12</v>
      </c>
      <c r="H1265" s="3">
        <v>73015.960000000006</v>
      </c>
      <c r="I1265" s="3">
        <v>1879559</v>
      </c>
      <c r="J1265" s="3">
        <v>1503647.2</v>
      </c>
      <c r="K1265" s="3">
        <v>302895.84000000003</v>
      </c>
      <c r="L1265" t="s">
        <v>15</v>
      </c>
      <c r="M1265">
        <v>4.5</v>
      </c>
    </row>
    <row r="1266" spans="1:13" x14ac:dyDescent="0.25">
      <c r="A1266">
        <v>1265</v>
      </c>
      <c r="B1266" s="1">
        <v>42822</v>
      </c>
      <c r="C1266" s="1">
        <v>42928</v>
      </c>
      <c r="D1266" t="s">
        <v>20</v>
      </c>
      <c r="E1266" t="s">
        <v>29</v>
      </c>
      <c r="F1266" s="2">
        <v>63</v>
      </c>
      <c r="G1266" t="s">
        <v>11</v>
      </c>
      <c r="H1266" s="3">
        <v>24273.84</v>
      </c>
      <c r="I1266" s="3">
        <v>663806</v>
      </c>
      <c r="J1266" s="3">
        <v>531044.80000000005</v>
      </c>
      <c r="K1266" s="3">
        <v>108487.35999999996</v>
      </c>
      <c r="L1266" t="s">
        <v>16</v>
      </c>
      <c r="M1266">
        <v>4</v>
      </c>
    </row>
    <row r="1267" spans="1:13" x14ac:dyDescent="0.25">
      <c r="A1267">
        <v>1266</v>
      </c>
      <c r="B1267" s="1">
        <v>42822</v>
      </c>
      <c r="C1267" s="1">
        <v>42940</v>
      </c>
      <c r="D1267" t="s">
        <v>21</v>
      </c>
      <c r="E1267" t="s">
        <v>24</v>
      </c>
      <c r="F1267" s="2">
        <v>52</v>
      </c>
      <c r="G1267" t="s">
        <v>11</v>
      </c>
      <c r="H1267" s="3">
        <v>13528.44</v>
      </c>
      <c r="I1267" s="3">
        <v>399746</v>
      </c>
      <c r="J1267" s="3">
        <v>319796.8</v>
      </c>
      <c r="K1267" s="3">
        <v>66420.760000000009</v>
      </c>
      <c r="L1267" t="s">
        <v>16</v>
      </c>
      <c r="M1267">
        <v>4.3</v>
      </c>
    </row>
    <row r="1268" spans="1:13" x14ac:dyDescent="0.25">
      <c r="A1268">
        <v>1267</v>
      </c>
      <c r="B1268" s="1">
        <v>42823</v>
      </c>
      <c r="C1268" s="1">
        <v>43145</v>
      </c>
      <c r="D1268" t="s">
        <v>21</v>
      </c>
      <c r="E1268" t="s">
        <v>25</v>
      </c>
      <c r="F1268" s="2">
        <v>33</v>
      </c>
      <c r="G1268" t="s">
        <v>11</v>
      </c>
      <c r="H1268" s="3">
        <v>12909.8</v>
      </c>
      <c r="I1268" s="3">
        <v>386205</v>
      </c>
      <c r="J1268" s="3">
        <v>308964</v>
      </c>
      <c r="K1268" s="3">
        <v>64331.199999999997</v>
      </c>
      <c r="L1268" t="s">
        <v>19</v>
      </c>
      <c r="M1268">
        <v>4.5</v>
      </c>
    </row>
    <row r="1269" spans="1:13" x14ac:dyDescent="0.25">
      <c r="A1269">
        <v>1268</v>
      </c>
      <c r="B1269" s="1">
        <v>42824</v>
      </c>
      <c r="C1269" s="1">
        <v>43189</v>
      </c>
      <c r="D1269" t="s">
        <v>21</v>
      </c>
      <c r="E1269" t="s">
        <v>24</v>
      </c>
      <c r="F1269" s="2">
        <v>163</v>
      </c>
      <c r="G1269" t="s">
        <v>12</v>
      </c>
      <c r="H1269" s="3">
        <v>46891.76</v>
      </c>
      <c r="I1269" s="3">
        <v>1227529</v>
      </c>
      <c r="J1269" s="3">
        <v>982023.2</v>
      </c>
      <c r="K1269" s="3">
        <v>198614.04000000004</v>
      </c>
      <c r="L1269" t="s">
        <v>16</v>
      </c>
      <c r="M1269">
        <v>4.5999999999999996</v>
      </c>
    </row>
    <row r="1270" spans="1:13" x14ac:dyDescent="0.25">
      <c r="A1270">
        <v>1269</v>
      </c>
      <c r="B1270" s="1">
        <v>42824</v>
      </c>
      <c r="C1270" s="1">
        <v>43142</v>
      </c>
      <c r="D1270" t="s">
        <v>23</v>
      </c>
      <c r="E1270" t="s">
        <v>13</v>
      </c>
      <c r="F1270" s="2">
        <v>134</v>
      </c>
      <c r="G1270" t="s">
        <v>12</v>
      </c>
      <c r="H1270" s="3">
        <v>51211.519999999997</v>
      </c>
      <c r="I1270" s="3">
        <v>1344173</v>
      </c>
      <c r="J1270" s="3">
        <v>1075338.3999999999</v>
      </c>
      <c r="K1270" s="3">
        <v>217623.0800000001</v>
      </c>
      <c r="L1270" t="s">
        <v>18</v>
      </c>
      <c r="M1270">
        <v>3.6</v>
      </c>
    </row>
    <row r="1271" spans="1:13" x14ac:dyDescent="0.25">
      <c r="A1271">
        <v>1270</v>
      </c>
      <c r="B1271" s="1">
        <v>42824</v>
      </c>
      <c r="C1271" s="1">
        <v>43111</v>
      </c>
      <c r="D1271" t="s">
        <v>21</v>
      </c>
      <c r="E1271" t="s">
        <v>28</v>
      </c>
      <c r="F1271" s="2">
        <v>84</v>
      </c>
      <c r="G1271" t="s">
        <v>11</v>
      </c>
      <c r="H1271" s="3">
        <v>20348.36</v>
      </c>
      <c r="I1271" s="3">
        <v>568269</v>
      </c>
      <c r="J1271" s="3">
        <v>454615.2</v>
      </c>
      <c r="K1271" s="3">
        <v>93305.439999999988</v>
      </c>
      <c r="L1271" t="s">
        <v>16</v>
      </c>
      <c r="M1271">
        <v>5</v>
      </c>
    </row>
    <row r="1272" spans="1:13" x14ac:dyDescent="0.25">
      <c r="A1272">
        <v>1271</v>
      </c>
      <c r="B1272" s="1">
        <v>42824</v>
      </c>
      <c r="C1272" s="1">
        <v>42928</v>
      </c>
      <c r="D1272" t="s">
        <v>22</v>
      </c>
      <c r="E1272" t="s">
        <v>29</v>
      </c>
      <c r="F1272" s="2">
        <v>192</v>
      </c>
      <c r="G1272" t="s">
        <v>12</v>
      </c>
      <c r="H1272" s="3">
        <v>68467.039999999994</v>
      </c>
      <c r="I1272" s="3">
        <v>1767361</v>
      </c>
      <c r="J1272" s="3">
        <v>1413888.8</v>
      </c>
      <c r="K1272" s="3">
        <v>285005.15999999997</v>
      </c>
      <c r="L1272" t="s">
        <v>19</v>
      </c>
      <c r="M1272">
        <v>4.4000000000000004</v>
      </c>
    </row>
    <row r="1273" spans="1:13" x14ac:dyDescent="0.25">
      <c r="A1273">
        <v>1272</v>
      </c>
      <c r="B1273" s="1">
        <v>42824</v>
      </c>
      <c r="C1273" s="1">
        <v>43031</v>
      </c>
      <c r="D1273" t="s">
        <v>22</v>
      </c>
      <c r="E1273" t="s">
        <v>25</v>
      </c>
      <c r="F1273" s="2">
        <v>211</v>
      </c>
      <c r="G1273" t="s">
        <v>12</v>
      </c>
      <c r="H1273" s="3">
        <v>58840.36</v>
      </c>
      <c r="I1273" s="3">
        <v>1537469</v>
      </c>
      <c r="J1273" s="3">
        <v>1229975.2</v>
      </c>
      <c r="K1273" s="3">
        <v>248653.44000000006</v>
      </c>
      <c r="L1273" t="s">
        <v>16</v>
      </c>
      <c r="M1273">
        <v>3.7</v>
      </c>
    </row>
    <row r="1274" spans="1:13" x14ac:dyDescent="0.25">
      <c r="A1274">
        <v>1273</v>
      </c>
      <c r="B1274" s="1">
        <v>42825</v>
      </c>
      <c r="C1274" s="1">
        <v>43043</v>
      </c>
      <c r="D1274" t="s">
        <v>22</v>
      </c>
      <c r="E1274" t="s">
        <v>24</v>
      </c>
      <c r="F1274" s="2">
        <v>278</v>
      </c>
      <c r="G1274" t="s">
        <v>12</v>
      </c>
      <c r="H1274" s="3">
        <v>62885.32</v>
      </c>
      <c r="I1274" s="3">
        <v>1635718</v>
      </c>
      <c r="J1274" s="3">
        <v>1308574.3999999999</v>
      </c>
      <c r="K1274" s="3">
        <v>264258.28000000009</v>
      </c>
      <c r="L1274" t="s">
        <v>15</v>
      </c>
      <c r="M1274">
        <v>3.7</v>
      </c>
    </row>
    <row r="1275" spans="1:13" x14ac:dyDescent="0.25">
      <c r="A1275">
        <v>1274</v>
      </c>
      <c r="B1275" s="1">
        <v>42825</v>
      </c>
      <c r="C1275" s="1">
        <v>42925</v>
      </c>
      <c r="D1275" t="s">
        <v>20</v>
      </c>
      <c r="E1275" t="s">
        <v>24</v>
      </c>
      <c r="F1275" s="2">
        <v>185</v>
      </c>
      <c r="G1275" t="s">
        <v>12</v>
      </c>
      <c r="H1275" s="3">
        <v>72227.839999999997</v>
      </c>
      <c r="I1275" s="3">
        <v>1858256</v>
      </c>
      <c r="J1275" s="3">
        <v>1486604.8</v>
      </c>
      <c r="K1275" s="3">
        <v>299423.35999999999</v>
      </c>
      <c r="L1275" t="s">
        <v>15</v>
      </c>
      <c r="M1275">
        <v>4.9000000000000004</v>
      </c>
    </row>
    <row r="1276" spans="1:13" x14ac:dyDescent="0.25">
      <c r="A1276">
        <v>1275</v>
      </c>
      <c r="B1276" s="1">
        <v>42826</v>
      </c>
      <c r="C1276" s="1">
        <v>43072</v>
      </c>
      <c r="D1276" t="s">
        <v>20</v>
      </c>
      <c r="E1276" t="s">
        <v>28</v>
      </c>
      <c r="F1276" s="2">
        <v>273</v>
      </c>
      <c r="G1276" t="s">
        <v>12</v>
      </c>
      <c r="H1276" s="3">
        <v>69541.2</v>
      </c>
      <c r="I1276" s="3">
        <v>1790665</v>
      </c>
      <c r="J1276" s="3">
        <v>1432532</v>
      </c>
      <c r="K1276" s="3">
        <v>288591.8</v>
      </c>
      <c r="L1276" t="s">
        <v>19</v>
      </c>
      <c r="M1276">
        <v>4.5999999999999996</v>
      </c>
    </row>
    <row r="1277" spans="1:13" x14ac:dyDescent="0.25">
      <c r="A1277">
        <v>1276</v>
      </c>
      <c r="B1277" s="1">
        <v>42827</v>
      </c>
      <c r="C1277" s="1">
        <v>43073</v>
      </c>
      <c r="D1277" t="s">
        <v>20</v>
      </c>
      <c r="E1277" t="s">
        <v>26</v>
      </c>
      <c r="F1277" s="2">
        <v>217</v>
      </c>
      <c r="G1277" t="s">
        <v>12</v>
      </c>
      <c r="H1277" s="3">
        <v>63925.8</v>
      </c>
      <c r="I1277" s="3">
        <v>1653755</v>
      </c>
      <c r="J1277" s="3">
        <v>1323004</v>
      </c>
      <c r="K1277" s="3">
        <v>266825.2</v>
      </c>
      <c r="L1277" t="s">
        <v>19</v>
      </c>
      <c r="M1277">
        <v>4.2</v>
      </c>
    </row>
    <row r="1278" spans="1:13" x14ac:dyDescent="0.25">
      <c r="A1278">
        <v>1277</v>
      </c>
      <c r="B1278" s="1">
        <v>42827</v>
      </c>
      <c r="C1278" s="1">
        <v>43129</v>
      </c>
      <c r="D1278" t="s">
        <v>20</v>
      </c>
      <c r="E1278" t="s">
        <v>27</v>
      </c>
      <c r="F1278" s="2">
        <v>280</v>
      </c>
      <c r="G1278" t="s">
        <v>12</v>
      </c>
      <c r="H1278" s="3">
        <v>88533.6</v>
      </c>
      <c r="I1278" s="3">
        <v>2269175</v>
      </c>
      <c r="J1278" s="3">
        <v>1815340</v>
      </c>
      <c r="K1278" s="3">
        <v>365301.4</v>
      </c>
      <c r="L1278" t="s">
        <v>18</v>
      </c>
      <c r="M1278">
        <v>4.8</v>
      </c>
    </row>
    <row r="1279" spans="1:13" x14ac:dyDescent="0.25">
      <c r="A1279">
        <v>1278</v>
      </c>
      <c r="B1279" s="1">
        <v>42827</v>
      </c>
      <c r="C1279" s="1">
        <v>43056</v>
      </c>
      <c r="D1279" t="s">
        <v>20</v>
      </c>
      <c r="E1279" t="s">
        <v>27</v>
      </c>
      <c r="F1279" s="2">
        <v>126</v>
      </c>
      <c r="G1279" t="s">
        <v>12</v>
      </c>
      <c r="H1279" s="3">
        <v>40977.120000000003</v>
      </c>
      <c r="I1279" s="3">
        <v>1076513</v>
      </c>
      <c r="J1279" s="3">
        <v>861210.4</v>
      </c>
      <c r="K1279" s="3">
        <v>174325.47999999998</v>
      </c>
      <c r="L1279" t="s">
        <v>18</v>
      </c>
      <c r="M1279">
        <v>3.7</v>
      </c>
    </row>
    <row r="1280" spans="1:13" x14ac:dyDescent="0.25">
      <c r="A1280">
        <v>1279</v>
      </c>
      <c r="B1280" s="1">
        <v>42827</v>
      </c>
      <c r="C1280" s="1">
        <v>42940</v>
      </c>
      <c r="D1280" t="s">
        <v>20</v>
      </c>
      <c r="E1280" t="s">
        <v>29</v>
      </c>
      <c r="F1280" s="2">
        <v>117</v>
      </c>
      <c r="G1280" t="s">
        <v>12</v>
      </c>
      <c r="H1280" s="3">
        <v>31089.360000000001</v>
      </c>
      <c r="I1280" s="3">
        <v>841369</v>
      </c>
      <c r="J1280" s="3">
        <v>673095.2</v>
      </c>
      <c r="K1280" s="3">
        <v>137184.44000000006</v>
      </c>
      <c r="L1280" t="s">
        <v>14</v>
      </c>
      <c r="M1280">
        <v>4.0999999999999996</v>
      </c>
    </row>
    <row r="1281" spans="1:13" x14ac:dyDescent="0.25">
      <c r="A1281">
        <v>1280</v>
      </c>
      <c r="B1281" s="1">
        <v>42828</v>
      </c>
      <c r="C1281" s="1">
        <v>43004</v>
      </c>
      <c r="D1281" t="s">
        <v>23</v>
      </c>
      <c r="E1281" t="s">
        <v>13</v>
      </c>
      <c r="F1281" s="2">
        <v>281</v>
      </c>
      <c r="G1281" t="s">
        <v>12</v>
      </c>
      <c r="H1281" s="3">
        <v>76491</v>
      </c>
      <c r="I1281" s="3">
        <v>1974485</v>
      </c>
      <c r="J1281" s="3">
        <v>1579588</v>
      </c>
      <c r="K1281" s="3">
        <v>318406</v>
      </c>
      <c r="L1281" t="s">
        <v>16</v>
      </c>
      <c r="M1281">
        <v>3.8</v>
      </c>
    </row>
    <row r="1282" spans="1:13" x14ac:dyDescent="0.25">
      <c r="A1282">
        <v>1281</v>
      </c>
      <c r="B1282" s="1">
        <v>42829</v>
      </c>
      <c r="C1282" s="1">
        <v>43106</v>
      </c>
      <c r="D1282" t="s">
        <v>20</v>
      </c>
      <c r="E1282" t="s">
        <v>29</v>
      </c>
      <c r="F1282" s="2">
        <v>171</v>
      </c>
      <c r="G1282" t="s">
        <v>12</v>
      </c>
      <c r="H1282" s="3">
        <v>39143.32</v>
      </c>
      <c r="I1282" s="3">
        <v>1041093</v>
      </c>
      <c r="J1282" s="3">
        <v>832874.4</v>
      </c>
      <c r="K1282" s="3">
        <v>169075.27999999997</v>
      </c>
      <c r="L1282" t="s">
        <v>17</v>
      </c>
      <c r="M1282">
        <v>4.4000000000000004</v>
      </c>
    </row>
    <row r="1283" spans="1:13" x14ac:dyDescent="0.25">
      <c r="A1283">
        <v>1282</v>
      </c>
      <c r="B1283" s="1">
        <v>42829</v>
      </c>
      <c r="C1283" s="1">
        <v>42933</v>
      </c>
      <c r="D1283" t="s">
        <v>21</v>
      </c>
      <c r="E1283" t="s">
        <v>28</v>
      </c>
      <c r="F1283" s="2">
        <v>97</v>
      </c>
      <c r="G1283" t="s">
        <v>11</v>
      </c>
      <c r="H1283" s="3">
        <v>19810.560000000001</v>
      </c>
      <c r="I1283" s="3">
        <v>557399</v>
      </c>
      <c r="J1283" s="3">
        <v>445919.2</v>
      </c>
      <c r="K1283" s="3">
        <v>91669.239999999991</v>
      </c>
      <c r="L1283" t="s">
        <v>17</v>
      </c>
      <c r="M1283">
        <v>5</v>
      </c>
    </row>
    <row r="1284" spans="1:13" x14ac:dyDescent="0.25">
      <c r="A1284">
        <v>1283</v>
      </c>
      <c r="B1284" s="1">
        <v>42829</v>
      </c>
      <c r="C1284" s="1">
        <v>43039</v>
      </c>
      <c r="D1284" t="s">
        <v>20</v>
      </c>
      <c r="E1284" t="s">
        <v>27</v>
      </c>
      <c r="F1284" s="2">
        <v>176</v>
      </c>
      <c r="G1284" t="s">
        <v>12</v>
      </c>
      <c r="H1284" s="3">
        <v>31331.4</v>
      </c>
      <c r="I1284" s="3">
        <v>849145</v>
      </c>
      <c r="J1284" s="3">
        <v>679316</v>
      </c>
      <c r="K1284" s="3">
        <v>138497.60000000001</v>
      </c>
      <c r="L1284" t="s">
        <v>17</v>
      </c>
      <c r="M1284">
        <v>4.9000000000000004</v>
      </c>
    </row>
    <row r="1285" spans="1:13" x14ac:dyDescent="0.25">
      <c r="A1285">
        <v>1284</v>
      </c>
      <c r="B1285" s="1">
        <v>42830</v>
      </c>
      <c r="C1285" s="1">
        <v>42973</v>
      </c>
      <c r="D1285" t="s">
        <v>21</v>
      </c>
      <c r="E1285" t="s">
        <v>13</v>
      </c>
      <c r="F1285" s="2">
        <v>72</v>
      </c>
      <c r="G1285" t="s">
        <v>11</v>
      </c>
      <c r="H1285" s="3">
        <v>15000</v>
      </c>
      <c r="I1285" s="3">
        <v>437360</v>
      </c>
      <c r="J1285" s="3">
        <v>349888</v>
      </c>
      <c r="K1285" s="3">
        <v>72472</v>
      </c>
      <c r="L1285" t="s">
        <v>16</v>
      </c>
      <c r="M1285">
        <v>4</v>
      </c>
    </row>
    <row r="1286" spans="1:13" x14ac:dyDescent="0.25">
      <c r="A1286">
        <v>1285</v>
      </c>
      <c r="B1286" s="1">
        <v>42830</v>
      </c>
      <c r="C1286" s="1">
        <v>42973</v>
      </c>
      <c r="D1286" t="s">
        <v>21</v>
      </c>
      <c r="E1286" t="s">
        <v>25</v>
      </c>
      <c r="F1286" s="2">
        <v>65</v>
      </c>
      <c r="G1286" t="s">
        <v>11</v>
      </c>
      <c r="H1286" s="3">
        <v>26411.759999999998</v>
      </c>
      <c r="I1286" s="3">
        <v>718829</v>
      </c>
      <c r="J1286" s="3">
        <v>575063.19999999995</v>
      </c>
      <c r="K1286" s="3">
        <v>117354.04000000005</v>
      </c>
      <c r="L1286" t="s">
        <v>15</v>
      </c>
      <c r="M1286">
        <v>3.7</v>
      </c>
    </row>
    <row r="1287" spans="1:13" x14ac:dyDescent="0.25">
      <c r="A1287">
        <v>1286</v>
      </c>
      <c r="B1287" s="1">
        <v>42830</v>
      </c>
      <c r="C1287" s="1">
        <v>42994</v>
      </c>
      <c r="D1287" t="s">
        <v>20</v>
      </c>
      <c r="E1287" t="s">
        <v>24</v>
      </c>
      <c r="F1287" s="2">
        <v>291</v>
      </c>
      <c r="G1287" t="s">
        <v>12</v>
      </c>
      <c r="H1287" s="3">
        <v>114033.48</v>
      </c>
      <c r="I1287" s="3">
        <v>2908772</v>
      </c>
      <c r="J1287" s="3">
        <v>2327017.6</v>
      </c>
      <c r="K1287" s="3">
        <v>467720.91999999993</v>
      </c>
      <c r="L1287" t="s">
        <v>19</v>
      </c>
      <c r="M1287">
        <v>4.5</v>
      </c>
    </row>
    <row r="1288" spans="1:13" x14ac:dyDescent="0.25">
      <c r="A1288">
        <v>1287</v>
      </c>
      <c r="B1288" s="1">
        <v>42830</v>
      </c>
      <c r="C1288" s="1">
        <v>42999</v>
      </c>
      <c r="D1288" t="s">
        <v>21</v>
      </c>
      <c r="E1288" t="s">
        <v>25</v>
      </c>
      <c r="F1288" s="2">
        <v>190</v>
      </c>
      <c r="G1288" t="s">
        <v>12</v>
      </c>
      <c r="H1288" s="3">
        <v>63412.36</v>
      </c>
      <c r="I1288" s="3">
        <v>1648819</v>
      </c>
      <c r="J1288" s="3">
        <v>1319055.2</v>
      </c>
      <c r="K1288" s="3">
        <v>266351.44000000006</v>
      </c>
      <c r="L1288" t="s">
        <v>17</v>
      </c>
      <c r="M1288">
        <v>3.8</v>
      </c>
    </row>
    <row r="1289" spans="1:13" x14ac:dyDescent="0.25">
      <c r="A1289">
        <v>1288</v>
      </c>
      <c r="B1289" s="1">
        <v>42830</v>
      </c>
      <c r="C1289" s="1">
        <v>43106</v>
      </c>
      <c r="D1289" t="s">
        <v>20</v>
      </c>
      <c r="E1289" t="s">
        <v>13</v>
      </c>
      <c r="F1289" s="2">
        <v>240</v>
      </c>
      <c r="G1289" t="s">
        <v>12</v>
      </c>
      <c r="H1289" s="3">
        <v>95576.92</v>
      </c>
      <c r="I1289" s="3">
        <v>2450133</v>
      </c>
      <c r="J1289" s="3">
        <v>1960106.4</v>
      </c>
      <c r="K1289" s="3">
        <v>394449.68000000011</v>
      </c>
      <c r="L1289" t="s">
        <v>18</v>
      </c>
      <c r="M1289">
        <v>4.9000000000000004</v>
      </c>
    </row>
    <row r="1290" spans="1:13" x14ac:dyDescent="0.25">
      <c r="A1290">
        <v>1289</v>
      </c>
      <c r="B1290" s="1">
        <v>42830</v>
      </c>
      <c r="C1290" s="1">
        <v>43046</v>
      </c>
      <c r="D1290" t="s">
        <v>22</v>
      </c>
      <c r="E1290" t="s">
        <v>29</v>
      </c>
      <c r="F1290" s="2">
        <v>253</v>
      </c>
      <c r="G1290" t="s">
        <v>12</v>
      </c>
      <c r="H1290" s="3">
        <v>73563.28</v>
      </c>
      <c r="I1290" s="3">
        <v>1894292</v>
      </c>
      <c r="J1290" s="3">
        <v>1515433.6</v>
      </c>
      <c r="K1290" s="3">
        <v>305295.11999999988</v>
      </c>
      <c r="L1290" t="s">
        <v>19</v>
      </c>
      <c r="M1290">
        <v>3.7</v>
      </c>
    </row>
    <row r="1291" spans="1:13" x14ac:dyDescent="0.25">
      <c r="A1291">
        <v>1290</v>
      </c>
      <c r="B1291" s="1">
        <v>42830</v>
      </c>
      <c r="C1291" s="1">
        <v>42937</v>
      </c>
      <c r="D1291" t="s">
        <v>20</v>
      </c>
      <c r="E1291" t="s">
        <v>13</v>
      </c>
      <c r="F1291" s="2">
        <v>172</v>
      </c>
      <c r="G1291" t="s">
        <v>12</v>
      </c>
      <c r="H1291" s="3">
        <v>61521</v>
      </c>
      <c r="I1291" s="3">
        <v>1596610</v>
      </c>
      <c r="J1291" s="3">
        <v>1277288</v>
      </c>
      <c r="K1291" s="3">
        <v>257801</v>
      </c>
      <c r="L1291" t="s">
        <v>19</v>
      </c>
      <c r="M1291">
        <v>4.5999999999999996</v>
      </c>
    </row>
    <row r="1292" spans="1:13" x14ac:dyDescent="0.25">
      <c r="A1292">
        <v>1291</v>
      </c>
      <c r="B1292" s="1">
        <v>42831</v>
      </c>
      <c r="C1292" s="1">
        <v>43069</v>
      </c>
      <c r="D1292" t="s">
        <v>22</v>
      </c>
      <c r="E1292" t="s">
        <v>26</v>
      </c>
      <c r="F1292" s="2">
        <v>124</v>
      </c>
      <c r="G1292" t="s">
        <v>12</v>
      </c>
      <c r="H1292" s="3">
        <v>50144.800000000003</v>
      </c>
      <c r="I1292" s="3">
        <v>1309805</v>
      </c>
      <c r="J1292" s="3">
        <v>1047844</v>
      </c>
      <c r="K1292" s="3">
        <v>211816.2</v>
      </c>
      <c r="L1292" t="s">
        <v>16</v>
      </c>
      <c r="M1292">
        <v>3.9</v>
      </c>
    </row>
    <row r="1293" spans="1:13" x14ac:dyDescent="0.25">
      <c r="A1293">
        <v>1292</v>
      </c>
      <c r="B1293" s="1">
        <v>42831</v>
      </c>
      <c r="C1293" s="1">
        <v>42980</v>
      </c>
      <c r="D1293" t="s">
        <v>21</v>
      </c>
      <c r="E1293" t="s">
        <v>13</v>
      </c>
      <c r="F1293" s="2">
        <v>164</v>
      </c>
      <c r="G1293" t="s">
        <v>12</v>
      </c>
      <c r="H1293" s="3">
        <v>61457.8</v>
      </c>
      <c r="I1293" s="3">
        <v>1603205</v>
      </c>
      <c r="J1293" s="3">
        <v>1282564</v>
      </c>
      <c r="K1293" s="3">
        <v>259183.2</v>
      </c>
      <c r="L1293" t="s">
        <v>15</v>
      </c>
      <c r="M1293">
        <v>4.8</v>
      </c>
    </row>
    <row r="1294" spans="1:13" x14ac:dyDescent="0.25">
      <c r="A1294">
        <v>1293</v>
      </c>
      <c r="B1294" s="1">
        <v>42831</v>
      </c>
      <c r="C1294" s="1">
        <v>43069</v>
      </c>
      <c r="D1294" t="s">
        <v>23</v>
      </c>
      <c r="E1294" t="s">
        <v>27</v>
      </c>
      <c r="F1294" s="2">
        <v>224</v>
      </c>
      <c r="G1294" t="s">
        <v>12</v>
      </c>
      <c r="H1294" s="3">
        <v>71237</v>
      </c>
      <c r="I1294" s="3">
        <v>1843135</v>
      </c>
      <c r="J1294" s="3">
        <v>1474508</v>
      </c>
      <c r="K1294" s="3">
        <v>297390</v>
      </c>
      <c r="L1294" t="s">
        <v>15</v>
      </c>
      <c r="M1294">
        <v>4.9000000000000004</v>
      </c>
    </row>
    <row r="1295" spans="1:13" x14ac:dyDescent="0.25">
      <c r="A1295">
        <v>1294</v>
      </c>
      <c r="B1295" s="1">
        <v>42832</v>
      </c>
      <c r="C1295" s="1">
        <v>43112</v>
      </c>
      <c r="D1295" t="s">
        <v>23</v>
      </c>
      <c r="E1295" t="s">
        <v>28</v>
      </c>
      <c r="F1295" s="2">
        <v>96</v>
      </c>
      <c r="G1295" t="s">
        <v>11</v>
      </c>
      <c r="H1295" s="3">
        <v>18601.72</v>
      </c>
      <c r="I1295" s="3">
        <v>516803</v>
      </c>
      <c r="J1295" s="3">
        <v>413442.4</v>
      </c>
      <c r="K1295" s="3">
        <v>84758.879999999976</v>
      </c>
      <c r="L1295" t="s">
        <v>16</v>
      </c>
      <c r="M1295">
        <v>4.5</v>
      </c>
    </row>
    <row r="1296" spans="1:13" x14ac:dyDescent="0.25">
      <c r="A1296">
        <v>1295</v>
      </c>
      <c r="B1296" s="1">
        <v>42832</v>
      </c>
      <c r="C1296" s="1">
        <v>43093</v>
      </c>
      <c r="D1296" t="s">
        <v>23</v>
      </c>
      <c r="E1296" t="s">
        <v>28</v>
      </c>
      <c r="F1296" s="2">
        <v>209</v>
      </c>
      <c r="G1296" t="s">
        <v>12</v>
      </c>
      <c r="H1296" s="3">
        <v>35376.120000000003</v>
      </c>
      <c r="I1296" s="3">
        <v>935713</v>
      </c>
      <c r="J1296" s="3">
        <v>748570.4</v>
      </c>
      <c r="K1296" s="3">
        <v>151766.47999999998</v>
      </c>
      <c r="L1296" t="s">
        <v>19</v>
      </c>
      <c r="M1296">
        <v>3.9</v>
      </c>
    </row>
    <row r="1297" spans="1:13" x14ac:dyDescent="0.25">
      <c r="A1297">
        <v>1296</v>
      </c>
      <c r="B1297" s="1">
        <v>42832</v>
      </c>
      <c r="C1297" s="1">
        <v>42978</v>
      </c>
      <c r="D1297" t="s">
        <v>22</v>
      </c>
      <c r="E1297" t="s">
        <v>28</v>
      </c>
      <c r="F1297" s="2">
        <v>85</v>
      </c>
      <c r="G1297" t="s">
        <v>11</v>
      </c>
      <c r="H1297" s="3">
        <v>27827.88</v>
      </c>
      <c r="I1297" s="3">
        <v>752757</v>
      </c>
      <c r="J1297" s="3">
        <v>602205.6</v>
      </c>
      <c r="K1297" s="3">
        <v>122723.52000000002</v>
      </c>
      <c r="L1297" t="s">
        <v>14</v>
      </c>
      <c r="M1297">
        <v>4.2</v>
      </c>
    </row>
    <row r="1298" spans="1:13" x14ac:dyDescent="0.25">
      <c r="A1298">
        <v>1297</v>
      </c>
      <c r="B1298" s="1">
        <v>42832</v>
      </c>
      <c r="C1298" s="1">
        <v>42923</v>
      </c>
      <c r="D1298" t="s">
        <v>22</v>
      </c>
      <c r="E1298" t="s">
        <v>27</v>
      </c>
      <c r="F1298" s="2">
        <v>226</v>
      </c>
      <c r="G1298" t="s">
        <v>12</v>
      </c>
      <c r="H1298" s="3">
        <v>68958</v>
      </c>
      <c r="I1298" s="3">
        <v>1787935</v>
      </c>
      <c r="J1298" s="3">
        <v>1430348</v>
      </c>
      <c r="K1298" s="3">
        <v>288629</v>
      </c>
      <c r="L1298" t="s">
        <v>17</v>
      </c>
      <c r="M1298">
        <v>5</v>
      </c>
    </row>
    <row r="1299" spans="1:13" x14ac:dyDescent="0.25">
      <c r="A1299">
        <v>1298</v>
      </c>
      <c r="B1299" s="1">
        <v>42833</v>
      </c>
      <c r="C1299" s="1">
        <v>43095</v>
      </c>
      <c r="D1299" t="s">
        <v>21</v>
      </c>
      <c r="E1299" t="s">
        <v>24</v>
      </c>
      <c r="F1299" s="2">
        <v>245</v>
      </c>
      <c r="G1299" t="s">
        <v>12</v>
      </c>
      <c r="H1299" s="3">
        <v>46269.52</v>
      </c>
      <c r="I1299" s="3">
        <v>1215973</v>
      </c>
      <c r="J1299" s="3">
        <v>972778.4</v>
      </c>
      <c r="K1299" s="3">
        <v>196925.08</v>
      </c>
      <c r="L1299" t="s">
        <v>17</v>
      </c>
      <c r="M1299">
        <v>4.5</v>
      </c>
    </row>
    <row r="1300" spans="1:13" x14ac:dyDescent="0.25">
      <c r="A1300">
        <v>1299</v>
      </c>
      <c r="B1300" s="1">
        <v>42834</v>
      </c>
      <c r="C1300" s="1">
        <v>43199</v>
      </c>
      <c r="D1300" t="s">
        <v>21</v>
      </c>
      <c r="E1300" t="s">
        <v>27</v>
      </c>
      <c r="F1300" s="2">
        <v>283</v>
      </c>
      <c r="G1300" t="s">
        <v>12</v>
      </c>
      <c r="H1300" s="3">
        <v>67159.600000000006</v>
      </c>
      <c r="I1300" s="3">
        <v>1739075</v>
      </c>
      <c r="J1300" s="3">
        <v>1391260</v>
      </c>
      <c r="K1300" s="3">
        <v>280655.40000000002</v>
      </c>
      <c r="L1300" t="s">
        <v>15</v>
      </c>
      <c r="M1300">
        <v>4.7</v>
      </c>
    </row>
    <row r="1301" spans="1:13" x14ac:dyDescent="0.25">
      <c r="A1301">
        <v>1300</v>
      </c>
      <c r="B1301" s="1">
        <v>42834</v>
      </c>
      <c r="C1301" s="1">
        <v>42956</v>
      </c>
      <c r="D1301" t="s">
        <v>23</v>
      </c>
      <c r="E1301" t="s">
        <v>29</v>
      </c>
      <c r="F1301" s="2">
        <v>68</v>
      </c>
      <c r="G1301" t="s">
        <v>11</v>
      </c>
      <c r="H1301" s="3">
        <v>11683.08</v>
      </c>
      <c r="I1301" s="3">
        <v>346187</v>
      </c>
      <c r="J1301" s="3">
        <v>276949.59999999998</v>
      </c>
      <c r="K1301" s="3">
        <v>57554.320000000022</v>
      </c>
      <c r="L1301" t="s">
        <v>14</v>
      </c>
      <c r="M1301">
        <v>4.5</v>
      </c>
    </row>
    <row r="1302" spans="1:13" x14ac:dyDescent="0.25">
      <c r="A1302">
        <v>1301</v>
      </c>
      <c r="B1302" s="1">
        <v>42835</v>
      </c>
      <c r="C1302" s="1">
        <v>43087</v>
      </c>
      <c r="D1302" t="s">
        <v>23</v>
      </c>
      <c r="E1302" t="s">
        <v>27</v>
      </c>
      <c r="F1302" s="2">
        <v>296</v>
      </c>
      <c r="G1302" t="s">
        <v>12</v>
      </c>
      <c r="H1302" s="3">
        <v>100603.36</v>
      </c>
      <c r="I1302" s="3">
        <v>2567819</v>
      </c>
      <c r="J1302" s="3">
        <v>2054255.2</v>
      </c>
      <c r="K1302" s="3">
        <v>412960.44000000006</v>
      </c>
      <c r="L1302" t="s">
        <v>14</v>
      </c>
      <c r="M1302">
        <v>4.2</v>
      </c>
    </row>
    <row r="1303" spans="1:13" x14ac:dyDescent="0.25">
      <c r="A1303">
        <v>1302</v>
      </c>
      <c r="B1303" s="1">
        <v>42836</v>
      </c>
      <c r="C1303" s="1">
        <v>43056</v>
      </c>
      <c r="D1303" t="s">
        <v>20</v>
      </c>
      <c r="E1303" t="s">
        <v>24</v>
      </c>
      <c r="F1303" s="2">
        <v>281</v>
      </c>
      <c r="G1303" t="s">
        <v>12</v>
      </c>
      <c r="H1303" s="3">
        <v>93917.68</v>
      </c>
      <c r="I1303" s="3">
        <v>2407877</v>
      </c>
      <c r="J1303" s="3">
        <v>1926301.6</v>
      </c>
      <c r="K1303" s="3">
        <v>387657.71999999991</v>
      </c>
      <c r="L1303" t="s">
        <v>19</v>
      </c>
      <c r="M1303">
        <v>4.4000000000000004</v>
      </c>
    </row>
    <row r="1304" spans="1:13" x14ac:dyDescent="0.25">
      <c r="A1304">
        <v>1303</v>
      </c>
      <c r="B1304" s="1">
        <v>42836</v>
      </c>
      <c r="C1304" s="1">
        <v>43120</v>
      </c>
      <c r="D1304" t="s">
        <v>21</v>
      </c>
      <c r="E1304" t="s">
        <v>24</v>
      </c>
      <c r="F1304" s="2">
        <v>126</v>
      </c>
      <c r="G1304" t="s">
        <v>11</v>
      </c>
      <c r="H1304" s="3">
        <v>25244.799999999999</v>
      </c>
      <c r="I1304" s="3">
        <v>693505</v>
      </c>
      <c r="J1304" s="3">
        <v>554804</v>
      </c>
      <c r="K1304" s="3">
        <v>113456.2</v>
      </c>
      <c r="L1304" t="s">
        <v>15</v>
      </c>
      <c r="M1304">
        <v>4.8</v>
      </c>
    </row>
    <row r="1305" spans="1:13" x14ac:dyDescent="0.25">
      <c r="A1305">
        <v>1304</v>
      </c>
      <c r="B1305" s="1">
        <v>42838</v>
      </c>
      <c r="C1305" s="1">
        <v>43187</v>
      </c>
      <c r="D1305" t="s">
        <v>22</v>
      </c>
      <c r="E1305" t="s">
        <v>28</v>
      </c>
      <c r="F1305" s="2">
        <v>99</v>
      </c>
      <c r="G1305" t="s">
        <v>11</v>
      </c>
      <c r="H1305" s="3">
        <v>24285</v>
      </c>
      <c r="I1305" s="3">
        <v>663785</v>
      </c>
      <c r="J1305" s="3">
        <v>531028</v>
      </c>
      <c r="K1305" s="3">
        <v>108472</v>
      </c>
      <c r="L1305" t="s">
        <v>15</v>
      </c>
      <c r="M1305">
        <v>4</v>
      </c>
    </row>
    <row r="1306" spans="1:13" x14ac:dyDescent="0.25">
      <c r="A1306">
        <v>1305</v>
      </c>
      <c r="B1306" s="1">
        <v>42839</v>
      </c>
      <c r="C1306" s="1">
        <v>42993</v>
      </c>
      <c r="D1306" t="s">
        <v>23</v>
      </c>
      <c r="E1306" t="s">
        <v>26</v>
      </c>
      <c r="F1306" s="2">
        <v>84</v>
      </c>
      <c r="G1306" t="s">
        <v>12</v>
      </c>
      <c r="H1306" s="3">
        <v>30120.639999999999</v>
      </c>
      <c r="I1306" s="3">
        <v>814626</v>
      </c>
      <c r="J1306" s="3">
        <v>651700.80000000005</v>
      </c>
      <c r="K1306" s="3">
        <v>132804.55999999994</v>
      </c>
      <c r="L1306" t="s">
        <v>17</v>
      </c>
      <c r="M1306">
        <v>4.3</v>
      </c>
    </row>
    <row r="1307" spans="1:13" x14ac:dyDescent="0.25">
      <c r="A1307">
        <v>1306</v>
      </c>
      <c r="B1307" s="1">
        <v>42839</v>
      </c>
      <c r="C1307" s="1">
        <v>42973</v>
      </c>
      <c r="D1307" t="s">
        <v>22</v>
      </c>
      <c r="E1307" t="s">
        <v>24</v>
      </c>
      <c r="F1307" s="2">
        <v>269</v>
      </c>
      <c r="G1307" t="s">
        <v>12</v>
      </c>
      <c r="H1307" s="3">
        <v>88444.479999999996</v>
      </c>
      <c r="I1307" s="3">
        <v>2266297</v>
      </c>
      <c r="J1307" s="3">
        <v>1813037.6</v>
      </c>
      <c r="K1307" s="3">
        <v>364814.91999999993</v>
      </c>
      <c r="L1307" t="s">
        <v>18</v>
      </c>
      <c r="M1307">
        <v>4</v>
      </c>
    </row>
    <row r="1308" spans="1:13" x14ac:dyDescent="0.25">
      <c r="A1308">
        <v>1307</v>
      </c>
      <c r="B1308" s="1">
        <v>42840</v>
      </c>
      <c r="C1308" s="1">
        <v>42936</v>
      </c>
      <c r="D1308" t="s">
        <v>21</v>
      </c>
      <c r="E1308" t="s">
        <v>28</v>
      </c>
      <c r="F1308" s="2">
        <v>258</v>
      </c>
      <c r="G1308" t="s">
        <v>12</v>
      </c>
      <c r="H1308" s="3">
        <v>102515.48</v>
      </c>
      <c r="I1308" s="3">
        <v>2625797</v>
      </c>
      <c r="J1308" s="3">
        <v>2100637.6</v>
      </c>
      <c r="K1308" s="3">
        <v>422643.91999999993</v>
      </c>
      <c r="L1308" t="s">
        <v>15</v>
      </c>
      <c r="M1308">
        <v>3.8</v>
      </c>
    </row>
    <row r="1309" spans="1:13" x14ac:dyDescent="0.25">
      <c r="A1309">
        <v>1308</v>
      </c>
      <c r="B1309" s="1">
        <v>42840</v>
      </c>
      <c r="C1309" s="1">
        <v>43118</v>
      </c>
      <c r="D1309" t="s">
        <v>22</v>
      </c>
      <c r="E1309" t="s">
        <v>13</v>
      </c>
      <c r="F1309" s="2">
        <v>144</v>
      </c>
      <c r="G1309" t="s">
        <v>12</v>
      </c>
      <c r="H1309" s="3">
        <v>39598.28</v>
      </c>
      <c r="I1309" s="3">
        <v>1041192</v>
      </c>
      <c r="J1309" s="3">
        <v>832953.6</v>
      </c>
      <c r="K1309" s="3">
        <v>168640.12000000002</v>
      </c>
      <c r="L1309" t="s">
        <v>16</v>
      </c>
      <c r="M1309">
        <v>4.8</v>
      </c>
    </row>
    <row r="1310" spans="1:13" x14ac:dyDescent="0.25">
      <c r="A1310">
        <v>1309</v>
      </c>
      <c r="B1310" s="1">
        <v>42840</v>
      </c>
      <c r="C1310" s="1">
        <v>42994</v>
      </c>
      <c r="D1310" t="s">
        <v>20</v>
      </c>
      <c r="E1310" t="s">
        <v>13</v>
      </c>
      <c r="F1310" s="2">
        <v>93</v>
      </c>
      <c r="G1310" t="s">
        <v>11</v>
      </c>
      <c r="H1310" s="3">
        <v>22071</v>
      </c>
      <c r="I1310" s="3">
        <v>610685</v>
      </c>
      <c r="J1310" s="3">
        <v>488548</v>
      </c>
      <c r="K1310" s="3">
        <v>100066</v>
      </c>
      <c r="L1310" t="s">
        <v>15</v>
      </c>
      <c r="M1310">
        <v>5</v>
      </c>
    </row>
    <row r="1311" spans="1:13" x14ac:dyDescent="0.25">
      <c r="A1311">
        <v>1310</v>
      </c>
      <c r="B1311" s="1">
        <v>42840</v>
      </c>
      <c r="C1311" s="1">
        <v>43145</v>
      </c>
      <c r="D1311" t="s">
        <v>22</v>
      </c>
      <c r="E1311" t="s">
        <v>25</v>
      </c>
      <c r="F1311" s="2">
        <v>264</v>
      </c>
      <c r="G1311" t="s">
        <v>12</v>
      </c>
      <c r="H1311" s="3">
        <v>60062.12</v>
      </c>
      <c r="I1311" s="3">
        <v>1554113</v>
      </c>
      <c r="J1311" s="3">
        <v>1243290.3999999999</v>
      </c>
      <c r="K1311" s="3">
        <v>250760.4800000001</v>
      </c>
      <c r="L1311" t="s">
        <v>14</v>
      </c>
      <c r="M1311">
        <v>5</v>
      </c>
    </row>
    <row r="1312" spans="1:13" x14ac:dyDescent="0.25">
      <c r="A1312">
        <v>1311</v>
      </c>
      <c r="B1312" s="1">
        <v>42840</v>
      </c>
      <c r="C1312" s="1">
        <v>42930</v>
      </c>
      <c r="D1312" t="s">
        <v>23</v>
      </c>
      <c r="E1312" t="s">
        <v>26</v>
      </c>
      <c r="F1312" s="2">
        <v>179</v>
      </c>
      <c r="G1312" t="s">
        <v>12</v>
      </c>
      <c r="H1312" s="3">
        <v>41624.199999999997</v>
      </c>
      <c r="I1312" s="3">
        <v>1096165</v>
      </c>
      <c r="J1312" s="3">
        <v>876932</v>
      </c>
      <c r="K1312" s="3">
        <v>177608.8</v>
      </c>
      <c r="L1312" t="s">
        <v>15</v>
      </c>
      <c r="M1312">
        <v>4.8</v>
      </c>
    </row>
    <row r="1313" spans="1:13" x14ac:dyDescent="0.25">
      <c r="A1313">
        <v>1312</v>
      </c>
      <c r="B1313" s="1">
        <v>42841</v>
      </c>
      <c r="C1313" s="1">
        <v>43050</v>
      </c>
      <c r="D1313" t="s">
        <v>21</v>
      </c>
      <c r="E1313" t="s">
        <v>25</v>
      </c>
      <c r="F1313" s="2">
        <v>174</v>
      </c>
      <c r="G1313" t="s">
        <v>12</v>
      </c>
      <c r="H1313" s="3">
        <v>59828.2</v>
      </c>
      <c r="I1313" s="3">
        <v>1560365</v>
      </c>
      <c r="J1313" s="3">
        <v>1248292</v>
      </c>
      <c r="K1313" s="3">
        <v>252244.8</v>
      </c>
      <c r="L1313" t="s">
        <v>17</v>
      </c>
      <c r="M1313">
        <v>4.0999999999999996</v>
      </c>
    </row>
    <row r="1314" spans="1:13" x14ac:dyDescent="0.25">
      <c r="A1314">
        <v>1313</v>
      </c>
      <c r="B1314" s="1">
        <v>42841</v>
      </c>
      <c r="C1314" s="1">
        <v>43013</v>
      </c>
      <c r="D1314" t="s">
        <v>23</v>
      </c>
      <c r="E1314" t="s">
        <v>29</v>
      </c>
      <c r="F1314" s="2">
        <v>158</v>
      </c>
      <c r="G1314" t="s">
        <v>12</v>
      </c>
      <c r="H1314" s="3">
        <v>35861.800000000003</v>
      </c>
      <c r="I1314" s="3">
        <v>957680</v>
      </c>
      <c r="J1314" s="3">
        <v>766144</v>
      </c>
      <c r="K1314" s="3">
        <v>155674.20000000001</v>
      </c>
      <c r="L1314" t="s">
        <v>19</v>
      </c>
      <c r="M1314">
        <v>4.5999999999999996</v>
      </c>
    </row>
    <row r="1315" spans="1:13" x14ac:dyDescent="0.25">
      <c r="A1315">
        <v>1314</v>
      </c>
      <c r="B1315" s="1">
        <v>42842</v>
      </c>
      <c r="C1315" s="1">
        <v>43136</v>
      </c>
      <c r="D1315" t="s">
        <v>21</v>
      </c>
      <c r="E1315" t="s">
        <v>25</v>
      </c>
      <c r="F1315" s="2">
        <v>139</v>
      </c>
      <c r="G1315" t="s">
        <v>12</v>
      </c>
      <c r="H1315" s="3">
        <v>47200.56</v>
      </c>
      <c r="I1315" s="3">
        <v>1242349</v>
      </c>
      <c r="J1315" s="3">
        <v>993879.2</v>
      </c>
      <c r="K1315" s="3">
        <v>201269.24000000005</v>
      </c>
      <c r="L1315" t="s">
        <v>19</v>
      </c>
      <c r="M1315">
        <v>4.8</v>
      </c>
    </row>
    <row r="1316" spans="1:13" x14ac:dyDescent="0.25">
      <c r="A1316">
        <v>1315</v>
      </c>
      <c r="B1316" s="1">
        <v>42842</v>
      </c>
      <c r="C1316" s="1">
        <v>43132</v>
      </c>
      <c r="D1316" t="s">
        <v>23</v>
      </c>
      <c r="E1316" t="s">
        <v>26</v>
      </c>
      <c r="F1316" s="2">
        <v>112</v>
      </c>
      <c r="G1316" t="s">
        <v>12</v>
      </c>
      <c r="H1316" s="3">
        <v>40372.639999999999</v>
      </c>
      <c r="I1316" s="3">
        <v>1071901</v>
      </c>
      <c r="J1316" s="3">
        <v>857520.8</v>
      </c>
      <c r="K1316" s="3">
        <v>174007.55999999994</v>
      </c>
      <c r="L1316" t="s">
        <v>18</v>
      </c>
      <c r="M1316">
        <v>4.3</v>
      </c>
    </row>
    <row r="1317" spans="1:13" x14ac:dyDescent="0.25">
      <c r="A1317">
        <v>1316</v>
      </c>
      <c r="B1317" s="1">
        <v>42842</v>
      </c>
      <c r="C1317" s="1">
        <v>42977</v>
      </c>
      <c r="D1317" t="s">
        <v>20</v>
      </c>
      <c r="E1317" t="s">
        <v>26</v>
      </c>
      <c r="F1317" s="2">
        <v>219</v>
      </c>
      <c r="G1317" t="s">
        <v>12</v>
      </c>
      <c r="H1317" s="3">
        <v>70918.759999999995</v>
      </c>
      <c r="I1317" s="3">
        <v>1832304</v>
      </c>
      <c r="J1317" s="3">
        <v>1465843.2</v>
      </c>
      <c r="K1317" s="3">
        <v>295542.04000000004</v>
      </c>
      <c r="L1317" t="s">
        <v>19</v>
      </c>
      <c r="M1317">
        <v>3.8</v>
      </c>
    </row>
    <row r="1318" spans="1:13" x14ac:dyDescent="0.25">
      <c r="A1318">
        <v>1317</v>
      </c>
      <c r="B1318" s="1">
        <v>42842</v>
      </c>
      <c r="C1318" s="1">
        <v>43112</v>
      </c>
      <c r="D1318" t="s">
        <v>23</v>
      </c>
      <c r="E1318" t="s">
        <v>25</v>
      </c>
      <c r="F1318" s="2">
        <v>90</v>
      </c>
      <c r="G1318" t="s">
        <v>11</v>
      </c>
      <c r="H1318" s="3">
        <v>14122.96</v>
      </c>
      <c r="I1318" s="3">
        <v>412484</v>
      </c>
      <c r="J1318" s="3">
        <v>329987.20000000001</v>
      </c>
      <c r="K1318" s="3">
        <v>68373.84</v>
      </c>
      <c r="L1318" t="s">
        <v>15</v>
      </c>
      <c r="M1318">
        <v>3.6</v>
      </c>
    </row>
    <row r="1319" spans="1:13" x14ac:dyDescent="0.25">
      <c r="A1319">
        <v>1318</v>
      </c>
      <c r="B1319" s="1">
        <v>42842</v>
      </c>
      <c r="C1319" s="1">
        <v>43090</v>
      </c>
      <c r="D1319" t="s">
        <v>23</v>
      </c>
      <c r="E1319" t="s">
        <v>25</v>
      </c>
      <c r="F1319" s="2">
        <v>270</v>
      </c>
      <c r="G1319" t="s">
        <v>12</v>
      </c>
      <c r="H1319" s="3">
        <v>60915</v>
      </c>
      <c r="I1319" s="3">
        <v>1580335</v>
      </c>
      <c r="J1319" s="3">
        <v>1264268</v>
      </c>
      <c r="K1319" s="3">
        <v>255152</v>
      </c>
      <c r="L1319" t="s">
        <v>18</v>
      </c>
      <c r="M1319">
        <v>3.7</v>
      </c>
    </row>
    <row r="1320" spans="1:13" x14ac:dyDescent="0.25">
      <c r="A1320">
        <v>1319</v>
      </c>
      <c r="B1320" s="1">
        <v>42843</v>
      </c>
      <c r="C1320" s="1">
        <v>43197</v>
      </c>
      <c r="D1320" t="s">
        <v>23</v>
      </c>
      <c r="E1320" t="s">
        <v>28</v>
      </c>
      <c r="F1320" s="2">
        <v>276</v>
      </c>
      <c r="G1320" t="s">
        <v>12</v>
      </c>
      <c r="H1320" s="3">
        <v>68508.52</v>
      </c>
      <c r="I1320" s="3">
        <v>1764073</v>
      </c>
      <c r="J1320" s="3">
        <v>1411258.4</v>
      </c>
      <c r="K1320" s="3">
        <v>284306.08000000007</v>
      </c>
      <c r="L1320" t="s">
        <v>19</v>
      </c>
      <c r="M1320">
        <v>4.0999999999999996</v>
      </c>
    </row>
    <row r="1321" spans="1:13" x14ac:dyDescent="0.25">
      <c r="A1321">
        <v>1320</v>
      </c>
      <c r="B1321" s="1">
        <v>42843</v>
      </c>
      <c r="C1321" s="1">
        <v>43197</v>
      </c>
      <c r="D1321" t="s">
        <v>21</v>
      </c>
      <c r="E1321" t="s">
        <v>28</v>
      </c>
      <c r="F1321" s="2">
        <v>159</v>
      </c>
      <c r="G1321" t="s">
        <v>12</v>
      </c>
      <c r="H1321" s="3">
        <v>32899.360000000001</v>
      </c>
      <c r="I1321" s="3">
        <v>877969</v>
      </c>
      <c r="J1321" s="3">
        <v>702375.2</v>
      </c>
      <c r="K1321" s="3">
        <v>142694.44000000006</v>
      </c>
      <c r="L1321" t="s">
        <v>18</v>
      </c>
      <c r="M1321">
        <v>4.9000000000000004</v>
      </c>
    </row>
    <row r="1322" spans="1:13" x14ac:dyDescent="0.25">
      <c r="A1322">
        <v>1321</v>
      </c>
      <c r="B1322" s="1">
        <v>42843</v>
      </c>
      <c r="C1322" s="1">
        <v>42937</v>
      </c>
      <c r="D1322" t="s">
        <v>20</v>
      </c>
      <c r="E1322" t="s">
        <v>26</v>
      </c>
      <c r="F1322" s="2">
        <v>268</v>
      </c>
      <c r="G1322" t="s">
        <v>12</v>
      </c>
      <c r="H1322" s="3">
        <v>98443.64</v>
      </c>
      <c r="I1322" s="3">
        <v>2515051</v>
      </c>
      <c r="J1322" s="3">
        <v>2012040.8</v>
      </c>
      <c r="K1322" s="3">
        <v>404566.55999999994</v>
      </c>
      <c r="L1322" t="s">
        <v>15</v>
      </c>
      <c r="M1322">
        <v>4.5999999999999996</v>
      </c>
    </row>
    <row r="1323" spans="1:13" x14ac:dyDescent="0.25">
      <c r="A1323">
        <v>1322</v>
      </c>
      <c r="B1323" s="1">
        <v>42843</v>
      </c>
      <c r="C1323" s="1">
        <v>42965</v>
      </c>
      <c r="D1323" t="s">
        <v>21</v>
      </c>
      <c r="E1323" t="s">
        <v>25</v>
      </c>
      <c r="F1323" s="2">
        <v>239</v>
      </c>
      <c r="G1323" t="s">
        <v>12</v>
      </c>
      <c r="H1323" s="3">
        <v>94982.399999999994</v>
      </c>
      <c r="I1323" s="3">
        <v>2433320</v>
      </c>
      <c r="J1323" s="3">
        <v>1946656</v>
      </c>
      <c r="K1323" s="3">
        <v>391681.6</v>
      </c>
      <c r="L1323" t="s">
        <v>16</v>
      </c>
      <c r="M1323">
        <v>3.8</v>
      </c>
    </row>
    <row r="1324" spans="1:13" x14ac:dyDescent="0.25">
      <c r="A1324">
        <v>1323</v>
      </c>
      <c r="B1324" s="1">
        <v>42844</v>
      </c>
      <c r="C1324" s="1">
        <v>43199</v>
      </c>
      <c r="D1324" t="s">
        <v>20</v>
      </c>
      <c r="E1324" t="s">
        <v>29</v>
      </c>
      <c r="F1324" s="2">
        <v>77</v>
      </c>
      <c r="G1324" t="s">
        <v>11</v>
      </c>
      <c r="H1324" s="3">
        <v>16365.4</v>
      </c>
      <c r="I1324" s="3">
        <v>468245</v>
      </c>
      <c r="J1324" s="3">
        <v>374596</v>
      </c>
      <c r="K1324" s="3">
        <v>77283.600000000006</v>
      </c>
      <c r="L1324" t="s">
        <v>14</v>
      </c>
      <c r="M1324">
        <v>4.2</v>
      </c>
    </row>
    <row r="1325" spans="1:13" x14ac:dyDescent="0.25">
      <c r="A1325">
        <v>1324</v>
      </c>
      <c r="B1325" s="1">
        <v>42844</v>
      </c>
      <c r="C1325" s="1">
        <v>43003</v>
      </c>
      <c r="D1325" t="s">
        <v>20</v>
      </c>
      <c r="E1325" t="s">
        <v>24</v>
      </c>
      <c r="F1325" s="2">
        <v>45</v>
      </c>
      <c r="G1325" t="s">
        <v>11</v>
      </c>
      <c r="H1325" s="3">
        <v>17342.64</v>
      </c>
      <c r="I1325" s="3">
        <v>490901</v>
      </c>
      <c r="J1325" s="3">
        <v>392720.8</v>
      </c>
      <c r="K1325" s="3">
        <v>80837.560000000012</v>
      </c>
      <c r="L1325" t="s">
        <v>15</v>
      </c>
      <c r="M1325">
        <v>4.5</v>
      </c>
    </row>
    <row r="1326" spans="1:13" x14ac:dyDescent="0.25">
      <c r="A1326">
        <v>1325</v>
      </c>
      <c r="B1326" s="1">
        <v>42844</v>
      </c>
      <c r="C1326" s="1">
        <v>43033</v>
      </c>
      <c r="D1326" t="s">
        <v>20</v>
      </c>
      <c r="E1326" t="s">
        <v>24</v>
      </c>
      <c r="F1326" s="2">
        <v>66</v>
      </c>
      <c r="G1326" t="s">
        <v>11</v>
      </c>
      <c r="H1326" s="3">
        <v>21284.880000000001</v>
      </c>
      <c r="I1326" s="3">
        <v>599607</v>
      </c>
      <c r="J1326" s="3">
        <v>479685.6</v>
      </c>
      <c r="K1326" s="3">
        <v>98636.520000000019</v>
      </c>
      <c r="L1326" t="s">
        <v>14</v>
      </c>
      <c r="M1326">
        <v>4</v>
      </c>
    </row>
    <row r="1327" spans="1:13" x14ac:dyDescent="0.25">
      <c r="A1327">
        <v>1326</v>
      </c>
      <c r="B1327" s="1">
        <v>42844</v>
      </c>
      <c r="C1327" s="1">
        <v>42991</v>
      </c>
      <c r="D1327" t="s">
        <v>21</v>
      </c>
      <c r="E1327" t="s">
        <v>26</v>
      </c>
      <c r="F1327" s="2">
        <v>145</v>
      </c>
      <c r="G1327" t="s">
        <v>11</v>
      </c>
      <c r="H1327" s="3">
        <v>25414.880000000001</v>
      </c>
      <c r="I1327" s="3">
        <v>687957</v>
      </c>
      <c r="J1327" s="3">
        <v>550365.6</v>
      </c>
      <c r="K1327" s="3">
        <v>112176.52000000002</v>
      </c>
      <c r="L1327" t="s">
        <v>14</v>
      </c>
      <c r="M1327">
        <v>4.8</v>
      </c>
    </row>
    <row r="1328" spans="1:13" x14ac:dyDescent="0.25">
      <c r="A1328">
        <v>1327</v>
      </c>
      <c r="B1328" s="1">
        <v>42844</v>
      </c>
      <c r="C1328" s="1">
        <v>43035</v>
      </c>
      <c r="D1328" t="s">
        <v>23</v>
      </c>
      <c r="E1328" t="s">
        <v>28</v>
      </c>
      <c r="F1328" s="2">
        <v>37</v>
      </c>
      <c r="G1328" t="s">
        <v>11</v>
      </c>
      <c r="H1328" s="3">
        <v>10432.84</v>
      </c>
      <c r="I1328" s="3">
        <v>318006</v>
      </c>
      <c r="J1328" s="3">
        <v>254404.8</v>
      </c>
      <c r="K1328" s="3">
        <v>53168.360000000015</v>
      </c>
      <c r="L1328" t="s">
        <v>17</v>
      </c>
      <c r="M1328">
        <v>3.6</v>
      </c>
    </row>
    <row r="1329" spans="1:13" x14ac:dyDescent="0.25">
      <c r="A1329">
        <v>1328</v>
      </c>
      <c r="B1329" s="1">
        <v>42845</v>
      </c>
      <c r="C1329" s="1">
        <v>43003</v>
      </c>
      <c r="D1329" t="s">
        <v>20</v>
      </c>
      <c r="E1329" t="s">
        <v>27</v>
      </c>
      <c r="F1329" s="2">
        <v>270</v>
      </c>
      <c r="G1329" t="s">
        <v>12</v>
      </c>
      <c r="H1329" s="3">
        <v>91415.24</v>
      </c>
      <c r="I1329" s="3">
        <v>2342516</v>
      </c>
      <c r="J1329" s="3">
        <v>1874012.8</v>
      </c>
      <c r="K1329" s="3">
        <v>377087.95999999996</v>
      </c>
      <c r="L1329" t="s">
        <v>14</v>
      </c>
      <c r="M1329">
        <v>5</v>
      </c>
    </row>
    <row r="1330" spans="1:13" x14ac:dyDescent="0.25">
      <c r="A1330">
        <v>1329</v>
      </c>
      <c r="B1330" s="1">
        <v>42845</v>
      </c>
      <c r="C1330" s="1">
        <v>42937</v>
      </c>
      <c r="D1330" t="s">
        <v>20</v>
      </c>
      <c r="E1330" t="s">
        <v>27</v>
      </c>
      <c r="F1330" s="2">
        <v>175</v>
      </c>
      <c r="G1330" t="s">
        <v>12</v>
      </c>
      <c r="H1330" s="3">
        <v>54009.64</v>
      </c>
      <c r="I1330" s="3">
        <v>1403851</v>
      </c>
      <c r="J1330" s="3">
        <v>1123080.8</v>
      </c>
      <c r="K1330" s="3">
        <v>226760.55999999994</v>
      </c>
      <c r="L1330" t="s">
        <v>14</v>
      </c>
      <c r="M1330">
        <v>4.8</v>
      </c>
    </row>
    <row r="1331" spans="1:13" x14ac:dyDescent="0.25">
      <c r="A1331">
        <v>1330</v>
      </c>
      <c r="B1331" s="1">
        <v>42845</v>
      </c>
      <c r="C1331" s="1">
        <v>43143</v>
      </c>
      <c r="D1331" t="s">
        <v>23</v>
      </c>
      <c r="E1331" t="s">
        <v>26</v>
      </c>
      <c r="F1331" s="2">
        <v>259</v>
      </c>
      <c r="G1331" t="s">
        <v>12</v>
      </c>
      <c r="H1331" s="3">
        <v>82664.800000000003</v>
      </c>
      <c r="I1331" s="3">
        <v>2131280</v>
      </c>
      <c r="J1331" s="3">
        <v>1705024</v>
      </c>
      <c r="K1331" s="3">
        <v>343591.2</v>
      </c>
      <c r="L1331" t="s">
        <v>14</v>
      </c>
      <c r="M1331">
        <v>4.3</v>
      </c>
    </row>
    <row r="1332" spans="1:13" x14ac:dyDescent="0.25">
      <c r="A1332">
        <v>1331</v>
      </c>
      <c r="B1332" s="1">
        <v>42846</v>
      </c>
      <c r="C1332" s="1">
        <v>43169</v>
      </c>
      <c r="D1332" t="s">
        <v>21</v>
      </c>
      <c r="E1332" t="s">
        <v>27</v>
      </c>
      <c r="F1332" s="2">
        <v>173</v>
      </c>
      <c r="G1332" t="s">
        <v>12</v>
      </c>
      <c r="H1332" s="3">
        <v>56351.28</v>
      </c>
      <c r="I1332" s="3">
        <v>1472117</v>
      </c>
      <c r="J1332" s="3">
        <v>1177693.6000000001</v>
      </c>
      <c r="K1332" s="3">
        <v>238072.11999999991</v>
      </c>
      <c r="L1332" t="s">
        <v>19</v>
      </c>
      <c r="M1332">
        <v>4.9000000000000004</v>
      </c>
    </row>
    <row r="1333" spans="1:13" x14ac:dyDescent="0.25">
      <c r="A1333">
        <v>1332</v>
      </c>
      <c r="B1333" s="1">
        <v>42846</v>
      </c>
      <c r="C1333" s="1">
        <v>43004</v>
      </c>
      <c r="D1333" t="s">
        <v>21</v>
      </c>
      <c r="E1333" t="s">
        <v>29</v>
      </c>
      <c r="F1333" s="2">
        <v>274</v>
      </c>
      <c r="G1333" t="s">
        <v>12</v>
      </c>
      <c r="H1333" s="3">
        <v>63878.879999999997</v>
      </c>
      <c r="I1333" s="3">
        <v>1655607</v>
      </c>
      <c r="J1333" s="3">
        <v>1324485.6000000001</v>
      </c>
      <c r="K1333" s="3">
        <v>267242.5199999999</v>
      </c>
      <c r="L1333" t="s">
        <v>19</v>
      </c>
      <c r="M1333">
        <v>4.9000000000000004</v>
      </c>
    </row>
    <row r="1334" spans="1:13" x14ac:dyDescent="0.25">
      <c r="A1334">
        <v>1333</v>
      </c>
      <c r="B1334" s="1">
        <v>42846</v>
      </c>
      <c r="C1334" s="1">
        <v>43101</v>
      </c>
      <c r="D1334" t="s">
        <v>22</v>
      </c>
      <c r="E1334" t="s">
        <v>27</v>
      </c>
      <c r="F1334" s="2">
        <v>35</v>
      </c>
      <c r="G1334" t="s">
        <v>11</v>
      </c>
      <c r="H1334" s="3">
        <v>10570.08</v>
      </c>
      <c r="I1334" s="3">
        <v>324437</v>
      </c>
      <c r="J1334" s="3">
        <v>259549.6</v>
      </c>
      <c r="K1334" s="3">
        <v>54317.319999999992</v>
      </c>
      <c r="L1334" t="s">
        <v>14</v>
      </c>
      <c r="M1334">
        <v>4</v>
      </c>
    </row>
    <row r="1335" spans="1:13" x14ac:dyDescent="0.25">
      <c r="A1335">
        <v>1334</v>
      </c>
      <c r="B1335" s="1">
        <v>42846</v>
      </c>
      <c r="C1335" s="1">
        <v>43156</v>
      </c>
      <c r="D1335" t="s">
        <v>21</v>
      </c>
      <c r="E1335" t="s">
        <v>28</v>
      </c>
      <c r="F1335" s="2">
        <v>75</v>
      </c>
      <c r="G1335" t="s">
        <v>11</v>
      </c>
      <c r="H1335" s="3">
        <v>27441.119999999999</v>
      </c>
      <c r="I1335" s="3">
        <v>742113</v>
      </c>
      <c r="J1335" s="3">
        <v>593690.4</v>
      </c>
      <c r="K1335" s="3">
        <v>120981.47999999998</v>
      </c>
      <c r="L1335" t="s">
        <v>19</v>
      </c>
      <c r="M1335">
        <v>4.0999999999999996</v>
      </c>
    </row>
    <row r="1336" spans="1:13" x14ac:dyDescent="0.25">
      <c r="A1336">
        <v>1335</v>
      </c>
      <c r="B1336" s="1">
        <v>42847</v>
      </c>
      <c r="C1336" s="1">
        <v>42962</v>
      </c>
      <c r="D1336" t="s">
        <v>21</v>
      </c>
      <c r="E1336" t="s">
        <v>29</v>
      </c>
      <c r="F1336" s="2">
        <v>224</v>
      </c>
      <c r="G1336" t="s">
        <v>12</v>
      </c>
      <c r="H1336" s="3">
        <v>37054.199999999997</v>
      </c>
      <c r="I1336" s="3">
        <v>991415</v>
      </c>
      <c r="J1336" s="3">
        <v>793132</v>
      </c>
      <c r="K1336" s="3">
        <v>161228.79999999999</v>
      </c>
      <c r="L1336" t="s">
        <v>18</v>
      </c>
      <c r="M1336">
        <v>3.6</v>
      </c>
    </row>
    <row r="1337" spans="1:13" x14ac:dyDescent="0.25">
      <c r="A1337">
        <v>1336</v>
      </c>
      <c r="B1337" s="1">
        <v>42847</v>
      </c>
      <c r="C1337" s="1">
        <v>43071</v>
      </c>
      <c r="D1337" t="s">
        <v>23</v>
      </c>
      <c r="E1337" t="s">
        <v>27</v>
      </c>
      <c r="F1337" s="2">
        <v>263</v>
      </c>
      <c r="G1337" t="s">
        <v>12</v>
      </c>
      <c r="H1337" s="3">
        <v>102234.04</v>
      </c>
      <c r="I1337" s="3">
        <v>2619611</v>
      </c>
      <c r="J1337" s="3">
        <v>2095688.8</v>
      </c>
      <c r="K1337" s="3">
        <v>421688.16</v>
      </c>
      <c r="L1337" t="s">
        <v>15</v>
      </c>
      <c r="M1337">
        <v>4.2</v>
      </c>
    </row>
    <row r="1338" spans="1:13" x14ac:dyDescent="0.25">
      <c r="A1338">
        <v>1337</v>
      </c>
      <c r="B1338" s="1">
        <v>42848</v>
      </c>
      <c r="C1338" s="1">
        <v>42983</v>
      </c>
      <c r="D1338" t="s">
        <v>21</v>
      </c>
      <c r="E1338" t="s">
        <v>29</v>
      </c>
      <c r="F1338" s="2">
        <v>65</v>
      </c>
      <c r="G1338" t="s">
        <v>11</v>
      </c>
      <c r="H1338" s="3">
        <v>18725.84</v>
      </c>
      <c r="I1338" s="3">
        <v>530456</v>
      </c>
      <c r="J1338" s="3">
        <v>424364.79999999999</v>
      </c>
      <c r="K1338" s="3">
        <v>87365.360000000015</v>
      </c>
      <c r="L1338" t="s">
        <v>18</v>
      </c>
      <c r="M1338">
        <v>4.5</v>
      </c>
    </row>
    <row r="1339" spans="1:13" x14ac:dyDescent="0.25">
      <c r="A1339">
        <v>1338</v>
      </c>
      <c r="B1339" s="1">
        <v>42849</v>
      </c>
      <c r="C1339" s="1">
        <v>43199</v>
      </c>
      <c r="D1339" t="s">
        <v>20</v>
      </c>
      <c r="E1339" t="s">
        <v>26</v>
      </c>
      <c r="F1339" s="2">
        <v>33</v>
      </c>
      <c r="G1339" t="s">
        <v>11</v>
      </c>
      <c r="H1339" s="3">
        <v>5549.8</v>
      </c>
      <c r="I1339" s="3">
        <v>200405</v>
      </c>
      <c r="J1339" s="3">
        <v>160324</v>
      </c>
      <c r="K1339" s="3">
        <v>34531.199999999997</v>
      </c>
      <c r="L1339" t="s">
        <v>14</v>
      </c>
      <c r="M1339">
        <v>4.8</v>
      </c>
    </row>
    <row r="1340" spans="1:13" x14ac:dyDescent="0.25">
      <c r="A1340">
        <v>1339</v>
      </c>
      <c r="B1340" s="1">
        <v>42849</v>
      </c>
      <c r="C1340" s="1">
        <v>43156</v>
      </c>
      <c r="D1340" t="s">
        <v>23</v>
      </c>
      <c r="E1340" t="s">
        <v>26</v>
      </c>
      <c r="F1340" s="2">
        <v>74</v>
      </c>
      <c r="G1340" t="s">
        <v>11</v>
      </c>
      <c r="H1340" s="3">
        <v>27773.72</v>
      </c>
      <c r="I1340" s="3">
        <v>753278</v>
      </c>
      <c r="J1340" s="3">
        <v>602622.4</v>
      </c>
      <c r="K1340" s="3">
        <v>122881.87999999998</v>
      </c>
      <c r="L1340" t="s">
        <v>15</v>
      </c>
      <c r="M1340">
        <v>4.2</v>
      </c>
    </row>
    <row r="1341" spans="1:13" x14ac:dyDescent="0.25">
      <c r="A1341">
        <v>1340</v>
      </c>
      <c r="B1341" s="1">
        <v>42849</v>
      </c>
      <c r="C1341" s="1">
        <v>43101</v>
      </c>
      <c r="D1341" t="s">
        <v>20</v>
      </c>
      <c r="E1341" t="s">
        <v>27</v>
      </c>
      <c r="F1341" s="2">
        <v>167</v>
      </c>
      <c r="G1341" t="s">
        <v>12</v>
      </c>
      <c r="H1341" s="3">
        <v>40197.919999999998</v>
      </c>
      <c r="I1341" s="3">
        <v>1070033</v>
      </c>
      <c r="J1341" s="3">
        <v>856026.4</v>
      </c>
      <c r="K1341" s="3">
        <v>173808.68</v>
      </c>
      <c r="L1341" t="s">
        <v>14</v>
      </c>
      <c r="M1341">
        <v>3.7</v>
      </c>
    </row>
    <row r="1342" spans="1:13" x14ac:dyDescent="0.25">
      <c r="A1342">
        <v>1341</v>
      </c>
      <c r="B1342" s="1">
        <v>42850</v>
      </c>
      <c r="C1342" s="1">
        <v>43095</v>
      </c>
      <c r="D1342" t="s">
        <v>21</v>
      </c>
      <c r="E1342" t="s">
        <v>25</v>
      </c>
      <c r="F1342" s="2">
        <v>129</v>
      </c>
      <c r="G1342" t="s">
        <v>12</v>
      </c>
      <c r="H1342" s="3">
        <v>39469.519999999997</v>
      </c>
      <c r="I1342" s="3">
        <v>1044173</v>
      </c>
      <c r="J1342" s="3">
        <v>835338.4</v>
      </c>
      <c r="K1342" s="3">
        <v>169365.08</v>
      </c>
      <c r="L1342" t="s">
        <v>19</v>
      </c>
      <c r="M1342">
        <v>4</v>
      </c>
    </row>
    <row r="1343" spans="1:13" x14ac:dyDescent="0.25">
      <c r="A1343">
        <v>1342</v>
      </c>
      <c r="B1343" s="1">
        <v>42850</v>
      </c>
      <c r="C1343" s="1">
        <v>43179</v>
      </c>
      <c r="D1343" t="s">
        <v>22</v>
      </c>
      <c r="E1343" t="s">
        <v>27</v>
      </c>
      <c r="F1343" s="2">
        <v>190</v>
      </c>
      <c r="G1343" t="s">
        <v>12</v>
      </c>
      <c r="H1343" s="3">
        <v>67086.559999999998</v>
      </c>
      <c r="I1343" s="3">
        <v>1735149</v>
      </c>
      <c r="J1343" s="3">
        <v>1388119.2</v>
      </c>
      <c r="K1343" s="3">
        <v>279943.24000000005</v>
      </c>
      <c r="L1343" t="s">
        <v>14</v>
      </c>
      <c r="M1343">
        <v>4.8</v>
      </c>
    </row>
    <row r="1344" spans="1:13" x14ac:dyDescent="0.25">
      <c r="A1344">
        <v>1343</v>
      </c>
      <c r="B1344" s="1">
        <v>42850</v>
      </c>
      <c r="C1344" s="1">
        <v>43122</v>
      </c>
      <c r="D1344" t="s">
        <v>22</v>
      </c>
      <c r="E1344" t="s">
        <v>29</v>
      </c>
      <c r="F1344" s="2">
        <v>266</v>
      </c>
      <c r="G1344" t="s">
        <v>12</v>
      </c>
      <c r="H1344" s="3">
        <v>90481.96</v>
      </c>
      <c r="I1344" s="3">
        <v>2328634</v>
      </c>
      <c r="J1344" s="3">
        <v>1862907.2</v>
      </c>
      <c r="K1344" s="3">
        <v>375244.84</v>
      </c>
      <c r="L1344" t="s">
        <v>14</v>
      </c>
      <c r="M1344">
        <v>3.9</v>
      </c>
    </row>
    <row r="1345" spans="1:13" x14ac:dyDescent="0.25">
      <c r="A1345">
        <v>1344</v>
      </c>
      <c r="B1345" s="1">
        <v>42850</v>
      </c>
      <c r="C1345" s="1">
        <v>42967</v>
      </c>
      <c r="D1345" t="s">
        <v>21</v>
      </c>
      <c r="E1345" t="s">
        <v>26</v>
      </c>
      <c r="F1345" s="2">
        <v>280</v>
      </c>
      <c r="G1345" t="s">
        <v>12</v>
      </c>
      <c r="H1345" s="3">
        <v>59304.6</v>
      </c>
      <c r="I1345" s="3">
        <v>1536725</v>
      </c>
      <c r="J1345" s="3">
        <v>1229380</v>
      </c>
      <c r="K1345" s="3">
        <v>248040.4</v>
      </c>
      <c r="L1345" t="s">
        <v>14</v>
      </c>
      <c r="M1345">
        <v>3.9</v>
      </c>
    </row>
    <row r="1346" spans="1:13" x14ac:dyDescent="0.25">
      <c r="A1346">
        <v>1345</v>
      </c>
      <c r="B1346" s="1">
        <v>42850</v>
      </c>
      <c r="C1346" s="1">
        <v>43211</v>
      </c>
      <c r="D1346" t="s">
        <v>22</v>
      </c>
      <c r="E1346" t="s">
        <v>29</v>
      </c>
      <c r="F1346" s="2">
        <v>45</v>
      </c>
      <c r="G1346" t="s">
        <v>11</v>
      </c>
      <c r="H1346" s="3">
        <v>14166.32</v>
      </c>
      <c r="I1346" s="3">
        <v>406643</v>
      </c>
      <c r="J1346" s="3">
        <v>325314.40000000002</v>
      </c>
      <c r="K1346" s="3">
        <v>67162.27999999997</v>
      </c>
      <c r="L1346" t="s">
        <v>17</v>
      </c>
      <c r="M1346">
        <v>4</v>
      </c>
    </row>
    <row r="1347" spans="1:13" x14ac:dyDescent="0.25">
      <c r="A1347">
        <v>1346</v>
      </c>
      <c r="B1347" s="1">
        <v>42850</v>
      </c>
      <c r="C1347" s="1">
        <v>43085</v>
      </c>
      <c r="D1347" t="s">
        <v>22</v>
      </c>
      <c r="E1347" t="s">
        <v>29</v>
      </c>
      <c r="F1347" s="2">
        <v>45</v>
      </c>
      <c r="G1347" t="s">
        <v>11</v>
      </c>
      <c r="H1347" s="3">
        <v>12383</v>
      </c>
      <c r="I1347" s="3">
        <v>370135</v>
      </c>
      <c r="J1347" s="3">
        <v>296108</v>
      </c>
      <c r="K1347" s="3">
        <v>61644</v>
      </c>
      <c r="L1347" t="s">
        <v>14</v>
      </c>
      <c r="M1347">
        <v>3.8</v>
      </c>
    </row>
    <row r="1348" spans="1:13" x14ac:dyDescent="0.25">
      <c r="A1348">
        <v>1347</v>
      </c>
      <c r="B1348" s="1">
        <v>42851</v>
      </c>
      <c r="C1348" s="1">
        <v>43004</v>
      </c>
      <c r="D1348" t="s">
        <v>23</v>
      </c>
      <c r="E1348" t="s">
        <v>28</v>
      </c>
      <c r="F1348" s="2">
        <v>110</v>
      </c>
      <c r="G1348" t="s">
        <v>12</v>
      </c>
      <c r="H1348" s="3">
        <v>37063.599999999999</v>
      </c>
      <c r="I1348" s="3">
        <v>986500</v>
      </c>
      <c r="J1348" s="3">
        <v>789200</v>
      </c>
      <c r="K1348" s="3">
        <v>160236.4</v>
      </c>
      <c r="L1348" t="s">
        <v>15</v>
      </c>
      <c r="M1348">
        <v>4.7</v>
      </c>
    </row>
    <row r="1349" spans="1:13" x14ac:dyDescent="0.25">
      <c r="A1349">
        <v>1348</v>
      </c>
      <c r="B1349" s="1">
        <v>42851</v>
      </c>
      <c r="C1349" s="1">
        <v>43115</v>
      </c>
      <c r="D1349" t="s">
        <v>21</v>
      </c>
      <c r="E1349" t="s">
        <v>13</v>
      </c>
      <c r="F1349" s="2">
        <v>194</v>
      </c>
      <c r="G1349" t="s">
        <v>12</v>
      </c>
      <c r="H1349" s="3">
        <v>73108.160000000003</v>
      </c>
      <c r="I1349" s="3">
        <v>1886489</v>
      </c>
      <c r="J1349" s="3">
        <v>1509191.2</v>
      </c>
      <c r="K1349" s="3">
        <v>304189.64</v>
      </c>
      <c r="L1349" t="s">
        <v>16</v>
      </c>
      <c r="M1349">
        <v>4.5999999999999996</v>
      </c>
    </row>
    <row r="1350" spans="1:13" x14ac:dyDescent="0.25">
      <c r="A1350">
        <v>1349</v>
      </c>
      <c r="B1350" s="1">
        <v>42851</v>
      </c>
      <c r="C1350" s="1">
        <v>43122</v>
      </c>
      <c r="D1350" t="s">
        <v>22</v>
      </c>
      <c r="E1350" t="s">
        <v>25</v>
      </c>
      <c r="F1350" s="2">
        <v>95</v>
      </c>
      <c r="G1350" t="s">
        <v>12</v>
      </c>
      <c r="H1350" s="3">
        <v>35068.160000000003</v>
      </c>
      <c r="I1350" s="3">
        <v>929189</v>
      </c>
      <c r="J1350" s="3">
        <v>743351.2</v>
      </c>
      <c r="K1350" s="3">
        <v>150769.64000000004</v>
      </c>
      <c r="L1350" t="s">
        <v>16</v>
      </c>
      <c r="M1350">
        <v>4.0999999999999996</v>
      </c>
    </row>
    <row r="1351" spans="1:13" x14ac:dyDescent="0.25">
      <c r="A1351">
        <v>1350</v>
      </c>
      <c r="B1351" s="1">
        <v>42851</v>
      </c>
      <c r="C1351" s="1">
        <v>43182</v>
      </c>
      <c r="D1351" t="s">
        <v>21</v>
      </c>
      <c r="E1351" t="s">
        <v>13</v>
      </c>
      <c r="F1351" s="2">
        <v>95</v>
      </c>
      <c r="G1351" t="s">
        <v>11</v>
      </c>
      <c r="H1351" s="3">
        <v>15992.48</v>
      </c>
      <c r="I1351" s="3">
        <v>462197</v>
      </c>
      <c r="J1351" s="3">
        <v>369757.6</v>
      </c>
      <c r="K1351" s="3">
        <v>76446.920000000027</v>
      </c>
      <c r="L1351" t="s">
        <v>15</v>
      </c>
      <c r="M1351">
        <v>3.8</v>
      </c>
    </row>
    <row r="1352" spans="1:13" x14ac:dyDescent="0.25">
      <c r="A1352">
        <v>1351</v>
      </c>
      <c r="B1352" s="1">
        <v>42851</v>
      </c>
      <c r="C1352" s="1">
        <v>42986</v>
      </c>
      <c r="D1352" t="s">
        <v>21</v>
      </c>
      <c r="E1352" t="s">
        <v>13</v>
      </c>
      <c r="F1352" s="2">
        <v>56</v>
      </c>
      <c r="G1352" t="s">
        <v>11</v>
      </c>
      <c r="H1352" s="3">
        <v>19174.599999999999</v>
      </c>
      <c r="I1352" s="3">
        <v>541525</v>
      </c>
      <c r="J1352" s="3">
        <v>433220</v>
      </c>
      <c r="K1352" s="3">
        <v>89130.4</v>
      </c>
      <c r="L1352" t="s">
        <v>14</v>
      </c>
      <c r="M1352">
        <v>4.5999999999999996</v>
      </c>
    </row>
    <row r="1353" spans="1:13" x14ac:dyDescent="0.25">
      <c r="A1353">
        <v>1352</v>
      </c>
      <c r="B1353" s="1">
        <v>42852</v>
      </c>
      <c r="C1353" s="1">
        <v>43068</v>
      </c>
      <c r="D1353" t="s">
        <v>22</v>
      </c>
      <c r="E1353" t="s">
        <v>27</v>
      </c>
      <c r="F1353" s="2">
        <v>183</v>
      </c>
      <c r="G1353" t="s">
        <v>12</v>
      </c>
      <c r="H1353" s="3">
        <v>41589.480000000003</v>
      </c>
      <c r="I1353" s="3">
        <v>1101122</v>
      </c>
      <c r="J1353" s="3">
        <v>880897.6</v>
      </c>
      <c r="K1353" s="3">
        <v>178634.92</v>
      </c>
      <c r="L1353" t="s">
        <v>17</v>
      </c>
      <c r="M1353">
        <v>4.0999999999999996</v>
      </c>
    </row>
    <row r="1354" spans="1:13" x14ac:dyDescent="0.25">
      <c r="A1354">
        <v>1353</v>
      </c>
      <c r="B1354" s="1">
        <v>42852</v>
      </c>
      <c r="C1354" s="1">
        <v>43079</v>
      </c>
      <c r="D1354" t="s">
        <v>23</v>
      </c>
      <c r="E1354" t="s">
        <v>25</v>
      </c>
      <c r="F1354" s="2">
        <v>262</v>
      </c>
      <c r="G1354" t="s">
        <v>12</v>
      </c>
      <c r="H1354" s="3">
        <v>67493.039999999994</v>
      </c>
      <c r="I1354" s="3">
        <v>1738986</v>
      </c>
      <c r="J1354" s="3">
        <v>1391188.8</v>
      </c>
      <c r="K1354" s="3">
        <v>280304.15999999997</v>
      </c>
      <c r="L1354" t="s">
        <v>19</v>
      </c>
      <c r="M1354">
        <v>4.8</v>
      </c>
    </row>
    <row r="1355" spans="1:13" x14ac:dyDescent="0.25">
      <c r="A1355">
        <v>1354</v>
      </c>
      <c r="B1355" s="1">
        <v>42853</v>
      </c>
      <c r="C1355" s="1">
        <v>43032</v>
      </c>
      <c r="D1355" t="s">
        <v>21</v>
      </c>
      <c r="E1355" t="s">
        <v>26</v>
      </c>
      <c r="F1355" s="2">
        <v>235</v>
      </c>
      <c r="G1355" t="s">
        <v>12</v>
      </c>
      <c r="H1355" s="3">
        <v>96003.56</v>
      </c>
      <c r="I1355" s="3">
        <v>2454549</v>
      </c>
      <c r="J1355" s="3">
        <v>1963639.2</v>
      </c>
      <c r="K1355" s="3">
        <v>394906.24000000005</v>
      </c>
      <c r="L1355" t="s">
        <v>17</v>
      </c>
      <c r="M1355">
        <v>4.3</v>
      </c>
    </row>
    <row r="1356" spans="1:13" x14ac:dyDescent="0.25">
      <c r="A1356">
        <v>1355</v>
      </c>
      <c r="B1356" s="1">
        <v>42853</v>
      </c>
      <c r="C1356" s="1">
        <v>43214</v>
      </c>
      <c r="D1356" t="s">
        <v>20</v>
      </c>
      <c r="E1356" t="s">
        <v>28</v>
      </c>
      <c r="F1356" s="2">
        <v>151</v>
      </c>
      <c r="G1356" t="s">
        <v>12</v>
      </c>
      <c r="H1356" s="3">
        <v>34328.879999999997</v>
      </c>
      <c r="I1356" s="3">
        <v>922707</v>
      </c>
      <c r="J1356" s="3">
        <v>738165.6</v>
      </c>
      <c r="K1356" s="3">
        <v>150212.52000000002</v>
      </c>
      <c r="L1356" t="s">
        <v>19</v>
      </c>
      <c r="M1356">
        <v>4.0999999999999996</v>
      </c>
    </row>
    <row r="1357" spans="1:13" x14ac:dyDescent="0.25">
      <c r="A1357">
        <v>1356</v>
      </c>
      <c r="B1357" s="1">
        <v>42853</v>
      </c>
      <c r="C1357" s="1">
        <v>43051</v>
      </c>
      <c r="D1357" t="s">
        <v>20</v>
      </c>
      <c r="E1357" t="s">
        <v>13</v>
      </c>
      <c r="F1357" s="2">
        <v>154</v>
      </c>
      <c r="G1357" t="s">
        <v>12</v>
      </c>
      <c r="H1357" s="3">
        <v>55996.32</v>
      </c>
      <c r="I1357" s="3">
        <v>1457793</v>
      </c>
      <c r="J1357" s="3">
        <v>1166234.3999999999</v>
      </c>
      <c r="K1357" s="3">
        <v>235562.28000000009</v>
      </c>
      <c r="L1357" t="s">
        <v>15</v>
      </c>
      <c r="M1357">
        <v>4.5999999999999996</v>
      </c>
    </row>
    <row r="1358" spans="1:13" x14ac:dyDescent="0.25">
      <c r="A1358">
        <v>1357</v>
      </c>
      <c r="B1358" s="1">
        <v>42853</v>
      </c>
      <c r="C1358" s="1">
        <v>43137</v>
      </c>
      <c r="D1358" t="s">
        <v>21</v>
      </c>
      <c r="E1358" t="s">
        <v>27</v>
      </c>
      <c r="F1358" s="2">
        <v>281</v>
      </c>
      <c r="G1358" t="s">
        <v>12</v>
      </c>
      <c r="H1358" s="3">
        <v>72155.8</v>
      </c>
      <c r="I1358" s="3">
        <v>1863905</v>
      </c>
      <c r="J1358" s="3">
        <v>1491124</v>
      </c>
      <c r="K1358" s="3">
        <v>300625.2</v>
      </c>
      <c r="L1358" t="s">
        <v>19</v>
      </c>
      <c r="M1358">
        <v>5</v>
      </c>
    </row>
    <row r="1359" spans="1:13" x14ac:dyDescent="0.25">
      <c r="A1359">
        <v>1358</v>
      </c>
      <c r="B1359" s="1">
        <v>42854</v>
      </c>
      <c r="C1359" s="1">
        <v>43184</v>
      </c>
      <c r="D1359" t="s">
        <v>21</v>
      </c>
      <c r="E1359" t="s">
        <v>28</v>
      </c>
      <c r="F1359" s="2">
        <v>269</v>
      </c>
      <c r="G1359" t="s">
        <v>12</v>
      </c>
      <c r="H1359" s="3">
        <v>98293.759999999995</v>
      </c>
      <c r="I1359" s="3">
        <v>2510979</v>
      </c>
      <c r="J1359" s="3">
        <v>2008783.2</v>
      </c>
      <c r="K1359" s="3">
        <v>403902.04000000004</v>
      </c>
      <c r="L1359" t="s">
        <v>14</v>
      </c>
      <c r="M1359">
        <v>3.8</v>
      </c>
    </row>
    <row r="1360" spans="1:13" x14ac:dyDescent="0.25">
      <c r="A1360">
        <v>1359</v>
      </c>
      <c r="B1360" s="1">
        <v>42854</v>
      </c>
      <c r="C1360" s="1">
        <v>43207</v>
      </c>
      <c r="D1360" t="s">
        <v>23</v>
      </c>
      <c r="E1360" t="s">
        <v>28</v>
      </c>
      <c r="F1360" s="2">
        <v>249</v>
      </c>
      <c r="G1360" t="s">
        <v>12</v>
      </c>
      <c r="H1360" s="3">
        <v>41669.120000000003</v>
      </c>
      <c r="I1360" s="3">
        <v>1095813</v>
      </c>
      <c r="J1360" s="3">
        <v>876650.4</v>
      </c>
      <c r="K1360" s="3">
        <v>177493.47999999998</v>
      </c>
      <c r="L1360" t="s">
        <v>17</v>
      </c>
      <c r="M1360">
        <v>3.7</v>
      </c>
    </row>
    <row r="1361" spans="1:13" x14ac:dyDescent="0.25">
      <c r="A1361">
        <v>1360</v>
      </c>
      <c r="B1361" s="1">
        <v>42854</v>
      </c>
      <c r="C1361" s="1">
        <v>42996</v>
      </c>
      <c r="D1361" t="s">
        <v>21</v>
      </c>
      <c r="E1361" t="s">
        <v>27</v>
      </c>
      <c r="F1361" s="2">
        <v>190</v>
      </c>
      <c r="G1361" t="s">
        <v>12</v>
      </c>
      <c r="H1361" s="3">
        <v>46981.2</v>
      </c>
      <c r="I1361" s="3">
        <v>1237965</v>
      </c>
      <c r="J1361" s="3">
        <v>990372</v>
      </c>
      <c r="K1361" s="3">
        <v>200611.8</v>
      </c>
      <c r="L1361" t="s">
        <v>18</v>
      </c>
      <c r="M1361">
        <v>4.5999999999999996</v>
      </c>
    </row>
    <row r="1362" spans="1:13" x14ac:dyDescent="0.25">
      <c r="A1362">
        <v>1361</v>
      </c>
      <c r="B1362" s="1">
        <v>42855</v>
      </c>
      <c r="C1362" s="1">
        <v>43014</v>
      </c>
      <c r="D1362" t="s">
        <v>22</v>
      </c>
      <c r="E1362" t="s">
        <v>28</v>
      </c>
      <c r="F1362" s="2">
        <v>181</v>
      </c>
      <c r="G1362" t="s">
        <v>12</v>
      </c>
      <c r="H1362" s="3">
        <v>46125.48</v>
      </c>
      <c r="I1362" s="3">
        <v>1216097</v>
      </c>
      <c r="J1362" s="3">
        <v>972877.6</v>
      </c>
      <c r="K1362" s="3">
        <v>197093.92</v>
      </c>
      <c r="L1362" t="s">
        <v>14</v>
      </c>
      <c r="M1362">
        <v>4.4000000000000004</v>
      </c>
    </row>
    <row r="1363" spans="1:13" x14ac:dyDescent="0.25">
      <c r="A1363">
        <v>1362</v>
      </c>
      <c r="B1363" s="1">
        <v>42855</v>
      </c>
      <c r="C1363" s="1">
        <v>43202</v>
      </c>
      <c r="D1363" t="s">
        <v>22</v>
      </c>
      <c r="E1363" t="s">
        <v>29</v>
      </c>
      <c r="F1363" s="2">
        <v>165</v>
      </c>
      <c r="G1363" t="s">
        <v>12</v>
      </c>
      <c r="H1363" s="3">
        <v>57014.52</v>
      </c>
      <c r="I1363" s="3">
        <v>1477673</v>
      </c>
      <c r="J1363" s="3">
        <v>1182138.3999999999</v>
      </c>
      <c r="K1363" s="3">
        <v>238520.0800000001</v>
      </c>
      <c r="L1363" t="s">
        <v>19</v>
      </c>
      <c r="M1363">
        <v>3.8</v>
      </c>
    </row>
    <row r="1364" spans="1:13" x14ac:dyDescent="0.25">
      <c r="A1364">
        <v>1363</v>
      </c>
      <c r="B1364" s="1">
        <v>42855</v>
      </c>
      <c r="C1364" s="1">
        <v>43101</v>
      </c>
      <c r="D1364" t="s">
        <v>20</v>
      </c>
      <c r="E1364" t="s">
        <v>28</v>
      </c>
      <c r="F1364" s="2">
        <v>150</v>
      </c>
      <c r="G1364" t="s">
        <v>11</v>
      </c>
      <c r="H1364" s="3">
        <v>28252.16</v>
      </c>
      <c r="I1364" s="3">
        <v>766064</v>
      </c>
      <c r="J1364" s="3">
        <v>612851.19999999995</v>
      </c>
      <c r="K1364" s="3">
        <v>124960.64000000004</v>
      </c>
      <c r="L1364" t="s">
        <v>16</v>
      </c>
      <c r="M1364">
        <v>4.2</v>
      </c>
    </row>
    <row r="1365" spans="1:13" x14ac:dyDescent="0.25">
      <c r="A1365">
        <v>1364</v>
      </c>
      <c r="B1365" s="1">
        <v>42856</v>
      </c>
      <c r="C1365" s="1">
        <v>43144</v>
      </c>
      <c r="D1365" t="s">
        <v>20</v>
      </c>
      <c r="E1365" t="s">
        <v>25</v>
      </c>
      <c r="F1365" s="2">
        <v>78</v>
      </c>
      <c r="G1365" t="s">
        <v>12</v>
      </c>
      <c r="H1365" s="3">
        <v>30523.4</v>
      </c>
      <c r="I1365" s="3">
        <v>819995</v>
      </c>
      <c r="J1365" s="3">
        <v>655996</v>
      </c>
      <c r="K1365" s="3">
        <v>133475.6</v>
      </c>
      <c r="L1365" t="s">
        <v>16</v>
      </c>
      <c r="M1365">
        <v>4.9000000000000004</v>
      </c>
    </row>
    <row r="1366" spans="1:13" x14ac:dyDescent="0.25">
      <c r="A1366">
        <v>1365</v>
      </c>
      <c r="B1366" s="1">
        <v>42856</v>
      </c>
      <c r="C1366" s="1">
        <v>43053</v>
      </c>
      <c r="D1366" t="s">
        <v>23</v>
      </c>
      <c r="E1366" t="s">
        <v>27</v>
      </c>
      <c r="F1366" s="2">
        <v>61</v>
      </c>
      <c r="G1366" t="s">
        <v>11</v>
      </c>
      <c r="H1366" s="3">
        <v>13264.2</v>
      </c>
      <c r="I1366" s="3">
        <v>386640</v>
      </c>
      <c r="J1366" s="3">
        <v>309312</v>
      </c>
      <c r="K1366" s="3">
        <v>64063.8</v>
      </c>
      <c r="L1366" t="s">
        <v>18</v>
      </c>
      <c r="M1366">
        <v>4.8</v>
      </c>
    </row>
    <row r="1367" spans="1:13" x14ac:dyDescent="0.25">
      <c r="A1367">
        <v>1366</v>
      </c>
      <c r="B1367" s="1">
        <v>42856</v>
      </c>
      <c r="C1367" s="1">
        <v>43187</v>
      </c>
      <c r="D1367" t="s">
        <v>22</v>
      </c>
      <c r="E1367" t="s">
        <v>26</v>
      </c>
      <c r="F1367" s="2">
        <v>98</v>
      </c>
      <c r="G1367" t="s">
        <v>12</v>
      </c>
      <c r="H1367" s="3">
        <v>32813.800000000003</v>
      </c>
      <c r="I1367" s="3">
        <v>887205</v>
      </c>
      <c r="J1367" s="3">
        <v>709764</v>
      </c>
      <c r="K1367" s="3">
        <v>144627.20000000001</v>
      </c>
      <c r="L1367" t="s">
        <v>15</v>
      </c>
      <c r="M1367">
        <v>5</v>
      </c>
    </row>
    <row r="1368" spans="1:13" x14ac:dyDescent="0.25">
      <c r="A1368">
        <v>1367</v>
      </c>
      <c r="B1368" s="1">
        <v>42857</v>
      </c>
      <c r="C1368" s="1">
        <v>43126</v>
      </c>
      <c r="D1368" t="s">
        <v>22</v>
      </c>
      <c r="E1368" t="s">
        <v>25</v>
      </c>
      <c r="F1368" s="2">
        <v>75</v>
      </c>
      <c r="G1368" t="s">
        <v>11</v>
      </c>
      <c r="H1368" s="3">
        <v>21838.44</v>
      </c>
      <c r="I1368" s="3">
        <v>603971</v>
      </c>
      <c r="J1368" s="3">
        <v>483176.8</v>
      </c>
      <c r="K1368" s="3">
        <v>98955.760000000009</v>
      </c>
      <c r="L1368" t="s">
        <v>18</v>
      </c>
      <c r="M1368">
        <v>4.5</v>
      </c>
    </row>
    <row r="1369" spans="1:13" x14ac:dyDescent="0.25">
      <c r="A1369">
        <v>1368</v>
      </c>
      <c r="B1369" s="1">
        <v>42857</v>
      </c>
      <c r="C1369" s="1">
        <v>43075</v>
      </c>
      <c r="D1369" t="s">
        <v>22</v>
      </c>
      <c r="E1369" t="s">
        <v>27</v>
      </c>
      <c r="F1369" s="2">
        <v>41</v>
      </c>
      <c r="G1369" t="s">
        <v>11</v>
      </c>
      <c r="H1369" s="3">
        <v>6501.2</v>
      </c>
      <c r="I1369" s="3">
        <v>219590</v>
      </c>
      <c r="J1369" s="3">
        <v>175672</v>
      </c>
      <c r="K1369" s="3">
        <v>37416.800000000003</v>
      </c>
      <c r="L1369" t="s">
        <v>16</v>
      </c>
      <c r="M1369">
        <v>3.6</v>
      </c>
    </row>
    <row r="1370" spans="1:13" x14ac:dyDescent="0.25">
      <c r="A1370">
        <v>1369</v>
      </c>
      <c r="B1370" s="1">
        <v>42857</v>
      </c>
      <c r="C1370" s="1">
        <v>43209</v>
      </c>
      <c r="D1370" t="s">
        <v>22</v>
      </c>
      <c r="E1370" t="s">
        <v>13</v>
      </c>
      <c r="F1370" s="2">
        <v>123</v>
      </c>
      <c r="G1370" t="s">
        <v>12</v>
      </c>
      <c r="H1370" s="3">
        <v>37951.360000000001</v>
      </c>
      <c r="I1370" s="3">
        <v>1012869</v>
      </c>
      <c r="J1370" s="3">
        <v>810295.2</v>
      </c>
      <c r="K1370" s="3">
        <v>164622.44000000006</v>
      </c>
      <c r="L1370" t="s">
        <v>16</v>
      </c>
      <c r="M1370">
        <v>4.0999999999999996</v>
      </c>
    </row>
    <row r="1371" spans="1:13" x14ac:dyDescent="0.25">
      <c r="A1371">
        <v>1370</v>
      </c>
      <c r="B1371" s="1">
        <v>42857</v>
      </c>
      <c r="C1371" s="1">
        <v>43215</v>
      </c>
      <c r="D1371" t="s">
        <v>22</v>
      </c>
      <c r="E1371" t="s">
        <v>27</v>
      </c>
      <c r="F1371" s="2">
        <v>233</v>
      </c>
      <c r="G1371" t="s">
        <v>12</v>
      </c>
      <c r="H1371" s="3">
        <v>49936</v>
      </c>
      <c r="I1371" s="3">
        <v>1307285</v>
      </c>
      <c r="J1371" s="3">
        <v>1045828</v>
      </c>
      <c r="K1371" s="3">
        <v>211521</v>
      </c>
      <c r="L1371" t="s">
        <v>19</v>
      </c>
      <c r="M1371">
        <v>4.5999999999999996</v>
      </c>
    </row>
    <row r="1372" spans="1:13" x14ac:dyDescent="0.25">
      <c r="A1372">
        <v>1371</v>
      </c>
      <c r="B1372" s="1">
        <v>42858</v>
      </c>
      <c r="C1372" s="1">
        <v>43156</v>
      </c>
      <c r="D1372" t="s">
        <v>20</v>
      </c>
      <c r="E1372" t="s">
        <v>24</v>
      </c>
      <c r="F1372" s="2">
        <v>74</v>
      </c>
      <c r="G1372" t="s">
        <v>11</v>
      </c>
      <c r="H1372" s="3">
        <v>15578.08</v>
      </c>
      <c r="I1372" s="3">
        <v>442737</v>
      </c>
      <c r="J1372" s="3">
        <v>354189.6</v>
      </c>
      <c r="K1372" s="3">
        <v>72969.320000000022</v>
      </c>
      <c r="L1372" t="s">
        <v>18</v>
      </c>
      <c r="M1372">
        <v>4.2</v>
      </c>
    </row>
    <row r="1373" spans="1:13" x14ac:dyDescent="0.25">
      <c r="A1373">
        <v>1372</v>
      </c>
      <c r="B1373" s="1">
        <v>42859</v>
      </c>
      <c r="C1373" s="1">
        <v>42979</v>
      </c>
      <c r="D1373" t="s">
        <v>23</v>
      </c>
      <c r="E1373" t="s">
        <v>24</v>
      </c>
      <c r="F1373" s="2">
        <v>281</v>
      </c>
      <c r="G1373" t="s">
        <v>12</v>
      </c>
      <c r="H1373" s="3">
        <v>104731.96</v>
      </c>
      <c r="I1373" s="3">
        <v>2670259</v>
      </c>
      <c r="J1373" s="3">
        <v>2136207.2000000002</v>
      </c>
      <c r="K1373" s="3">
        <v>429319.83999999979</v>
      </c>
      <c r="L1373" t="s">
        <v>14</v>
      </c>
      <c r="M1373">
        <v>3.8</v>
      </c>
    </row>
    <row r="1374" spans="1:13" x14ac:dyDescent="0.25">
      <c r="A1374">
        <v>1373</v>
      </c>
      <c r="B1374" s="1">
        <v>42859</v>
      </c>
      <c r="C1374" s="1">
        <v>43154</v>
      </c>
      <c r="D1374" t="s">
        <v>21</v>
      </c>
      <c r="E1374" t="s">
        <v>29</v>
      </c>
      <c r="F1374" s="2">
        <v>219</v>
      </c>
      <c r="G1374" t="s">
        <v>12</v>
      </c>
      <c r="H1374" s="3">
        <v>87410.12</v>
      </c>
      <c r="I1374" s="3">
        <v>2247813</v>
      </c>
      <c r="J1374" s="3">
        <v>1798250.4</v>
      </c>
      <c r="K1374" s="3">
        <v>362152.4800000001</v>
      </c>
      <c r="L1374" t="s">
        <v>15</v>
      </c>
      <c r="M1374">
        <v>4.3</v>
      </c>
    </row>
    <row r="1375" spans="1:13" x14ac:dyDescent="0.25">
      <c r="A1375">
        <v>1374</v>
      </c>
      <c r="B1375" s="1">
        <v>42859</v>
      </c>
      <c r="C1375" s="1">
        <v>43090</v>
      </c>
      <c r="D1375" t="s">
        <v>22</v>
      </c>
      <c r="E1375" t="s">
        <v>25</v>
      </c>
      <c r="F1375" s="2">
        <v>207</v>
      </c>
      <c r="G1375" t="s">
        <v>12</v>
      </c>
      <c r="H1375" s="3">
        <v>50893.4</v>
      </c>
      <c r="I1375" s="3">
        <v>1323695</v>
      </c>
      <c r="J1375" s="3">
        <v>1058956</v>
      </c>
      <c r="K1375" s="3">
        <v>213845.6</v>
      </c>
      <c r="L1375" t="s">
        <v>16</v>
      </c>
      <c r="M1375">
        <v>4.9000000000000004</v>
      </c>
    </row>
    <row r="1376" spans="1:13" x14ac:dyDescent="0.25">
      <c r="A1376">
        <v>1375</v>
      </c>
      <c r="B1376" s="1">
        <v>42859</v>
      </c>
      <c r="C1376" s="1">
        <v>42989</v>
      </c>
      <c r="D1376" t="s">
        <v>21</v>
      </c>
      <c r="E1376" t="s">
        <v>27</v>
      </c>
      <c r="F1376" s="2">
        <v>170</v>
      </c>
      <c r="G1376" t="s">
        <v>12</v>
      </c>
      <c r="H1376" s="3">
        <v>53396</v>
      </c>
      <c r="I1376" s="3">
        <v>1400435</v>
      </c>
      <c r="J1376" s="3">
        <v>1120348</v>
      </c>
      <c r="K1376" s="3">
        <v>226691</v>
      </c>
      <c r="L1376" t="s">
        <v>17</v>
      </c>
      <c r="M1376">
        <v>3.6</v>
      </c>
    </row>
    <row r="1377" spans="1:13" x14ac:dyDescent="0.25">
      <c r="A1377">
        <v>1376</v>
      </c>
      <c r="B1377" s="1">
        <v>42859</v>
      </c>
      <c r="C1377" s="1">
        <v>43096</v>
      </c>
      <c r="D1377" t="s">
        <v>23</v>
      </c>
      <c r="E1377" t="s">
        <v>27</v>
      </c>
      <c r="F1377" s="2">
        <v>98</v>
      </c>
      <c r="G1377" t="s">
        <v>11</v>
      </c>
      <c r="H1377" s="3">
        <v>23713.119999999999</v>
      </c>
      <c r="I1377" s="3">
        <v>645613</v>
      </c>
      <c r="J1377" s="3">
        <v>516490.4</v>
      </c>
      <c r="K1377" s="3">
        <v>105409.47999999998</v>
      </c>
      <c r="L1377" t="s">
        <v>18</v>
      </c>
      <c r="M1377">
        <v>4.5999999999999996</v>
      </c>
    </row>
    <row r="1378" spans="1:13" x14ac:dyDescent="0.25">
      <c r="A1378">
        <v>1377</v>
      </c>
      <c r="B1378" s="1">
        <v>42860</v>
      </c>
      <c r="C1378" s="1">
        <v>43014</v>
      </c>
      <c r="D1378" t="s">
        <v>22</v>
      </c>
      <c r="E1378" t="s">
        <v>27</v>
      </c>
      <c r="F1378" s="2">
        <v>125</v>
      </c>
      <c r="G1378" t="s">
        <v>12</v>
      </c>
      <c r="H1378" s="3">
        <v>32277</v>
      </c>
      <c r="I1378" s="3">
        <v>868485</v>
      </c>
      <c r="J1378" s="3">
        <v>694788</v>
      </c>
      <c r="K1378" s="3">
        <v>141420</v>
      </c>
      <c r="L1378" t="s">
        <v>19</v>
      </c>
      <c r="M1378">
        <v>4.4000000000000004</v>
      </c>
    </row>
    <row r="1379" spans="1:13" x14ac:dyDescent="0.25">
      <c r="A1379">
        <v>1378</v>
      </c>
      <c r="B1379" s="1">
        <v>42860</v>
      </c>
      <c r="C1379" s="1">
        <v>42972</v>
      </c>
      <c r="D1379" t="s">
        <v>23</v>
      </c>
      <c r="E1379" t="s">
        <v>13</v>
      </c>
      <c r="F1379" s="2">
        <v>179</v>
      </c>
      <c r="G1379" t="s">
        <v>12</v>
      </c>
      <c r="H1379" s="3">
        <v>60833.120000000003</v>
      </c>
      <c r="I1379" s="3">
        <v>1579913</v>
      </c>
      <c r="J1379" s="3">
        <v>1263930.3999999999</v>
      </c>
      <c r="K1379" s="3">
        <v>255149.4800000001</v>
      </c>
      <c r="L1379" t="s">
        <v>15</v>
      </c>
      <c r="M1379">
        <v>4.7</v>
      </c>
    </row>
    <row r="1380" spans="1:13" x14ac:dyDescent="0.25">
      <c r="A1380">
        <v>1379</v>
      </c>
      <c r="B1380" s="1">
        <v>42861</v>
      </c>
      <c r="C1380" s="1">
        <v>42964</v>
      </c>
      <c r="D1380" t="s">
        <v>21</v>
      </c>
      <c r="E1380" t="s">
        <v>25</v>
      </c>
      <c r="F1380" s="2">
        <v>116</v>
      </c>
      <c r="G1380" t="s">
        <v>12</v>
      </c>
      <c r="H1380" s="3">
        <v>39602.92</v>
      </c>
      <c r="I1380" s="3">
        <v>1050008</v>
      </c>
      <c r="J1380" s="3">
        <v>840006.4</v>
      </c>
      <c r="K1380" s="3">
        <v>170398.68</v>
      </c>
      <c r="L1380" t="s">
        <v>16</v>
      </c>
      <c r="M1380">
        <v>4.3</v>
      </c>
    </row>
    <row r="1381" spans="1:13" x14ac:dyDescent="0.25">
      <c r="A1381">
        <v>1380</v>
      </c>
      <c r="B1381" s="1">
        <v>42861</v>
      </c>
      <c r="C1381" s="1">
        <v>42960</v>
      </c>
      <c r="D1381" t="s">
        <v>22</v>
      </c>
      <c r="E1381" t="s">
        <v>27</v>
      </c>
      <c r="F1381" s="2">
        <v>186</v>
      </c>
      <c r="G1381" t="s">
        <v>12</v>
      </c>
      <c r="H1381" s="3">
        <v>37683.56</v>
      </c>
      <c r="I1381" s="3">
        <v>994949</v>
      </c>
      <c r="J1381" s="3">
        <v>795959.2</v>
      </c>
      <c r="K1381" s="3">
        <v>161306.24000000005</v>
      </c>
      <c r="L1381" t="s">
        <v>17</v>
      </c>
      <c r="M1381">
        <v>4.8</v>
      </c>
    </row>
    <row r="1382" spans="1:13" x14ac:dyDescent="0.25">
      <c r="A1382">
        <v>1381</v>
      </c>
      <c r="B1382" s="1">
        <v>42861</v>
      </c>
      <c r="C1382" s="1">
        <v>43220</v>
      </c>
      <c r="D1382" t="s">
        <v>20</v>
      </c>
      <c r="E1382" t="s">
        <v>24</v>
      </c>
      <c r="F1382" s="2">
        <v>90</v>
      </c>
      <c r="G1382" t="s">
        <v>12</v>
      </c>
      <c r="H1382" s="3">
        <v>35235.480000000003</v>
      </c>
      <c r="I1382" s="3">
        <v>938697</v>
      </c>
      <c r="J1382" s="3">
        <v>750957.6</v>
      </c>
      <c r="K1382" s="3">
        <v>152503.92000000001</v>
      </c>
      <c r="L1382" t="s">
        <v>17</v>
      </c>
      <c r="M1382">
        <v>4.5</v>
      </c>
    </row>
    <row r="1383" spans="1:13" x14ac:dyDescent="0.25">
      <c r="A1383">
        <v>1382</v>
      </c>
      <c r="B1383" s="1">
        <v>42861</v>
      </c>
      <c r="C1383" s="1">
        <v>43173</v>
      </c>
      <c r="D1383" t="s">
        <v>20</v>
      </c>
      <c r="E1383" t="s">
        <v>13</v>
      </c>
      <c r="F1383" s="2">
        <v>242</v>
      </c>
      <c r="G1383" t="s">
        <v>12</v>
      </c>
      <c r="H1383" s="3">
        <v>53236.84</v>
      </c>
      <c r="I1383" s="3">
        <v>1388581</v>
      </c>
      <c r="J1383" s="3">
        <v>1110864.8</v>
      </c>
      <c r="K1383" s="3">
        <v>224479.35999999996</v>
      </c>
      <c r="L1383" t="s">
        <v>17</v>
      </c>
      <c r="M1383">
        <v>4.5</v>
      </c>
    </row>
    <row r="1384" spans="1:13" x14ac:dyDescent="0.25">
      <c r="A1384">
        <v>1383</v>
      </c>
      <c r="B1384" s="1">
        <v>42861</v>
      </c>
      <c r="C1384" s="1">
        <v>43158</v>
      </c>
      <c r="D1384" t="s">
        <v>21</v>
      </c>
      <c r="E1384" t="s">
        <v>27</v>
      </c>
      <c r="F1384" s="2">
        <v>161</v>
      </c>
      <c r="G1384" t="s">
        <v>12</v>
      </c>
      <c r="H1384" s="3">
        <v>31470.720000000001</v>
      </c>
      <c r="I1384" s="3">
        <v>851278</v>
      </c>
      <c r="J1384" s="3">
        <v>681022.4</v>
      </c>
      <c r="K1384" s="3">
        <v>138784.87999999998</v>
      </c>
      <c r="L1384" t="s">
        <v>19</v>
      </c>
      <c r="M1384">
        <v>4.3</v>
      </c>
    </row>
    <row r="1385" spans="1:13" x14ac:dyDescent="0.25">
      <c r="A1385">
        <v>1384</v>
      </c>
      <c r="B1385" s="1">
        <v>42862</v>
      </c>
      <c r="C1385" s="1">
        <v>43211</v>
      </c>
      <c r="D1385" t="s">
        <v>22</v>
      </c>
      <c r="E1385" t="s">
        <v>28</v>
      </c>
      <c r="F1385" s="2">
        <v>98</v>
      </c>
      <c r="G1385" t="s">
        <v>11</v>
      </c>
      <c r="H1385" s="3">
        <v>24306.32</v>
      </c>
      <c r="I1385" s="3">
        <v>671068</v>
      </c>
      <c r="J1385" s="3">
        <v>536854.4</v>
      </c>
      <c r="K1385" s="3">
        <v>109907.27999999997</v>
      </c>
      <c r="L1385" t="s">
        <v>18</v>
      </c>
      <c r="M1385">
        <v>3.9</v>
      </c>
    </row>
    <row r="1386" spans="1:13" x14ac:dyDescent="0.25">
      <c r="A1386">
        <v>1385</v>
      </c>
      <c r="B1386" s="1">
        <v>42863</v>
      </c>
      <c r="C1386" s="1">
        <v>43064</v>
      </c>
      <c r="D1386" t="s">
        <v>22</v>
      </c>
      <c r="E1386" t="s">
        <v>28</v>
      </c>
      <c r="F1386" s="2">
        <v>254</v>
      </c>
      <c r="G1386" t="s">
        <v>12</v>
      </c>
      <c r="H1386" s="3">
        <v>81802.559999999998</v>
      </c>
      <c r="I1386" s="3">
        <v>2102549</v>
      </c>
      <c r="J1386" s="3">
        <v>1682039.2</v>
      </c>
      <c r="K1386" s="3">
        <v>338707.24000000005</v>
      </c>
      <c r="L1386" t="s">
        <v>18</v>
      </c>
      <c r="M1386">
        <v>3.8</v>
      </c>
    </row>
    <row r="1387" spans="1:13" x14ac:dyDescent="0.25">
      <c r="A1387">
        <v>1386</v>
      </c>
      <c r="B1387" s="1">
        <v>42863</v>
      </c>
      <c r="C1387" s="1">
        <v>43103</v>
      </c>
      <c r="D1387" t="s">
        <v>23</v>
      </c>
      <c r="E1387" t="s">
        <v>25</v>
      </c>
      <c r="F1387" s="2">
        <v>238</v>
      </c>
      <c r="G1387" t="s">
        <v>12</v>
      </c>
      <c r="H1387" s="3">
        <v>48961</v>
      </c>
      <c r="I1387" s="3">
        <v>1281085</v>
      </c>
      <c r="J1387" s="3">
        <v>1024868</v>
      </c>
      <c r="K1387" s="3">
        <v>207256</v>
      </c>
      <c r="L1387" t="s">
        <v>19</v>
      </c>
      <c r="M1387">
        <v>4.4000000000000004</v>
      </c>
    </row>
    <row r="1388" spans="1:13" x14ac:dyDescent="0.25">
      <c r="A1388">
        <v>1387</v>
      </c>
      <c r="B1388" s="1">
        <v>42863</v>
      </c>
      <c r="C1388" s="1">
        <v>43094</v>
      </c>
      <c r="D1388" t="s">
        <v>23</v>
      </c>
      <c r="E1388" t="s">
        <v>29</v>
      </c>
      <c r="F1388" s="2">
        <v>136</v>
      </c>
      <c r="G1388" t="s">
        <v>12</v>
      </c>
      <c r="H1388" s="3">
        <v>32795.199999999997</v>
      </c>
      <c r="I1388" s="3">
        <v>879665</v>
      </c>
      <c r="J1388" s="3">
        <v>703732</v>
      </c>
      <c r="K1388" s="3">
        <v>143137.79999999999</v>
      </c>
      <c r="L1388" t="s">
        <v>14</v>
      </c>
      <c r="M1388">
        <v>4.7</v>
      </c>
    </row>
    <row r="1389" spans="1:13" x14ac:dyDescent="0.25">
      <c r="A1389">
        <v>1388</v>
      </c>
      <c r="B1389" s="1">
        <v>42863</v>
      </c>
      <c r="C1389" s="1">
        <v>43041</v>
      </c>
      <c r="D1389" t="s">
        <v>21</v>
      </c>
      <c r="E1389" t="s">
        <v>29</v>
      </c>
      <c r="F1389" s="2">
        <v>264</v>
      </c>
      <c r="G1389" t="s">
        <v>12</v>
      </c>
      <c r="H1389" s="3">
        <v>90463.8</v>
      </c>
      <c r="I1389" s="3">
        <v>2325005</v>
      </c>
      <c r="J1389" s="3">
        <v>1860004</v>
      </c>
      <c r="K1389" s="3">
        <v>374537.2</v>
      </c>
      <c r="L1389" t="s">
        <v>16</v>
      </c>
      <c r="M1389">
        <v>4.9000000000000004</v>
      </c>
    </row>
    <row r="1390" spans="1:13" x14ac:dyDescent="0.25">
      <c r="A1390">
        <v>1389</v>
      </c>
      <c r="B1390" s="1">
        <v>42863</v>
      </c>
      <c r="C1390" s="1">
        <v>43185</v>
      </c>
      <c r="D1390" t="s">
        <v>22</v>
      </c>
      <c r="E1390" t="s">
        <v>25</v>
      </c>
      <c r="F1390" s="2">
        <v>198</v>
      </c>
      <c r="G1390" t="s">
        <v>12</v>
      </c>
      <c r="H1390" s="3">
        <v>75022.880000000005</v>
      </c>
      <c r="I1390" s="3">
        <v>1929257</v>
      </c>
      <c r="J1390" s="3">
        <v>1543405.6</v>
      </c>
      <c r="K1390" s="3">
        <v>310828.5199999999</v>
      </c>
      <c r="L1390" t="s">
        <v>18</v>
      </c>
      <c r="M1390">
        <v>4.8</v>
      </c>
    </row>
    <row r="1391" spans="1:13" x14ac:dyDescent="0.25">
      <c r="A1391">
        <v>1390</v>
      </c>
      <c r="B1391" s="1">
        <v>42864</v>
      </c>
      <c r="C1391" s="1">
        <v>43174</v>
      </c>
      <c r="D1391" t="s">
        <v>23</v>
      </c>
      <c r="E1391" t="s">
        <v>28</v>
      </c>
      <c r="F1391" s="2">
        <v>108</v>
      </c>
      <c r="G1391" t="s">
        <v>12</v>
      </c>
      <c r="H1391" s="3">
        <v>36270.639999999999</v>
      </c>
      <c r="I1391" s="3">
        <v>961226</v>
      </c>
      <c r="J1391" s="3">
        <v>768980.8</v>
      </c>
      <c r="K1391" s="3">
        <v>155974.55999999994</v>
      </c>
      <c r="L1391" t="s">
        <v>14</v>
      </c>
      <c r="M1391">
        <v>4.3</v>
      </c>
    </row>
    <row r="1392" spans="1:13" x14ac:dyDescent="0.25">
      <c r="A1392">
        <v>1391</v>
      </c>
      <c r="B1392" s="1">
        <v>42864</v>
      </c>
      <c r="C1392" s="1">
        <v>43193</v>
      </c>
      <c r="D1392" t="s">
        <v>21</v>
      </c>
      <c r="E1392" t="s">
        <v>24</v>
      </c>
      <c r="F1392" s="2">
        <v>157</v>
      </c>
      <c r="G1392" t="s">
        <v>12</v>
      </c>
      <c r="H1392" s="3">
        <v>31431.599999999999</v>
      </c>
      <c r="I1392" s="3">
        <v>841125</v>
      </c>
      <c r="J1392" s="3">
        <v>672900</v>
      </c>
      <c r="K1392" s="3">
        <v>136793.4</v>
      </c>
      <c r="L1392" t="s">
        <v>14</v>
      </c>
      <c r="M1392">
        <v>3.8</v>
      </c>
    </row>
    <row r="1393" spans="1:13" x14ac:dyDescent="0.25">
      <c r="A1393">
        <v>1392</v>
      </c>
      <c r="B1393" s="1">
        <v>42864</v>
      </c>
      <c r="C1393" s="1">
        <v>43074</v>
      </c>
      <c r="D1393" t="s">
        <v>21</v>
      </c>
      <c r="E1393" t="s">
        <v>26</v>
      </c>
      <c r="F1393" s="2">
        <v>229</v>
      </c>
      <c r="G1393" t="s">
        <v>12</v>
      </c>
      <c r="H1393" s="3">
        <v>41106</v>
      </c>
      <c r="I1393" s="3">
        <v>1083410</v>
      </c>
      <c r="J1393" s="3">
        <v>866728</v>
      </c>
      <c r="K1393" s="3">
        <v>175576</v>
      </c>
      <c r="L1393" t="s">
        <v>14</v>
      </c>
      <c r="M1393">
        <v>5</v>
      </c>
    </row>
    <row r="1394" spans="1:13" x14ac:dyDescent="0.25">
      <c r="A1394">
        <v>1393</v>
      </c>
      <c r="B1394" s="1">
        <v>42864</v>
      </c>
      <c r="C1394" s="1">
        <v>43041</v>
      </c>
      <c r="D1394" t="s">
        <v>20</v>
      </c>
      <c r="E1394" t="s">
        <v>13</v>
      </c>
      <c r="F1394" s="2">
        <v>41</v>
      </c>
      <c r="G1394" t="s">
        <v>11</v>
      </c>
      <c r="H1394" s="3">
        <v>11392.24</v>
      </c>
      <c r="I1394" s="3">
        <v>342241</v>
      </c>
      <c r="J1394" s="3">
        <v>273792.8</v>
      </c>
      <c r="K1394" s="3">
        <v>57055.960000000014</v>
      </c>
      <c r="L1394" t="s">
        <v>14</v>
      </c>
      <c r="M1394">
        <v>4</v>
      </c>
    </row>
    <row r="1395" spans="1:13" x14ac:dyDescent="0.25">
      <c r="A1395">
        <v>1394</v>
      </c>
      <c r="B1395" s="1">
        <v>42864</v>
      </c>
      <c r="C1395" s="1">
        <v>43163</v>
      </c>
      <c r="D1395" t="s">
        <v>20</v>
      </c>
      <c r="E1395" t="s">
        <v>28</v>
      </c>
      <c r="F1395" s="2">
        <v>249</v>
      </c>
      <c r="G1395" t="s">
        <v>12</v>
      </c>
      <c r="H1395" s="3">
        <v>79568.36</v>
      </c>
      <c r="I1395" s="3">
        <v>2048419</v>
      </c>
      <c r="J1395" s="3">
        <v>1638735.2</v>
      </c>
      <c r="K1395" s="3">
        <v>330115.44000000006</v>
      </c>
      <c r="L1395" t="s">
        <v>17</v>
      </c>
      <c r="M1395">
        <v>4.8</v>
      </c>
    </row>
    <row r="1396" spans="1:13" x14ac:dyDescent="0.25">
      <c r="A1396">
        <v>1395</v>
      </c>
      <c r="B1396" s="1">
        <v>42865</v>
      </c>
      <c r="C1396" s="1">
        <v>42999</v>
      </c>
      <c r="D1396" t="s">
        <v>20</v>
      </c>
      <c r="E1396" t="s">
        <v>28</v>
      </c>
      <c r="F1396" s="2">
        <v>247</v>
      </c>
      <c r="G1396" t="s">
        <v>12</v>
      </c>
      <c r="H1396" s="3">
        <v>75995.56</v>
      </c>
      <c r="I1396" s="3">
        <v>1959749</v>
      </c>
      <c r="J1396" s="3">
        <v>1567799.2</v>
      </c>
      <c r="K1396" s="3">
        <v>315954.24000000005</v>
      </c>
      <c r="L1396" t="s">
        <v>14</v>
      </c>
      <c r="M1396">
        <v>4.0999999999999996</v>
      </c>
    </row>
    <row r="1397" spans="1:13" x14ac:dyDescent="0.25">
      <c r="A1397">
        <v>1396</v>
      </c>
      <c r="B1397" s="1">
        <v>42865</v>
      </c>
      <c r="C1397" s="1">
        <v>43220</v>
      </c>
      <c r="D1397" t="s">
        <v>20</v>
      </c>
      <c r="E1397" t="s">
        <v>27</v>
      </c>
      <c r="F1397" s="2">
        <v>286</v>
      </c>
      <c r="G1397" t="s">
        <v>12</v>
      </c>
      <c r="H1397" s="3">
        <v>46365.08</v>
      </c>
      <c r="I1397" s="3">
        <v>1213537</v>
      </c>
      <c r="J1397" s="3">
        <v>970829.6</v>
      </c>
      <c r="K1397" s="3">
        <v>196342.32</v>
      </c>
      <c r="L1397" t="s">
        <v>17</v>
      </c>
      <c r="M1397">
        <v>4.7</v>
      </c>
    </row>
    <row r="1398" spans="1:13" x14ac:dyDescent="0.25">
      <c r="A1398">
        <v>1397</v>
      </c>
      <c r="B1398" s="1">
        <v>42865</v>
      </c>
      <c r="C1398" s="1">
        <v>42959</v>
      </c>
      <c r="D1398" t="s">
        <v>20</v>
      </c>
      <c r="E1398" t="s">
        <v>27</v>
      </c>
      <c r="F1398" s="2">
        <v>217</v>
      </c>
      <c r="G1398" t="s">
        <v>12</v>
      </c>
      <c r="H1398" s="3">
        <v>64340.68</v>
      </c>
      <c r="I1398" s="3">
        <v>1659702</v>
      </c>
      <c r="J1398" s="3">
        <v>1327761.6000000001</v>
      </c>
      <c r="K1398" s="3">
        <v>267599.71999999991</v>
      </c>
      <c r="L1398" t="s">
        <v>19</v>
      </c>
      <c r="M1398">
        <v>3.9</v>
      </c>
    </row>
    <row r="1399" spans="1:13" x14ac:dyDescent="0.25">
      <c r="A1399">
        <v>1398</v>
      </c>
      <c r="B1399" s="1">
        <v>42865</v>
      </c>
      <c r="C1399" s="1">
        <v>43199</v>
      </c>
      <c r="D1399" t="s">
        <v>23</v>
      </c>
      <c r="E1399" t="s">
        <v>13</v>
      </c>
      <c r="F1399" s="2">
        <v>103</v>
      </c>
      <c r="G1399" t="s">
        <v>12</v>
      </c>
      <c r="H1399" s="3">
        <v>35038.559999999998</v>
      </c>
      <c r="I1399" s="3">
        <v>935499</v>
      </c>
      <c r="J1399" s="3">
        <v>748399.2</v>
      </c>
      <c r="K1399" s="3">
        <v>152061.24000000005</v>
      </c>
      <c r="L1399" t="s">
        <v>18</v>
      </c>
      <c r="M1399">
        <v>4.3</v>
      </c>
    </row>
    <row r="1400" spans="1:13" x14ac:dyDescent="0.25">
      <c r="A1400">
        <v>1399</v>
      </c>
      <c r="B1400" s="1">
        <v>42866</v>
      </c>
      <c r="C1400" s="1">
        <v>43073</v>
      </c>
      <c r="D1400" t="s">
        <v>23</v>
      </c>
      <c r="E1400" t="s">
        <v>27</v>
      </c>
      <c r="F1400" s="2">
        <v>162</v>
      </c>
      <c r="G1400" t="s">
        <v>12</v>
      </c>
      <c r="H1400" s="3">
        <v>31277.72</v>
      </c>
      <c r="I1400" s="3">
        <v>841253</v>
      </c>
      <c r="J1400" s="3">
        <v>673002.4</v>
      </c>
      <c r="K1400" s="3">
        <v>136972.87999999998</v>
      </c>
      <c r="L1400" t="s">
        <v>18</v>
      </c>
      <c r="M1400">
        <v>4.0999999999999996</v>
      </c>
    </row>
    <row r="1401" spans="1:13" x14ac:dyDescent="0.25">
      <c r="A1401">
        <v>1400</v>
      </c>
      <c r="B1401" s="1">
        <v>42868</v>
      </c>
      <c r="C1401" s="1">
        <v>43049</v>
      </c>
      <c r="D1401" t="s">
        <v>22</v>
      </c>
      <c r="E1401" t="s">
        <v>27</v>
      </c>
      <c r="F1401" s="2">
        <v>187</v>
      </c>
      <c r="G1401" t="s">
        <v>12</v>
      </c>
      <c r="H1401" s="3">
        <v>65633</v>
      </c>
      <c r="I1401" s="3">
        <v>1706585</v>
      </c>
      <c r="J1401" s="3">
        <v>1365268</v>
      </c>
      <c r="K1401" s="3">
        <v>275684</v>
      </c>
      <c r="L1401" t="s">
        <v>18</v>
      </c>
      <c r="M1401">
        <v>4.4000000000000004</v>
      </c>
    </row>
    <row r="1402" spans="1:13" x14ac:dyDescent="0.25">
      <c r="A1402">
        <v>1401</v>
      </c>
      <c r="B1402" s="1">
        <v>42868</v>
      </c>
      <c r="C1402" s="1">
        <v>43203</v>
      </c>
      <c r="D1402" t="s">
        <v>22</v>
      </c>
      <c r="E1402" t="s">
        <v>26</v>
      </c>
      <c r="F1402" s="2">
        <v>275</v>
      </c>
      <c r="G1402" t="s">
        <v>12</v>
      </c>
      <c r="H1402" s="3">
        <v>92964</v>
      </c>
      <c r="I1402" s="3">
        <v>2385685</v>
      </c>
      <c r="J1402" s="3">
        <v>1908548</v>
      </c>
      <c r="K1402" s="3">
        <v>384173</v>
      </c>
      <c r="L1402" t="s">
        <v>15</v>
      </c>
      <c r="M1402">
        <v>4.0999999999999996</v>
      </c>
    </row>
    <row r="1403" spans="1:13" x14ac:dyDescent="0.25">
      <c r="A1403">
        <v>1402</v>
      </c>
      <c r="B1403" s="1">
        <v>42868</v>
      </c>
      <c r="C1403" s="1">
        <v>43159</v>
      </c>
      <c r="D1403" t="s">
        <v>20</v>
      </c>
      <c r="E1403" t="s">
        <v>13</v>
      </c>
      <c r="F1403" s="2">
        <v>151</v>
      </c>
      <c r="G1403" t="s">
        <v>12</v>
      </c>
      <c r="H1403" s="3">
        <v>44471</v>
      </c>
      <c r="I1403" s="3">
        <v>1169535</v>
      </c>
      <c r="J1403" s="3">
        <v>935628</v>
      </c>
      <c r="K1403" s="3">
        <v>189436</v>
      </c>
      <c r="L1403" t="s">
        <v>15</v>
      </c>
      <c r="M1403">
        <v>4.0999999999999996</v>
      </c>
    </row>
    <row r="1404" spans="1:13" x14ac:dyDescent="0.25">
      <c r="A1404">
        <v>1403</v>
      </c>
      <c r="B1404" s="1">
        <v>42869</v>
      </c>
      <c r="C1404" s="1">
        <v>42998</v>
      </c>
      <c r="D1404" t="s">
        <v>20</v>
      </c>
      <c r="E1404" t="s">
        <v>24</v>
      </c>
      <c r="F1404" s="2">
        <v>250</v>
      </c>
      <c r="G1404" t="s">
        <v>12</v>
      </c>
      <c r="H1404" s="3">
        <v>95713.88</v>
      </c>
      <c r="I1404" s="3">
        <v>2454057</v>
      </c>
      <c r="J1404" s="3">
        <v>1963245.6</v>
      </c>
      <c r="K1404" s="3">
        <v>395097.5199999999</v>
      </c>
      <c r="L1404" t="s">
        <v>18</v>
      </c>
      <c r="M1404">
        <v>3.6</v>
      </c>
    </row>
    <row r="1405" spans="1:13" x14ac:dyDescent="0.25">
      <c r="A1405">
        <v>1404</v>
      </c>
      <c r="B1405" s="1">
        <v>42870</v>
      </c>
      <c r="C1405" s="1">
        <v>42992</v>
      </c>
      <c r="D1405" t="s">
        <v>20</v>
      </c>
      <c r="E1405" t="s">
        <v>29</v>
      </c>
      <c r="F1405" s="2">
        <v>184</v>
      </c>
      <c r="G1405" t="s">
        <v>12</v>
      </c>
      <c r="H1405" s="3">
        <v>57425.120000000003</v>
      </c>
      <c r="I1405" s="3">
        <v>1489913</v>
      </c>
      <c r="J1405" s="3">
        <v>1191930.3999999999</v>
      </c>
      <c r="K1405" s="3">
        <v>240557.4800000001</v>
      </c>
      <c r="L1405" t="s">
        <v>16</v>
      </c>
      <c r="M1405">
        <v>4.2</v>
      </c>
    </row>
    <row r="1406" spans="1:13" x14ac:dyDescent="0.25">
      <c r="A1406">
        <v>1405</v>
      </c>
      <c r="B1406" s="1">
        <v>42870</v>
      </c>
      <c r="C1406" s="1">
        <v>43077</v>
      </c>
      <c r="D1406" t="s">
        <v>22</v>
      </c>
      <c r="E1406" t="s">
        <v>29</v>
      </c>
      <c r="F1406" s="2">
        <v>67</v>
      </c>
      <c r="G1406" t="s">
        <v>11</v>
      </c>
      <c r="H1406" s="3">
        <v>18793.64</v>
      </c>
      <c r="I1406" s="3">
        <v>529651</v>
      </c>
      <c r="J1406" s="3">
        <v>423720.8</v>
      </c>
      <c r="K1406" s="3">
        <v>87136.560000000012</v>
      </c>
      <c r="L1406" t="s">
        <v>16</v>
      </c>
      <c r="M1406">
        <v>4.5999999999999996</v>
      </c>
    </row>
    <row r="1407" spans="1:13" x14ac:dyDescent="0.25">
      <c r="A1407">
        <v>1406</v>
      </c>
      <c r="B1407" s="1">
        <v>42870</v>
      </c>
      <c r="C1407" s="1">
        <v>43036</v>
      </c>
      <c r="D1407" t="s">
        <v>20</v>
      </c>
      <c r="E1407" t="s">
        <v>29</v>
      </c>
      <c r="F1407" s="2">
        <v>157</v>
      </c>
      <c r="G1407" t="s">
        <v>12</v>
      </c>
      <c r="H1407" s="3">
        <v>60590.879999999997</v>
      </c>
      <c r="I1407" s="3">
        <v>1567707</v>
      </c>
      <c r="J1407" s="3">
        <v>1254165.6000000001</v>
      </c>
      <c r="K1407" s="3">
        <v>252950.5199999999</v>
      </c>
      <c r="L1407" t="s">
        <v>16</v>
      </c>
      <c r="M1407">
        <v>3.7</v>
      </c>
    </row>
    <row r="1408" spans="1:13" x14ac:dyDescent="0.25">
      <c r="A1408">
        <v>1407</v>
      </c>
      <c r="B1408" s="1">
        <v>42871</v>
      </c>
      <c r="C1408" s="1">
        <v>43075</v>
      </c>
      <c r="D1408" t="s">
        <v>22</v>
      </c>
      <c r="E1408" t="s">
        <v>25</v>
      </c>
      <c r="F1408" s="2">
        <v>230</v>
      </c>
      <c r="G1408" t="s">
        <v>12</v>
      </c>
      <c r="H1408" s="3">
        <v>73339</v>
      </c>
      <c r="I1408" s="3">
        <v>1900485</v>
      </c>
      <c r="J1408" s="3">
        <v>1520388</v>
      </c>
      <c r="K1408" s="3">
        <v>306758</v>
      </c>
      <c r="L1408" t="s">
        <v>19</v>
      </c>
      <c r="M1408">
        <v>4.8</v>
      </c>
    </row>
    <row r="1409" spans="1:13" x14ac:dyDescent="0.25">
      <c r="A1409">
        <v>1408</v>
      </c>
      <c r="B1409" s="1">
        <v>42871</v>
      </c>
      <c r="C1409" s="1">
        <v>43054</v>
      </c>
      <c r="D1409" t="s">
        <v>22</v>
      </c>
      <c r="E1409" t="s">
        <v>29</v>
      </c>
      <c r="F1409" s="2">
        <v>182</v>
      </c>
      <c r="G1409" t="s">
        <v>12</v>
      </c>
      <c r="H1409" s="3">
        <v>54134.2</v>
      </c>
      <c r="I1409" s="3">
        <v>1420840</v>
      </c>
      <c r="J1409" s="3">
        <v>1136672</v>
      </c>
      <c r="K1409" s="3">
        <v>230033.8</v>
      </c>
      <c r="L1409" t="s">
        <v>19</v>
      </c>
      <c r="M1409">
        <v>5</v>
      </c>
    </row>
    <row r="1410" spans="1:13" x14ac:dyDescent="0.25">
      <c r="A1410">
        <v>1409</v>
      </c>
      <c r="B1410" s="1">
        <v>42871</v>
      </c>
      <c r="C1410" s="1">
        <v>42994</v>
      </c>
      <c r="D1410" t="s">
        <v>21</v>
      </c>
      <c r="E1410" t="s">
        <v>29</v>
      </c>
      <c r="F1410" s="2">
        <v>202</v>
      </c>
      <c r="G1410" t="s">
        <v>12</v>
      </c>
      <c r="H1410" s="3">
        <v>68356.84</v>
      </c>
      <c r="I1410" s="3">
        <v>1770181</v>
      </c>
      <c r="J1410" s="3">
        <v>1416144.8</v>
      </c>
      <c r="K1410" s="3">
        <v>285679.35999999999</v>
      </c>
      <c r="L1410" t="s">
        <v>15</v>
      </c>
      <c r="M1410">
        <v>3.8</v>
      </c>
    </row>
    <row r="1411" spans="1:13" x14ac:dyDescent="0.25">
      <c r="A1411">
        <v>1410</v>
      </c>
      <c r="B1411" s="1">
        <v>42873</v>
      </c>
      <c r="C1411" s="1">
        <v>43198</v>
      </c>
      <c r="D1411" t="s">
        <v>22</v>
      </c>
      <c r="E1411" t="s">
        <v>28</v>
      </c>
      <c r="F1411" s="2">
        <v>73</v>
      </c>
      <c r="G1411" t="s">
        <v>11</v>
      </c>
      <c r="H1411" s="3">
        <v>25303</v>
      </c>
      <c r="I1411" s="3">
        <v>698485</v>
      </c>
      <c r="J1411" s="3">
        <v>558788</v>
      </c>
      <c r="K1411" s="3">
        <v>114394</v>
      </c>
      <c r="L1411" t="s">
        <v>14</v>
      </c>
      <c r="M1411">
        <v>4.5999999999999996</v>
      </c>
    </row>
    <row r="1412" spans="1:13" x14ac:dyDescent="0.25">
      <c r="A1412">
        <v>1411</v>
      </c>
      <c r="B1412" s="1">
        <v>42873</v>
      </c>
      <c r="C1412" s="1">
        <v>42986</v>
      </c>
      <c r="D1412" t="s">
        <v>23</v>
      </c>
      <c r="E1412" t="s">
        <v>25</v>
      </c>
      <c r="F1412" s="2">
        <v>116</v>
      </c>
      <c r="G1412" t="s">
        <v>12</v>
      </c>
      <c r="H1412" s="3">
        <v>38913.24</v>
      </c>
      <c r="I1412" s="3">
        <v>1035966</v>
      </c>
      <c r="J1412" s="3">
        <v>828772.8</v>
      </c>
      <c r="K1412" s="3">
        <v>168279.95999999996</v>
      </c>
      <c r="L1412" t="s">
        <v>18</v>
      </c>
      <c r="M1412">
        <v>4.7</v>
      </c>
    </row>
    <row r="1413" spans="1:13" x14ac:dyDescent="0.25">
      <c r="A1413">
        <v>1412</v>
      </c>
      <c r="B1413" s="1">
        <v>42873</v>
      </c>
      <c r="C1413" s="1">
        <v>43155</v>
      </c>
      <c r="D1413" t="s">
        <v>22</v>
      </c>
      <c r="E1413" t="s">
        <v>24</v>
      </c>
      <c r="F1413" s="2">
        <v>229</v>
      </c>
      <c r="G1413" t="s">
        <v>12</v>
      </c>
      <c r="H1413" s="3">
        <v>84102.68</v>
      </c>
      <c r="I1413" s="3">
        <v>2156552</v>
      </c>
      <c r="J1413" s="3">
        <v>1725241.6</v>
      </c>
      <c r="K1413" s="3">
        <v>347207.71999999991</v>
      </c>
      <c r="L1413" t="s">
        <v>17</v>
      </c>
      <c r="M1413">
        <v>4.3</v>
      </c>
    </row>
    <row r="1414" spans="1:13" x14ac:dyDescent="0.25">
      <c r="A1414">
        <v>1413</v>
      </c>
      <c r="B1414" s="1">
        <v>42873</v>
      </c>
      <c r="C1414" s="1">
        <v>43020</v>
      </c>
      <c r="D1414" t="s">
        <v>23</v>
      </c>
      <c r="E1414" t="s">
        <v>29</v>
      </c>
      <c r="F1414" s="2">
        <v>153</v>
      </c>
      <c r="G1414" t="s">
        <v>11</v>
      </c>
      <c r="H1414" s="3">
        <v>29030.92</v>
      </c>
      <c r="I1414" s="3">
        <v>779333</v>
      </c>
      <c r="J1414" s="3">
        <v>623466.4</v>
      </c>
      <c r="K1414" s="3">
        <v>126835.67999999998</v>
      </c>
      <c r="L1414" t="s">
        <v>16</v>
      </c>
      <c r="M1414">
        <v>5</v>
      </c>
    </row>
    <row r="1415" spans="1:13" x14ac:dyDescent="0.25">
      <c r="A1415">
        <v>1414</v>
      </c>
      <c r="B1415" s="1">
        <v>42876</v>
      </c>
      <c r="C1415" s="1">
        <v>43048</v>
      </c>
      <c r="D1415" t="s">
        <v>20</v>
      </c>
      <c r="E1415" t="s">
        <v>13</v>
      </c>
      <c r="F1415" s="2">
        <v>206</v>
      </c>
      <c r="G1415" t="s">
        <v>12</v>
      </c>
      <c r="H1415" s="3">
        <v>47231.64</v>
      </c>
      <c r="I1415" s="3">
        <v>1243251</v>
      </c>
      <c r="J1415" s="3">
        <v>994600.8</v>
      </c>
      <c r="K1415" s="3">
        <v>201418.55999999994</v>
      </c>
      <c r="L1415" t="s">
        <v>16</v>
      </c>
      <c r="M1415">
        <v>5</v>
      </c>
    </row>
    <row r="1416" spans="1:13" x14ac:dyDescent="0.25">
      <c r="A1416">
        <v>1415</v>
      </c>
      <c r="B1416" s="1">
        <v>42876</v>
      </c>
      <c r="C1416" s="1">
        <v>42992</v>
      </c>
      <c r="D1416" t="s">
        <v>21</v>
      </c>
      <c r="E1416" t="s">
        <v>24</v>
      </c>
      <c r="F1416" s="2">
        <v>173</v>
      </c>
      <c r="G1416" t="s">
        <v>12</v>
      </c>
      <c r="H1416" s="3">
        <v>35057.760000000002</v>
      </c>
      <c r="I1416" s="3">
        <v>933454</v>
      </c>
      <c r="J1416" s="3">
        <v>746763.2</v>
      </c>
      <c r="K1416" s="3">
        <v>151633.04000000004</v>
      </c>
      <c r="L1416" t="s">
        <v>14</v>
      </c>
      <c r="M1416">
        <v>4.9000000000000004</v>
      </c>
    </row>
    <row r="1417" spans="1:13" x14ac:dyDescent="0.25">
      <c r="A1417">
        <v>1416</v>
      </c>
      <c r="B1417" s="1">
        <v>42876</v>
      </c>
      <c r="C1417" s="1">
        <v>43240</v>
      </c>
      <c r="D1417" t="s">
        <v>20</v>
      </c>
      <c r="E1417" t="s">
        <v>27</v>
      </c>
      <c r="F1417" s="2">
        <v>92</v>
      </c>
      <c r="G1417" t="s">
        <v>12</v>
      </c>
      <c r="H1417" s="3">
        <v>32384.76</v>
      </c>
      <c r="I1417" s="3">
        <v>870879</v>
      </c>
      <c r="J1417" s="3">
        <v>696703.2</v>
      </c>
      <c r="K1417" s="3">
        <v>141791.04000000004</v>
      </c>
      <c r="L1417" t="s">
        <v>17</v>
      </c>
      <c r="M1417">
        <v>3.7</v>
      </c>
    </row>
    <row r="1418" spans="1:13" x14ac:dyDescent="0.25">
      <c r="A1418">
        <v>1417</v>
      </c>
      <c r="B1418" s="1">
        <v>42876</v>
      </c>
      <c r="C1418" s="1">
        <v>43031</v>
      </c>
      <c r="D1418" t="s">
        <v>23</v>
      </c>
      <c r="E1418" t="s">
        <v>27</v>
      </c>
      <c r="F1418" s="2">
        <v>259</v>
      </c>
      <c r="G1418" t="s">
        <v>12</v>
      </c>
      <c r="H1418" s="3">
        <v>44502.64</v>
      </c>
      <c r="I1418" s="3">
        <v>1174351</v>
      </c>
      <c r="J1418" s="3">
        <v>939480.8</v>
      </c>
      <c r="K1418" s="3">
        <v>190367.55999999994</v>
      </c>
      <c r="L1418" t="s">
        <v>16</v>
      </c>
      <c r="M1418">
        <v>4.2</v>
      </c>
    </row>
    <row r="1419" spans="1:13" x14ac:dyDescent="0.25">
      <c r="A1419">
        <v>1418</v>
      </c>
      <c r="B1419" s="1">
        <v>42876</v>
      </c>
      <c r="C1419" s="1">
        <v>42993</v>
      </c>
      <c r="D1419" t="s">
        <v>22</v>
      </c>
      <c r="E1419" t="s">
        <v>26</v>
      </c>
      <c r="F1419" s="2">
        <v>82</v>
      </c>
      <c r="G1419" t="s">
        <v>11</v>
      </c>
      <c r="H1419" s="3">
        <v>19671.84</v>
      </c>
      <c r="I1419" s="3">
        <v>557006</v>
      </c>
      <c r="J1419" s="3">
        <v>445604.8</v>
      </c>
      <c r="K1419" s="3">
        <v>91729.360000000015</v>
      </c>
      <c r="L1419" t="s">
        <v>14</v>
      </c>
      <c r="M1419">
        <v>4.2</v>
      </c>
    </row>
    <row r="1420" spans="1:13" x14ac:dyDescent="0.25">
      <c r="A1420">
        <v>1419</v>
      </c>
      <c r="B1420" s="1">
        <v>42876</v>
      </c>
      <c r="C1420" s="1">
        <v>43180</v>
      </c>
      <c r="D1420" t="s">
        <v>20</v>
      </c>
      <c r="E1420" t="s">
        <v>29</v>
      </c>
      <c r="F1420" s="2">
        <v>241</v>
      </c>
      <c r="G1420" t="s">
        <v>12</v>
      </c>
      <c r="H1420" s="3">
        <v>51036.04</v>
      </c>
      <c r="I1420" s="3">
        <v>1336761</v>
      </c>
      <c r="J1420" s="3">
        <v>1069408.8</v>
      </c>
      <c r="K1420" s="3">
        <v>216316.15999999995</v>
      </c>
      <c r="L1420" t="s">
        <v>16</v>
      </c>
      <c r="M1420">
        <v>3.9</v>
      </c>
    </row>
    <row r="1421" spans="1:13" x14ac:dyDescent="0.25">
      <c r="A1421">
        <v>1420</v>
      </c>
      <c r="B1421" s="1">
        <v>42876</v>
      </c>
      <c r="C1421" s="1">
        <v>42980</v>
      </c>
      <c r="D1421" t="s">
        <v>21</v>
      </c>
      <c r="E1421" t="s">
        <v>26</v>
      </c>
      <c r="F1421" s="2">
        <v>165</v>
      </c>
      <c r="G1421" t="s">
        <v>12</v>
      </c>
      <c r="H1421" s="3">
        <v>40480.839999999997</v>
      </c>
      <c r="I1421" s="3">
        <v>1077356</v>
      </c>
      <c r="J1421" s="3">
        <v>861884.8</v>
      </c>
      <c r="K1421" s="3">
        <v>174990.35999999996</v>
      </c>
      <c r="L1421" t="s">
        <v>15</v>
      </c>
      <c r="M1421">
        <v>4.3</v>
      </c>
    </row>
    <row r="1422" spans="1:13" x14ac:dyDescent="0.25">
      <c r="A1422">
        <v>1421</v>
      </c>
      <c r="B1422" s="1">
        <v>42877</v>
      </c>
      <c r="C1422" s="1">
        <v>42980</v>
      </c>
      <c r="D1422" t="s">
        <v>21</v>
      </c>
      <c r="E1422" t="s">
        <v>24</v>
      </c>
      <c r="F1422" s="2">
        <v>189</v>
      </c>
      <c r="G1422" t="s">
        <v>12</v>
      </c>
      <c r="H1422" s="3">
        <v>62283.24</v>
      </c>
      <c r="I1422" s="3">
        <v>1621341</v>
      </c>
      <c r="J1422" s="3">
        <v>1297072.8</v>
      </c>
      <c r="K1422" s="3">
        <v>261984.95999999996</v>
      </c>
      <c r="L1422" t="s">
        <v>16</v>
      </c>
      <c r="M1422">
        <v>4.8</v>
      </c>
    </row>
    <row r="1423" spans="1:13" x14ac:dyDescent="0.25">
      <c r="A1423">
        <v>1422</v>
      </c>
      <c r="B1423" s="1">
        <v>42877</v>
      </c>
      <c r="C1423" s="1">
        <v>43179</v>
      </c>
      <c r="D1423" t="s">
        <v>23</v>
      </c>
      <c r="E1423" t="s">
        <v>26</v>
      </c>
      <c r="F1423" s="2">
        <v>276</v>
      </c>
      <c r="G1423" t="s">
        <v>12</v>
      </c>
      <c r="H1423" s="3">
        <v>44130.2</v>
      </c>
      <c r="I1423" s="3">
        <v>1168715</v>
      </c>
      <c r="J1423" s="3">
        <v>934972</v>
      </c>
      <c r="K1423" s="3">
        <v>189612.79999999999</v>
      </c>
      <c r="L1423" t="s">
        <v>15</v>
      </c>
      <c r="M1423">
        <v>4</v>
      </c>
    </row>
    <row r="1424" spans="1:13" x14ac:dyDescent="0.25">
      <c r="A1424">
        <v>1423</v>
      </c>
      <c r="B1424" s="1">
        <v>42878</v>
      </c>
      <c r="C1424" s="1">
        <v>43043</v>
      </c>
      <c r="D1424" t="s">
        <v>20</v>
      </c>
      <c r="E1424" t="s">
        <v>29</v>
      </c>
      <c r="F1424" s="2">
        <v>277</v>
      </c>
      <c r="G1424" t="s">
        <v>12</v>
      </c>
      <c r="H1424" s="3">
        <v>48835</v>
      </c>
      <c r="I1424" s="3">
        <v>1276885</v>
      </c>
      <c r="J1424" s="3">
        <v>1021508</v>
      </c>
      <c r="K1424" s="3">
        <v>206542</v>
      </c>
      <c r="L1424" t="s">
        <v>17</v>
      </c>
      <c r="M1424">
        <v>4.8</v>
      </c>
    </row>
    <row r="1425" spans="1:13" x14ac:dyDescent="0.25">
      <c r="A1425">
        <v>1424</v>
      </c>
      <c r="B1425" s="1">
        <v>42878</v>
      </c>
      <c r="C1425" s="1">
        <v>42995</v>
      </c>
      <c r="D1425" t="s">
        <v>21</v>
      </c>
      <c r="E1425" t="s">
        <v>29</v>
      </c>
      <c r="F1425" s="2">
        <v>179</v>
      </c>
      <c r="G1425" t="s">
        <v>12</v>
      </c>
      <c r="H1425" s="3">
        <v>62254.400000000001</v>
      </c>
      <c r="I1425" s="3">
        <v>1620270</v>
      </c>
      <c r="J1425" s="3">
        <v>1296216</v>
      </c>
      <c r="K1425" s="3">
        <v>261799.6</v>
      </c>
      <c r="L1425" t="s">
        <v>19</v>
      </c>
      <c r="M1425">
        <v>4.3</v>
      </c>
    </row>
    <row r="1426" spans="1:13" x14ac:dyDescent="0.25">
      <c r="A1426">
        <v>1425</v>
      </c>
      <c r="B1426" s="1">
        <v>42878</v>
      </c>
      <c r="C1426" s="1">
        <v>43172</v>
      </c>
      <c r="D1426" t="s">
        <v>21</v>
      </c>
      <c r="E1426" t="s">
        <v>29</v>
      </c>
      <c r="F1426" s="2">
        <v>56</v>
      </c>
      <c r="G1426" t="s">
        <v>11</v>
      </c>
      <c r="H1426" s="3">
        <v>20016.36</v>
      </c>
      <c r="I1426" s="3">
        <v>552644</v>
      </c>
      <c r="J1426" s="3">
        <v>442115.2</v>
      </c>
      <c r="K1426" s="3">
        <v>90512.439999999988</v>
      </c>
      <c r="L1426" t="s">
        <v>19</v>
      </c>
      <c r="M1426">
        <v>4.3</v>
      </c>
    </row>
    <row r="1427" spans="1:13" x14ac:dyDescent="0.25">
      <c r="A1427">
        <v>1426</v>
      </c>
      <c r="B1427" s="1">
        <v>42879</v>
      </c>
      <c r="C1427" s="1">
        <v>42993</v>
      </c>
      <c r="D1427" t="s">
        <v>20</v>
      </c>
      <c r="E1427" t="s">
        <v>24</v>
      </c>
      <c r="F1427" s="2">
        <v>82</v>
      </c>
      <c r="G1427" t="s">
        <v>11</v>
      </c>
      <c r="H1427" s="3">
        <v>17459.400000000001</v>
      </c>
      <c r="I1427" s="3">
        <v>503895</v>
      </c>
      <c r="J1427" s="3">
        <v>403116</v>
      </c>
      <c r="K1427" s="3">
        <v>83319.600000000006</v>
      </c>
      <c r="L1427" t="s">
        <v>17</v>
      </c>
      <c r="M1427">
        <v>4.8</v>
      </c>
    </row>
    <row r="1428" spans="1:13" x14ac:dyDescent="0.25">
      <c r="A1428">
        <v>1427</v>
      </c>
      <c r="B1428" s="1">
        <v>42879</v>
      </c>
      <c r="C1428" s="1">
        <v>42995</v>
      </c>
      <c r="D1428" t="s">
        <v>21</v>
      </c>
      <c r="E1428" t="s">
        <v>29</v>
      </c>
      <c r="F1428" s="2">
        <v>217</v>
      </c>
      <c r="G1428" t="s">
        <v>12</v>
      </c>
      <c r="H1428" s="3">
        <v>88216.56</v>
      </c>
      <c r="I1428" s="3">
        <v>2264924</v>
      </c>
      <c r="J1428" s="3">
        <v>1811939.2</v>
      </c>
      <c r="K1428" s="3">
        <v>364768.24000000005</v>
      </c>
      <c r="L1428" t="s">
        <v>14</v>
      </c>
      <c r="M1428">
        <v>4.7</v>
      </c>
    </row>
    <row r="1429" spans="1:13" x14ac:dyDescent="0.25">
      <c r="A1429">
        <v>1428</v>
      </c>
      <c r="B1429" s="1">
        <v>42879</v>
      </c>
      <c r="C1429" s="1">
        <v>43010</v>
      </c>
      <c r="D1429" t="s">
        <v>21</v>
      </c>
      <c r="E1429" t="s">
        <v>13</v>
      </c>
      <c r="F1429" s="2">
        <v>192</v>
      </c>
      <c r="G1429" t="s">
        <v>12</v>
      </c>
      <c r="H1429" s="3">
        <v>60759.4</v>
      </c>
      <c r="I1429" s="3">
        <v>1575620</v>
      </c>
      <c r="J1429" s="3">
        <v>1260496</v>
      </c>
      <c r="K1429" s="3">
        <v>254364.6</v>
      </c>
      <c r="L1429" t="s">
        <v>19</v>
      </c>
      <c r="M1429">
        <v>4.0999999999999996</v>
      </c>
    </row>
    <row r="1430" spans="1:13" x14ac:dyDescent="0.25">
      <c r="A1430">
        <v>1429</v>
      </c>
      <c r="B1430" s="1">
        <v>42880</v>
      </c>
      <c r="C1430" s="1">
        <v>43162</v>
      </c>
      <c r="D1430" t="s">
        <v>21</v>
      </c>
      <c r="E1430" t="s">
        <v>24</v>
      </c>
      <c r="F1430" s="2">
        <v>196</v>
      </c>
      <c r="G1430" t="s">
        <v>12</v>
      </c>
      <c r="H1430" s="3">
        <v>41222</v>
      </c>
      <c r="I1430" s="3">
        <v>1083285</v>
      </c>
      <c r="J1430" s="3">
        <v>866628</v>
      </c>
      <c r="K1430" s="3">
        <v>175435</v>
      </c>
      <c r="L1430" t="s">
        <v>18</v>
      </c>
      <c r="M1430">
        <v>4.0999999999999996</v>
      </c>
    </row>
    <row r="1431" spans="1:13" x14ac:dyDescent="0.25">
      <c r="A1431">
        <v>1430</v>
      </c>
      <c r="B1431" s="1">
        <v>42880</v>
      </c>
      <c r="C1431" s="1">
        <v>43109</v>
      </c>
      <c r="D1431" t="s">
        <v>22</v>
      </c>
      <c r="E1431" t="s">
        <v>26</v>
      </c>
      <c r="F1431" s="2">
        <v>60</v>
      </c>
      <c r="G1431" t="s">
        <v>11</v>
      </c>
      <c r="H1431" s="3">
        <v>15493.2</v>
      </c>
      <c r="I1431" s="3">
        <v>452915</v>
      </c>
      <c r="J1431" s="3">
        <v>362332</v>
      </c>
      <c r="K1431" s="3">
        <v>75089.8</v>
      </c>
      <c r="L1431" t="s">
        <v>15</v>
      </c>
      <c r="M1431">
        <v>3.9</v>
      </c>
    </row>
    <row r="1432" spans="1:13" x14ac:dyDescent="0.25">
      <c r="A1432">
        <v>1431</v>
      </c>
      <c r="B1432" s="1">
        <v>42880</v>
      </c>
      <c r="C1432" s="1">
        <v>43205</v>
      </c>
      <c r="D1432" t="s">
        <v>20</v>
      </c>
      <c r="E1432" t="s">
        <v>24</v>
      </c>
      <c r="F1432" s="2">
        <v>205</v>
      </c>
      <c r="G1432" t="s">
        <v>12</v>
      </c>
      <c r="H1432" s="3">
        <v>70498.12</v>
      </c>
      <c r="I1432" s="3">
        <v>1828613</v>
      </c>
      <c r="J1432" s="3">
        <v>1462890.4</v>
      </c>
      <c r="K1432" s="3">
        <v>295224.4800000001</v>
      </c>
      <c r="L1432" t="s">
        <v>17</v>
      </c>
      <c r="M1432">
        <v>4.3</v>
      </c>
    </row>
    <row r="1433" spans="1:13" x14ac:dyDescent="0.25">
      <c r="A1433">
        <v>1432</v>
      </c>
      <c r="B1433" s="1">
        <v>42880</v>
      </c>
      <c r="C1433" s="1">
        <v>42970</v>
      </c>
      <c r="D1433" t="s">
        <v>23</v>
      </c>
      <c r="E1433" t="s">
        <v>24</v>
      </c>
      <c r="F1433" s="2">
        <v>51</v>
      </c>
      <c r="G1433" t="s">
        <v>11</v>
      </c>
      <c r="H1433" s="3">
        <v>9964.52</v>
      </c>
      <c r="I1433" s="3">
        <v>300923</v>
      </c>
      <c r="J1433" s="3">
        <v>240738.4</v>
      </c>
      <c r="K1433" s="3">
        <v>50220.08</v>
      </c>
      <c r="L1433" t="s">
        <v>16</v>
      </c>
      <c r="M1433">
        <v>4.4000000000000004</v>
      </c>
    </row>
    <row r="1434" spans="1:13" x14ac:dyDescent="0.25">
      <c r="A1434">
        <v>1433</v>
      </c>
      <c r="B1434" s="1">
        <v>42881</v>
      </c>
      <c r="C1434" s="1">
        <v>43180</v>
      </c>
      <c r="D1434" t="s">
        <v>20</v>
      </c>
      <c r="E1434" t="s">
        <v>27</v>
      </c>
      <c r="F1434" s="2">
        <v>270</v>
      </c>
      <c r="G1434" t="s">
        <v>12</v>
      </c>
      <c r="H1434" s="3">
        <v>63776.92</v>
      </c>
      <c r="I1434" s="3">
        <v>1647458</v>
      </c>
      <c r="J1434" s="3">
        <v>1317966.3999999999</v>
      </c>
      <c r="K1434" s="3">
        <v>265714.68000000011</v>
      </c>
      <c r="L1434" t="s">
        <v>15</v>
      </c>
      <c r="M1434">
        <v>4.4000000000000004</v>
      </c>
    </row>
    <row r="1435" spans="1:13" x14ac:dyDescent="0.25">
      <c r="A1435">
        <v>1434</v>
      </c>
      <c r="B1435" s="1">
        <v>42882</v>
      </c>
      <c r="C1435" s="1">
        <v>43099</v>
      </c>
      <c r="D1435" t="s">
        <v>21</v>
      </c>
      <c r="E1435" t="s">
        <v>26</v>
      </c>
      <c r="F1435" s="2">
        <v>130</v>
      </c>
      <c r="G1435" t="s">
        <v>11</v>
      </c>
      <c r="H1435" s="3">
        <v>21726.36</v>
      </c>
      <c r="I1435" s="3">
        <v>609469</v>
      </c>
      <c r="J1435" s="3">
        <v>487575.2</v>
      </c>
      <c r="K1435" s="3">
        <v>100167.43999999999</v>
      </c>
      <c r="L1435" t="s">
        <v>17</v>
      </c>
      <c r="M1435">
        <v>3.7</v>
      </c>
    </row>
    <row r="1436" spans="1:13" x14ac:dyDescent="0.25">
      <c r="A1436">
        <v>1435</v>
      </c>
      <c r="B1436" s="1">
        <v>42882</v>
      </c>
      <c r="C1436" s="1">
        <v>43069</v>
      </c>
      <c r="D1436" t="s">
        <v>20</v>
      </c>
      <c r="E1436" t="s">
        <v>13</v>
      </c>
      <c r="F1436" s="2">
        <v>73</v>
      </c>
      <c r="G1436" t="s">
        <v>11</v>
      </c>
      <c r="H1436" s="3">
        <v>21054</v>
      </c>
      <c r="I1436" s="3">
        <v>584485</v>
      </c>
      <c r="J1436" s="3">
        <v>467588</v>
      </c>
      <c r="K1436" s="3">
        <v>95843</v>
      </c>
      <c r="L1436" t="s">
        <v>16</v>
      </c>
      <c r="M1436">
        <v>4.3</v>
      </c>
    </row>
    <row r="1437" spans="1:13" x14ac:dyDescent="0.25">
      <c r="A1437">
        <v>1436</v>
      </c>
      <c r="B1437" s="1">
        <v>42882</v>
      </c>
      <c r="C1437" s="1">
        <v>43047</v>
      </c>
      <c r="D1437" t="s">
        <v>23</v>
      </c>
      <c r="E1437" t="s">
        <v>27</v>
      </c>
      <c r="F1437" s="2">
        <v>169</v>
      </c>
      <c r="G1437" t="s">
        <v>12</v>
      </c>
      <c r="H1437" s="3">
        <v>56510</v>
      </c>
      <c r="I1437" s="3">
        <v>1464835</v>
      </c>
      <c r="J1437" s="3">
        <v>1171868</v>
      </c>
      <c r="K1437" s="3">
        <v>236457</v>
      </c>
      <c r="L1437" t="s">
        <v>17</v>
      </c>
      <c r="M1437">
        <v>4.9000000000000004</v>
      </c>
    </row>
    <row r="1438" spans="1:13" x14ac:dyDescent="0.25">
      <c r="A1438">
        <v>1437</v>
      </c>
      <c r="B1438" s="1">
        <v>42882</v>
      </c>
      <c r="C1438" s="1">
        <v>43181</v>
      </c>
      <c r="D1438" t="s">
        <v>22</v>
      </c>
      <c r="E1438" t="s">
        <v>27</v>
      </c>
      <c r="F1438" s="2">
        <v>254</v>
      </c>
      <c r="G1438" t="s">
        <v>12</v>
      </c>
      <c r="H1438" s="3">
        <v>56630.559999999998</v>
      </c>
      <c r="I1438" s="3">
        <v>1471724</v>
      </c>
      <c r="J1438" s="3">
        <v>1177379.2</v>
      </c>
      <c r="K1438" s="3">
        <v>237714.24000000005</v>
      </c>
      <c r="L1438" t="s">
        <v>16</v>
      </c>
      <c r="M1438">
        <v>4.9000000000000004</v>
      </c>
    </row>
    <row r="1439" spans="1:13" x14ac:dyDescent="0.25">
      <c r="A1439">
        <v>1438</v>
      </c>
      <c r="B1439" s="1">
        <v>42883</v>
      </c>
      <c r="C1439" s="1">
        <v>43141</v>
      </c>
      <c r="D1439" t="s">
        <v>23</v>
      </c>
      <c r="E1439" t="s">
        <v>27</v>
      </c>
      <c r="F1439" s="2">
        <v>105</v>
      </c>
      <c r="G1439" t="s">
        <v>12</v>
      </c>
      <c r="H1439" s="3">
        <v>39135.040000000001</v>
      </c>
      <c r="I1439" s="3">
        <v>1037861</v>
      </c>
      <c r="J1439" s="3">
        <v>830288.8</v>
      </c>
      <c r="K1439" s="3">
        <v>168437.15999999995</v>
      </c>
      <c r="L1439" t="s">
        <v>14</v>
      </c>
      <c r="M1439">
        <v>4.8</v>
      </c>
    </row>
    <row r="1440" spans="1:13" x14ac:dyDescent="0.25">
      <c r="A1440">
        <v>1439</v>
      </c>
      <c r="B1440" s="1">
        <v>42883</v>
      </c>
      <c r="C1440" s="1">
        <v>43038</v>
      </c>
      <c r="D1440" t="s">
        <v>20</v>
      </c>
      <c r="E1440" t="s">
        <v>29</v>
      </c>
      <c r="F1440" s="2">
        <v>229</v>
      </c>
      <c r="G1440" t="s">
        <v>12</v>
      </c>
      <c r="H1440" s="3">
        <v>51295.56</v>
      </c>
      <c r="I1440" s="3">
        <v>1343149</v>
      </c>
      <c r="J1440" s="3">
        <v>1074519.2</v>
      </c>
      <c r="K1440" s="3">
        <v>217334.24000000005</v>
      </c>
      <c r="L1440" t="s">
        <v>19</v>
      </c>
      <c r="M1440">
        <v>3.9</v>
      </c>
    </row>
    <row r="1441" spans="1:13" x14ac:dyDescent="0.25">
      <c r="A1441">
        <v>1440</v>
      </c>
      <c r="B1441" s="1">
        <v>42883</v>
      </c>
      <c r="C1441" s="1">
        <v>43039</v>
      </c>
      <c r="D1441" t="s">
        <v>21</v>
      </c>
      <c r="E1441" t="s">
        <v>26</v>
      </c>
      <c r="F1441" s="2">
        <v>252</v>
      </c>
      <c r="G1441" t="s">
        <v>12</v>
      </c>
      <c r="H1441" s="3">
        <v>59039.199999999997</v>
      </c>
      <c r="I1441" s="3">
        <v>1541240</v>
      </c>
      <c r="J1441" s="3">
        <v>1232992</v>
      </c>
      <c r="K1441" s="3">
        <v>249208.8</v>
      </c>
      <c r="L1441" t="s">
        <v>19</v>
      </c>
      <c r="M1441">
        <v>3.7</v>
      </c>
    </row>
    <row r="1442" spans="1:13" x14ac:dyDescent="0.25">
      <c r="A1442">
        <v>1441</v>
      </c>
      <c r="B1442" s="1">
        <v>42884</v>
      </c>
      <c r="C1442" s="1">
        <v>43114</v>
      </c>
      <c r="D1442" t="s">
        <v>23</v>
      </c>
      <c r="E1442" t="s">
        <v>27</v>
      </c>
      <c r="F1442" s="2">
        <v>242</v>
      </c>
      <c r="G1442" t="s">
        <v>12</v>
      </c>
      <c r="H1442" s="3">
        <v>83533.039999999994</v>
      </c>
      <c r="I1442" s="3">
        <v>2152736</v>
      </c>
      <c r="J1442" s="3">
        <v>1722188.8</v>
      </c>
      <c r="K1442" s="3">
        <v>347014.16</v>
      </c>
      <c r="L1442" t="s">
        <v>14</v>
      </c>
      <c r="M1442">
        <v>5</v>
      </c>
    </row>
    <row r="1443" spans="1:13" x14ac:dyDescent="0.25">
      <c r="A1443">
        <v>1442</v>
      </c>
      <c r="B1443" s="1">
        <v>42884</v>
      </c>
      <c r="C1443" s="1">
        <v>43228</v>
      </c>
      <c r="D1443" t="s">
        <v>22</v>
      </c>
      <c r="E1443" t="s">
        <v>13</v>
      </c>
      <c r="F1443" s="2">
        <v>154</v>
      </c>
      <c r="G1443" t="s">
        <v>12</v>
      </c>
      <c r="H1443" s="3">
        <v>59093.8</v>
      </c>
      <c r="I1443" s="3">
        <v>1532805</v>
      </c>
      <c r="J1443" s="3">
        <v>1226244</v>
      </c>
      <c r="K1443" s="3">
        <v>247467.2</v>
      </c>
      <c r="L1443" t="s">
        <v>18</v>
      </c>
      <c r="M1443">
        <v>4.8</v>
      </c>
    </row>
    <row r="1444" spans="1:13" x14ac:dyDescent="0.25">
      <c r="A1444">
        <v>1443</v>
      </c>
      <c r="B1444" s="1">
        <v>42884</v>
      </c>
      <c r="C1444" s="1">
        <v>43146</v>
      </c>
      <c r="D1444" t="s">
        <v>21</v>
      </c>
      <c r="E1444" t="s">
        <v>29</v>
      </c>
      <c r="F1444" s="2">
        <v>70</v>
      </c>
      <c r="G1444" t="s">
        <v>11</v>
      </c>
      <c r="H1444" s="3">
        <v>25787.279999999999</v>
      </c>
      <c r="I1444" s="3">
        <v>708742</v>
      </c>
      <c r="J1444" s="3">
        <v>566993.6</v>
      </c>
      <c r="K1444" s="3">
        <v>115961.12000000002</v>
      </c>
      <c r="L1444" t="s">
        <v>19</v>
      </c>
      <c r="M1444">
        <v>3.6</v>
      </c>
    </row>
    <row r="1445" spans="1:13" x14ac:dyDescent="0.25">
      <c r="A1445">
        <v>1444</v>
      </c>
      <c r="B1445" s="1">
        <v>42884</v>
      </c>
      <c r="C1445" s="1">
        <v>43121</v>
      </c>
      <c r="D1445" t="s">
        <v>21</v>
      </c>
      <c r="E1445" t="s">
        <v>26</v>
      </c>
      <c r="F1445" s="2">
        <v>200</v>
      </c>
      <c r="G1445" t="s">
        <v>12</v>
      </c>
      <c r="H1445" s="3">
        <v>37125.68</v>
      </c>
      <c r="I1445" s="3">
        <v>994877</v>
      </c>
      <c r="J1445" s="3">
        <v>795901.6</v>
      </c>
      <c r="K1445" s="3">
        <v>161849.72000000003</v>
      </c>
      <c r="L1445" t="s">
        <v>16</v>
      </c>
      <c r="M1445">
        <v>4.2</v>
      </c>
    </row>
    <row r="1446" spans="1:13" x14ac:dyDescent="0.25">
      <c r="A1446">
        <v>1445</v>
      </c>
      <c r="B1446" s="1">
        <v>42884</v>
      </c>
      <c r="C1446" s="1">
        <v>43126</v>
      </c>
      <c r="D1446" t="s">
        <v>21</v>
      </c>
      <c r="E1446" t="s">
        <v>28</v>
      </c>
      <c r="F1446" s="2">
        <v>130</v>
      </c>
      <c r="G1446" t="s">
        <v>11</v>
      </c>
      <c r="H1446" s="3">
        <v>22402.48</v>
      </c>
      <c r="I1446" s="3">
        <v>622297</v>
      </c>
      <c r="J1446" s="3">
        <v>497837.6</v>
      </c>
      <c r="K1446" s="3">
        <v>102056.92000000003</v>
      </c>
      <c r="L1446" t="s">
        <v>19</v>
      </c>
      <c r="M1446">
        <v>4.8</v>
      </c>
    </row>
    <row r="1447" spans="1:13" x14ac:dyDescent="0.25">
      <c r="A1447">
        <v>1446</v>
      </c>
      <c r="B1447" s="1">
        <v>42885</v>
      </c>
      <c r="C1447" s="1">
        <v>43102</v>
      </c>
      <c r="D1447" t="s">
        <v>22</v>
      </c>
      <c r="E1447" t="s">
        <v>27</v>
      </c>
      <c r="F1447" s="2">
        <v>50</v>
      </c>
      <c r="G1447" t="s">
        <v>11</v>
      </c>
      <c r="H1447" s="3">
        <v>18221.52</v>
      </c>
      <c r="I1447" s="3">
        <v>507473</v>
      </c>
      <c r="J1447" s="3">
        <v>405978.4</v>
      </c>
      <c r="K1447" s="3">
        <v>83273.079999999973</v>
      </c>
      <c r="L1447" t="s">
        <v>18</v>
      </c>
      <c r="M1447">
        <v>5</v>
      </c>
    </row>
    <row r="1448" spans="1:13" x14ac:dyDescent="0.25">
      <c r="A1448">
        <v>1447</v>
      </c>
      <c r="B1448" s="1">
        <v>42886</v>
      </c>
      <c r="C1448" s="1">
        <v>43038</v>
      </c>
      <c r="D1448" t="s">
        <v>20</v>
      </c>
      <c r="E1448" t="s">
        <v>24</v>
      </c>
      <c r="F1448" s="2">
        <v>91</v>
      </c>
      <c r="G1448" t="s">
        <v>11</v>
      </c>
      <c r="H1448" s="3">
        <v>21871.88</v>
      </c>
      <c r="I1448" s="3">
        <v>603557</v>
      </c>
      <c r="J1448" s="3">
        <v>482845.6</v>
      </c>
      <c r="K1448" s="3">
        <v>98839.520000000019</v>
      </c>
      <c r="L1448" t="s">
        <v>17</v>
      </c>
      <c r="M1448">
        <v>4.4000000000000004</v>
      </c>
    </row>
    <row r="1449" spans="1:13" x14ac:dyDescent="0.25">
      <c r="A1449">
        <v>1448</v>
      </c>
      <c r="B1449" s="1">
        <v>42886</v>
      </c>
      <c r="C1449" s="1">
        <v>43204</v>
      </c>
      <c r="D1449" t="s">
        <v>23</v>
      </c>
      <c r="E1449" t="s">
        <v>27</v>
      </c>
      <c r="F1449" s="2">
        <v>185</v>
      </c>
      <c r="G1449" t="s">
        <v>12</v>
      </c>
      <c r="H1449" s="3">
        <v>62165.48</v>
      </c>
      <c r="I1449" s="3">
        <v>1615497</v>
      </c>
      <c r="J1449" s="3">
        <v>1292397.6000000001</v>
      </c>
      <c r="K1449" s="3">
        <v>260933.9199999999</v>
      </c>
      <c r="L1449" t="s">
        <v>18</v>
      </c>
      <c r="M1449">
        <v>5</v>
      </c>
    </row>
    <row r="1450" spans="1:13" x14ac:dyDescent="0.25">
      <c r="A1450">
        <v>1449</v>
      </c>
      <c r="B1450" s="1">
        <v>42887</v>
      </c>
      <c r="C1450" s="1">
        <v>43103</v>
      </c>
      <c r="D1450" t="s">
        <v>21</v>
      </c>
      <c r="E1450" t="s">
        <v>13</v>
      </c>
      <c r="F1450" s="2">
        <v>80</v>
      </c>
      <c r="G1450" t="s">
        <v>11</v>
      </c>
      <c r="H1450" s="3">
        <v>27316.6</v>
      </c>
      <c r="I1450" s="3">
        <v>743175</v>
      </c>
      <c r="J1450" s="3">
        <v>594540</v>
      </c>
      <c r="K1450" s="3">
        <v>121318.39999999999</v>
      </c>
      <c r="L1450" t="s">
        <v>16</v>
      </c>
      <c r="M1450">
        <v>5</v>
      </c>
    </row>
    <row r="1451" spans="1:13" x14ac:dyDescent="0.25">
      <c r="A1451">
        <v>1450</v>
      </c>
      <c r="B1451" s="1">
        <v>42887</v>
      </c>
      <c r="C1451" s="1">
        <v>42978</v>
      </c>
      <c r="D1451" t="s">
        <v>23</v>
      </c>
      <c r="E1451" t="s">
        <v>28</v>
      </c>
      <c r="F1451" s="2">
        <v>66</v>
      </c>
      <c r="G1451" t="s">
        <v>11</v>
      </c>
      <c r="H1451" s="3">
        <v>19132.919999999998</v>
      </c>
      <c r="I1451" s="3">
        <v>536183</v>
      </c>
      <c r="J1451" s="3">
        <v>428946.4</v>
      </c>
      <c r="K1451" s="3">
        <v>88103.679999999978</v>
      </c>
      <c r="L1451" t="s">
        <v>15</v>
      </c>
      <c r="M1451">
        <v>3.7</v>
      </c>
    </row>
    <row r="1452" spans="1:13" x14ac:dyDescent="0.25">
      <c r="A1452">
        <v>1451</v>
      </c>
      <c r="B1452" s="1">
        <v>42888</v>
      </c>
      <c r="C1452" s="1">
        <v>43238</v>
      </c>
      <c r="D1452" t="s">
        <v>21</v>
      </c>
      <c r="E1452" t="s">
        <v>26</v>
      </c>
      <c r="F1452" s="2">
        <v>264</v>
      </c>
      <c r="G1452" t="s">
        <v>12</v>
      </c>
      <c r="H1452" s="3">
        <v>70384.399999999994</v>
      </c>
      <c r="I1452" s="3">
        <v>1815920</v>
      </c>
      <c r="J1452" s="3">
        <v>1452736</v>
      </c>
      <c r="K1452" s="3">
        <v>292799.59999999998</v>
      </c>
      <c r="L1452" t="s">
        <v>17</v>
      </c>
      <c r="M1452">
        <v>4.7</v>
      </c>
    </row>
    <row r="1453" spans="1:13" x14ac:dyDescent="0.25">
      <c r="A1453">
        <v>1452</v>
      </c>
      <c r="B1453" s="1">
        <v>42889</v>
      </c>
      <c r="C1453" s="1">
        <v>43030</v>
      </c>
      <c r="D1453" t="s">
        <v>20</v>
      </c>
      <c r="E1453" t="s">
        <v>26</v>
      </c>
      <c r="F1453" s="2">
        <v>67</v>
      </c>
      <c r="G1453" t="s">
        <v>11</v>
      </c>
      <c r="H1453" s="3">
        <v>17430</v>
      </c>
      <c r="I1453" s="3">
        <v>491485</v>
      </c>
      <c r="J1453" s="3">
        <v>393188</v>
      </c>
      <c r="K1453" s="3">
        <v>80867</v>
      </c>
      <c r="L1453" t="s">
        <v>15</v>
      </c>
      <c r="M1453">
        <v>4.0999999999999996</v>
      </c>
    </row>
    <row r="1454" spans="1:13" x14ac:dyDescent="0.25">
      <c r="A1454">
        <v>1453</v>
      </c>
      <c r="B1454" s="1">
        <v>42890</v>
      </c>
      <c r="C1454" s="1">
        <v>43184</v>
      </c>
      <c r="D1454" t="s">
        <v>23</v>
      </c>
      <c r="E1454" t="s">
        <v>29</v>
      </c>
      <c r="F1454" s="2">
        <v>254</v>
      </c>
      <c r="G1454" t="s">
        <v>12</v>
      </c>
      <c r="H1454" s="3">
        <v>66288.44</v>
      </c>
      <c r="I1454" s="3">
        <v>1724321</v>
      </c>
      <c r="J1454" s="3">
        <v>1379456.8</v>
      </c>
      <c r="K1454" s="3">
        <v>278575.75999999995</v>
      </c>
      <c r="L1454" t="s">
        <v>18</v>
      </c>
      <c r="M1454">
        <v>4.7</v>
      </c>
    </row>
    <row r="1455" spans="1:13" x14ac:dyDescent="0.25">
      <c r="A1455">
        <v>1454</v>
      </c>
      <c r="B1455" s="1">
        <v>42890</v>
      </c>
      <c r="C1455" s="1">
        <v>43113</v>
      </c>
      <c r="D1455" t="s">
        <v>20</v>
      </c>
      <c r="E1455" t="s">
        <v>13</v>
      </c>
      <c r="F1455" s="2">
        <v>187</v>
      </c>
      <c r="G1455" t="s">
        <v>12</v>
      </c>
      <c r="H1455" s="3">
        <v>63576.959999999999</v>
      </c>
      <c r="I1455" s="3">
        <v>1641859</v>
      </c>
      <c r="J1455" s="3">
        <v>1313487.2</v>
      </c>
      <c r="K1455" s="3">
        <v>264794.84000000003</v>
      </c>
      <c r="L1455" t="s">
        <v>16</v>
      </c>
      <c r="M1455">
        <v>4</v>
      </c>
    </row>
    <row r="1456" spans="1:13" x14ac:dyDescent="0.25">
      <c r="A1456">
        <v>1455</v>
      </c>
      <c r="B1456" s="1">
        <v>42890</v>
      </c>
      <c r="C1456" s="1">
        <v>43131</v>
      </c>
      <c r="D1456" t="s">
        <v>20</v>
      </c>
      <c r="E1456" t="s">
        <v>28</v>
      </c>
      <c r="F1456" s="2">
        <v>178</v>
      </c>
      <c r="G1456" t="s">
        <v>12</v>
      </c>
      <c r="H1456" s="3">
        <v>41282.959999999999</v>
      </c>
      <c r="I1456" s="3">
        <v>1084259</v>
      </c>
      <c r="J1456" s="3">
        <v>867407.2</v>
      </c>
      <c r="K1456" s="3">
        <v>175568.84000000005</v>
      </c>
      <c r="L1456" t="s">
        <v>17</v>
      </c>
      <c r="M1456">
        <v>4.4000000000000004</v>
      </c>
    </row>
    <row r="1457" spans="1:13" x14ac:dyDescent="0.25">
      <c r="A1457">
        <v>1456</v>
      </c>
      <c r="B1457" s="1">
        <v>42891</v>
      </c>
      <c r="C1457" s="1">
        <v>43214</v>
      </c>
      <c r="D1457" t="s">
        <v>23</v>
      </c>
      <c r="E1457" t="s">
        <v>13</v>
      </c>
      <c r="F1457" s="2">
        <v>217</v>
      </c>
      <c r="G1457" t="s">
        <v>12</v>
      </c>
      <c r="H1457" s="3">
        <v>86777.08</v>
      </c>
      <c r="I1457" s="3">
        <v>2227237</v>
      </c>
      <c r="J1457" s="3">
        <v>1781789.6</v>
      </c>
      <c r="K1457" s="3">
        <v>358670.31999999989</v>
      </c>
      <c r="L1457" t="s">
        <v>16</v>
      </c>
      <c r="M1457">
        <v>4.3</v>
      </c>
    </row>
    <row r="1458" spans="1:13" x14ac:dyDescent="0.25">
      <c r="A1458">
        <v>1457</v>
      </c>
      <c r="B1458" s="1">
        <v>42891</v>
      </c>
      <c r="C1458" s="1">
        <v>43176</v>
      </c>
      <c r="D1458" t="s">
        <v>23</v>
      </c>
      <c r="E1458" t="s">
        <v>25</v>
      </c>
      <c r="F1458" s="2">
        <v>89</v>
      </c>
      <c r="G1458" t="s">
        <v>11</v>
      </c>
      <c r="H1458" s="3">
        <v>18674.240000000002</v>
      </c>
      <c r="I1458" s="3">
        <v>533291</v>
      </c>
      <c r="J1458" s="3">
        <v>426632.8</v>
      </c>
      <c r="K1458" s="3">
        <v>87983.96</v>
      </c>
      <c r="L1458" t="s">
        <v>16</v>
      </c>
      <c r="M1458">
        <v>4.3</v>
      </c>
    </row>
    <row r="1459" spans="1:13" x14ac:dyDescent="0.25">
      <c r="A1459">
        <v>1458</v>
      </c>
      <c r="B1459" s="1">
        <v>42891</v>
      </c>
      <c r="C1459" s="1">
        <v>43058</v>
      </c>
      <c r="D1459" t="s">
        <v>23</v>
      </c>
      <c r="E1459" t="s">
        <v>27</v>
      </c>
      <c r="F1459" s="2">
        <v>273</v>
      </c>
      <c r="G1459" t="s">
        <v>12</v>
      </c>
      <c r="H1459" s="3">
        <v>66594.399999999994</v>
      </c>
      <c r="I1459" s="3">
        <v>1727570</v>
      </c>
      <c r="J1459" s="3">
        <v>1382056</v>
      </c>
      <c r="K1459" s="3">
        <v>278919.59999999998</v>
      </c>
      <c r="L1459" t="s">
        <v>15</v>
      </c>
      <c r="M1459">
        <v>5</v>
      </c>
    </row>
    <row r="1460" spans="1:13" x14ac:dyDescent="0.25">
      <c r="A1460">
        <v>1459</v>
      </c>
      <c r="B1460" s="1">
        <v>42891</v>
      </c>
      <c r="C1460" s="1">
        <v>42997</v>
      </c>
      <c r="D1460" t="s">
        <v>22</v>
      </c>
      <c r="E1460" t="s">
        <v>24</v>
      </c>
      <c r="F1460" s="2">
        <v>72</v>
      </c>
      <c r="G1460" t="s">
        <v>11</v>
      </c>
      <c r="H1460" s="3">
        <v>17071.28</v>
      </c>
      <c r="I1460" s="3">
        <v>493017</v>
      </c>
      <c r="J1460" s="3">
        <v>394413.6</v>
      </c>
      <c r="K1460" s="3">
        <v>81532.120000000024</v>
      </c>
      <c r="L1460" t="s">
        <v>16</v>
      </c>
      <c r="M1460">
        <v>4.0999999999999996</v>
      </c>
    </row>
    <row r="1461" spans="1:13" x14ac:dyDescent="0.25">
      <c r="A1461">
        <v>1460</v>
      </c>
      <c r="B1461" s="1">
        <v>42892</v>
      </c>
      <c r="C1461" s="1">
        <v>43111</v>
      </c>
      <c r="D1461" t="s">
        <v>23</v>
      </c>
      <c r="E1461" t="s">
        <v>26</v>
      </c>
      <c r="F1461" s="2">
        <v>223</v>
      </c>
      <c r="G1461" t="s">
        <v>12</v>
      </c>
      <c r="H1461" s="3">
        <v>40825.08</v>
      </c>
      <c r="I1461" s="3">
        <v>1075937</v>
      </c>
      <c r="J1461" s="3">
        <v>860749.6</v>
      </c>
      <c r="K1461" s="3">
        <v>174362.32</v>
      </c>
      <c r="L1461" t="s">
        <v>14</v>
      </c>
      <c r="M1461">
        <v>4.5</v>
      </c>
    </row>
    <row r="1462" spans="1:13" x14ac:dyDescent="0.25">
      <c r="A1462">
        <v>1461</v>
      </c>
      <c r="B1462" s="1">
        <v>42892</v>
      </c>
      <c r="C1462" s="1">
        <v>43087</v>
      </c>
      <c r="D1462" t="s">
        <v>20</v>
      </c>
      <c r="E1462" t="s">
        <v>24</v>
      </c>
      <c r="F1462" s="2">
        <v>122</v>
      </c>
      <c r="G1462" t="s">
        <v>11</v>
      </c>
      <c r="H1462" s="3">
        <v>21549.4</v>
      </c>
      <c r="I1462" s="3">
        <v>599570</v>
      </c>
      <c r="J1462" s="3">
        <v>479656</v>
      </c>
      <c r="K1462" s="3">
        <v>98364.6</v>
      </c>
      <c r="L1462" t="s">
        <v>17</v>
      </c>
      <c r="M1462">
        <v>4.3</v>
      </c>
    </row>
    <row r="1463" spans="1:13" x14ac:dyDescent="0.25">
      <c r="A1463">
        <v>1462</v>
      </c>
      <c r="B1463" s="1">
        <v>42892</v>
      </c>
      <c r="C1463" s="1">
        <v>43006</v>
      </c>
      <c r="D1463" t="s">
        <v>22</v>
      </c>
      <c r="E1463" t="s">
        <v>25</v>
      </c>
      <c r="F1463" s="2">
        <v>76</v>
      </c>
      <c r="G1463" t="s">
        <v>11</v>
      </c>
      <c r="H1463" s="3">
        <v>17709.599999999999</v>
      </c>
      <c r="I1463" s="3">
        <v>507925</v>
      </c>
      <c r="J1463" s="3">
        <v>406340</v>
      </c>
      <c r="K1463" s="3">
        <v>83875.399999999994</v>
      </c>
      <c r="L1463" t="s">
        <v>19</v>
      </c>
      <c r="M1463">
        <v>4.4000000000000004</v>
      </c>
    </row>
    <row r="1464" spans="1:13" x14ac:dyDescent="0.25">
      <c r="A1464">
        <v>1463</v>
      </c>
      <c r="B1464" s="1">
        <v>42893</v>
      </c>
      <c r="C1464" s="1">
        <v>43038</v>
      </c>
      <c r="D1464" t="s">
        <v>20</v>
      </c>
      <c r="E1464" t="s">
        <v>27</v>
      </c>
      <c r="F1464" s="2">
        <v>170</v>
      </c>
      <c r="G1464" t="s">
        <v>12</v>
      </c>
      <c r="H1464" s="3">
        <v>62573.36</v>
      </c>
      <c r="I1464" s="3">
        <v>1628069</v>
      </c>
      <c r="J1464" s="3">
        <v>1302455.2</v>
      </c>
      <c r="K1464" s="3">
        <v>263040.44000000006</v>
      </c>
      <c r="L1464" t="s">
        <v>16</v>
      </c>
      <c r="M1464">
        <v>4.2</v>
      </c>
    </row>
    <row r="1465" spans="1:13" x14ac:dyDescent="0.25">
      <c r="A1465">
        <v>1464</v>
      </c>
      <c r="B1465" s="1">
        <v>42893</v>
      </c>
      <c r="C1465" s="1">
        <v>43065</v>
      </c>
      <c r="D1465" t="s">
        <v>20</v>
      </c>
      <c r="E1465" t="s">
        <v>27</v>
      </c>
      <c r="F1465" s="2">
        <v>176</v>
      </c>
      <c r="G1465" t="s">
        <v>12</v>
      </c>
      <c r="H1465" s="3">
        <v>54810.28</v>
      </c>
      <c r="I1465" s="3">
        <v>1429642</v>
      </c>
      <c r="J1465" s="3">
        <v>1143713.6000000001</v>
      </c>
      <c r="K1465" s="3">
        <v>231118.11999999991</v>
      </c>
      <c r="L1465" t="s">
        <v>19</v>
      </c>
      <c r="M1465">
        <v>4.4000000000000004</v>
      </c>
    </row>
    <row r="1466" spans="1:13" x14ac:dyDescent="0.25">
      <c r="A1466">
        <v>1465</v>
      </c>
      <c r="B1466" s="1">
        <v>42894</v>
      </c>
      <c r="C1466" s="1">
        <v>43200</v>
      </c>
      <c r="D1466" t="s">
        <v>22</v>
      </c>
      <c r="E1466" t="s">
        <v>28</v>
      </c>
      <c r="F1466" s="2">
        <v>58</v>
      </c>
      <c r="G1466" t="s">
        <v>11</v>
      </c>
      <c r="H1466" s="3">
        <v>20391.16</v>
      </c>
      <c r="I1466" s="3">
        <v>561939</v>
      </c>
      <c r="J1466" s="3">
        <v>449551.2</v>
      </c>
      <c r="K1466" s="3">
        <v>91996.639999999985</v>
      </c>
      <c r="L1466" t="s">
        <v>19</v>
      </c>
      <c r="M1466">
        <v>4.5999999999999996</v>
      </c>
    </row>
    <row r="1467" spans="1:13" x14ac:dyDescent="0.25">
      <c r="A1467">
        <v>1466</v>
      </c>
      <c r="B1467" s="1">
        <v>42894</v>
      </c>
      <c r="C1467" s="1">
        <v>43146</v>
      </c>
      <c r="D1467" t="s">
        <v>23</v>
      </c>
      <c r="E1467" t="s">
        <v>27</v>
      </c>
      <c r="F1467" s="2">
        <v>125</v>
      </c>
      <c r="G1467" t="s">
        <v>12</v>
      </c>
      <c r="H1467" s="3">
        <v>30933.119999999999</v>
      </c>
      <c r="I1467" s="3">
        <v>838913</v>
      </c>
      <c r="J1467" s="3">
        <v>671130.4</v>
      </c>
      <c r="K1467" s="3">
        <v>136849.47999999998</v>
      </c>
      <c r="L1467" t="s">
        <v>16</v>
      </c>
      <c r="M1467">
        <v>4</v>
      </c>
    </row>
    <row r="1468" spans="1:13" x14ac:dyDescent="0.25">
      <c r="A1468">
        <v>1467</v>
      </c>
      <c r="B1468" s="1">
        <v>42895</v>
      </c>
      <c r="C1468" s="1">
        <v>42993</v>
      </c>
      <c r="D1468" t="s">
        <v>23</v>
      </c>
      <c r="E1468" t="s">
        <v>29</v>
      </c>
      <c r="F1468" s="2">
        <v>294</v>
      </c>
      <c r="G1468" t="s">
        <v>12</v>
      </c>
      <c r="H1468" s="3">
        <v>92508.88</v>
      </c>
      <c r="I1468" s="3">
        <v>2369582</v>
      </c>
      <c r="J1468" s="3">
        <v>1895665.6</v>
      </c>
      <c r="K1468" s="3">
        <v>381407.5199999999</v>
      </c>
      <c r="L1468" t="s">
        <v>18</v>
      </c>
      <c r="M1468">
        <v>3.6</v>
      </c>
    </row>
    <row r="1469" spans="1:13" x14ac:dyDescent="0.25">
      <c r="A1469">
        <v>1468</v>
      </c>
      <c r="B1469" s="1">
        <v>42895</v>
      </c>
      <c r="C1469" s="1">
        <v>43221</v>
      </c>
      <c r="D1469" t="s">
        <v>20</v>
      </c>
      <c r="E1469" t="s">
        <v>25</v>
      </c>
      <c r="F1469" s="2">
        <v>124</v>
      </c>
      <c r="G1469" t="s">
        <v>12</v>
      </c>
      <c r="H1469" s="3">
        <v>51297.440000000002</v>
      </c>
      <c r="I1469" s="3">
        <v>1334171</v>
      </c>
      <c r="J1469" s="3">
        <v>1067336.8</v>
      </c>
      <c r="K1469" s="3">
        <v>215536.75999999995</v>
      </c>
      <c r="L1469" t="s">
        <v>14</v>
      </c>
      <c r="M1469">
        <v>4.5999999999999996</v>
      </c>
    </row>
    <row r="1470" spans="1:13" x14ac:dyDescent="0.25">
      <c r="A1470">
        <v>1469</v>
      </c>
      <c r="B1470" s="1">
        <v>42895</v>
      </c>
      <c r="C1470" s="1">
        <v>43167</v>
      </c>
      <c r="D1470" t="s">
        <v>23</v>
      </c>
      <c r="E1470" t="s">
        <v>29</v>
      </c>
      <c r="F1470" s="2">
        <v>48</v>
      </c>
      <c r="G1470" t="s">
        <v>11</v>
      </c>
      <c r="H1470" s="3">
        <v>15761.24</v>
      </c>
      <c r="I1470" s="3">
        <v>455741</v>
      </c>
      <c r="J1470" s="3">
        <v>364592.8</v>
      </c>
      <c r="K1470" s="3">
        <v>75386.960000000006</v>
      </c>
      <c r="L1470" t="s">
        <v>15</v>
      </c>
      <c r="M1470">
        <v>4.7</v>
      </c>
    </row>
    <row r="1471" spans="1:13" x14ac:dyDescent="0.25">
      <c r="A1471">
        <v>1470</v>
      </c>
      <c r="B1471" s="1">
        <v>42895</v>
      </c>
      <c r="C1471" s="1">
        <v>43237</v>
      </c>
      <c r="D1471" t="s">
        <v>20</v>
      </c>
      <c r="E1471" t="s">
        <v>28</v>
      </c>
      <c r="F1471" s="2">
        <v>268</v>
      </c>
      <c r="G1471" t="s">
        <v>12</v>
      </c>
      <c r="H1471" s="3">
        <v>106402.16</v>
      </c>
      <c r="I1471" s="3">
        <v>2727439</v>
      </c>
      <c r="J1471" s="3">
        <v>2181951.2000000002</v>
      </c>
      <c r="K1471" s="3">
        <v>439085.63999999978</v>
      </c>
      <c r="L1471" t="s">
        <v>16</v>
      </c>
      <c r="M1471">
        <v>3.7</v>
      </c>
    </row>
    <row r="1472" spans="1:13" x14ac:dyDescent="0.25">
      <c r="A1472">
        <v>1471</v>
      </c>
      <c r="B1472" s="1">
        <v>42895</v>
      </c>
      <c r="C1472" s="1">
        <v>43066</v>
      </c>
      <c r="D1472" t="s">
        <v>23</v>
      </c>
      <c r="E1472" t="s">
        <v>29</v>
      </c>
      <c r="F1472" s="2">
        <v>62</v>
      </c>
      <c r="G1472" t="s">
        <v>11</v>
      </c>
      <c r="H1472" s="3">
        <v>18400.52</v>
      </c>
      <c r="I1472" s="3">
        <v>521498</v>
      </c>
      <c r="J1472" s="3">
        <v>417198.4</v>
      </c>
      <c r="K1472" s="3">
        <v>85899.079999999973</v>
      </c>
      <c r="L1472" t="s">
        <v>16</v>
      </c>
      <c r="M1472">
        <v>4.7</v>
      </c>
    </row>
    <row r="1473" spans="1:13" x14ac:dyDescent="0.25">
      <c r="A1473">
        <v>1472</v>
      </c>
      <c r="B1473" s="1">
        <v>42896</v>
      </c>
      <c r="C1473" s="1">
        <v>43157</v>
      </c>
      <c r="D1473" t="s">
        <v>23</v>
      </c>
      <c r="E1473" t="s">
        <v>25</v>
      </c>
      <c r="F1473" s="2">
        <v>136</v>
      </c>
      <c r="G1473" t="s">
        <v>12</v>
      </c>
      <c r="H1473" s="3">
        <v>49101.08</v>
      </c>
      <c r="I1473" s="3">
        <v>1287437</v>
      </c>
      <c r="J1473" s="3">
        <v>1029949.6</v>
      </c>
      <c r="K1473" s="3">
        <v>208386.32</v>
      </c>
      <c r="L1473" t="s">
        <v>19</v>
      </c>
      <c r="M1473">
        <v>4.9000000000000004</v>
      </c>
    </row>
    <row r="1474" spans="1:13" x14ac:dyDescent="0.25">
      <c r="A1474">
        <v>1473</v>
      </c>
      <c r="B1474" s="1">
        <v>42896</v>
      </c>
      <c r="C1474" s="1">
        <v>43213</v>
      </c>
      <c r="D1474" t="s">
        <v>23</v>
      </c>
      <c r="E1474" t="s">
        <v>24</v>
      </c>
      <c r="F1474" s="2">
        <v>210</v>
      </c>
      <c r="G1474" t="s">
        <v>12</v>
      </c>
      <c r="H1474" s="3">
        <v>77192.600000000006</v>
      </c>
      <c r="I1474" s="3">
        <v>1991825</v>
      </c>
      <c r="J1474" s="3">
        <v>1593460</v>
      </c>
      <c r="K1474" s="3">
        <v>321172.40000000002</v>
      </c>
      <c r="L1474" t="s">
        <v>17</v>
      </c>
      <c r="M1474">
        <v>4.2</v>
      </c>
    </row>
    <row r="1475" spans="1:13" x14ac:dyDescent="0.25">
      <c r="A1475">
        <v>1474</v>
      </c>
      <c r="B1475" s="1">
        <v>42897</v>
      </c>
      <c r="C1475" s="1">
        <v>43151</v>
      </c>
      <c r="D1475" t="s">
        <v>21</v>
      </c>
      <c r="E1475" t="s">
        <v>25</v>
      </c>
      <c r="F1475" s="2">
        <v>263</v>
      </c>
      <c r="G1475" t="s">
        <v>12</v>
      </c>
      <c r="H1475" s="3">
        <v>100893.52</v>
      </c>
      <c r="I1475" s="3">
        <v>2585798</v>
      </c>
      <c r="J1475" s="3">
        <v>2068638.4</v>
      </c>
      <c r="K1475" s="3">
        <v>416266.08000000007</v>
      </c>
      <c r="L1475" t="s">
        <v>14</v>
      </c>
      <c r="M1475">
        <v>3.7</v>
      </c>
    </row>
    <row r="1476" spans="1:13" x14ac:dyDescent="0.25">
      <c r="A1476">
        <v>1475</v>
      </c>
      <c r="B1476" s="1">
        <v>42897</v>
      </c>
      <c r="C1476" s="1">
        <v>43208</v>
      </c>
      <c r="D1476" t="s">
        <v>22</v>
      </c>
      <c r="E1476" t="s">
        <v>25</v>
      </c>
      <c r="F1476" s="2">
        <v>46</v>
      </c>
      <c r="G1476" t="s">
        <v>11</v>
      </c>
      <c r="H1476" s="3">
        <v>7597.48</v>
      </c>
      <c r="I1476" s="3">
        <v>252672</v>
      </c>
      <c r="J1476" s="3">
        <v>202137.60000000001</v>
      </c>
      <c r="K1476" s="3">
        <v>42936.92</v>
      </c>
      <c r="L1476" t="s">
        <v>17</v>
      </c>
      <c r="M1476">
        <v>3.6</v>
      </c>
    </row>
    <row r="1477" spans="1:13" x14ac:dyDescent="0.25">
      <c r="A1477">
        <v>1476</v>
      </c>
      <c r="B1477" s="1">
        <v>42897</v>
      </c>
      <c r="C1477" s="1">
        <v>42998</v>
      </c>
      <c r="D1477" t="s">
        <v>21</v>
      </c>
      <c r="E1477" t="s">
        <v>26</v>
      </c>
      <c r="F1477" s="2">
        <v>243</v>
      </c>
      <c r="G1477" t="s">
        <v>12</v>
      </c>
      <c r="H1477" s="3">
        <v>85955.28</v>
      </c>
      <c r="I1477" s="3">
        <v>2208717</v>
      </c>
      <c r="J1477" s="3">
        <v>1766973.6</v>
      </c>
      <c r="K1477" s="3">
        <v>355788.11999999988</v>
      </c>
      <c r="L1477" t="s">
        <v>15</v>
      </c>
      <c r="M1477">
        <v>4.9000000000000004</v>
      </c>
    </row>
    <row r="1478" spans="1:13" x14ac:dyDescent="0.25">
      <c r="A1478">
        <v>1477</v>
      </c>
      <c r="B1478" s="1">
        <v>42898</v>
      </c>
      <c r="C1478" s="1">
        <v>43133</v>
      </c>
      <c r="D1478" t="s">
        <v>21</v>
      </c>
      <c r="E1478" t="s">
        <v>28</v>
      </c>
      <c r="F1478" s="2">
        <v>67</v>
      </c>
      <c r="G1478" t="s">
        <v>11</v>
      </c>
      <c r="H1478" s="3">
        <v>13826.8</v>
      </c>
      <c r="I1478" s="3">
        <v>400755</v>
      </c>
      <c r="J1478" s="3">
        <v>320604</v>
      </c>
      <c r="K1478" s="3">
        <v>66324.2</v>
      </c>
      <c r="L1478" t="s">
        <v>18</v>
      </c>
      <c r="M1478">
        <v>3.9</v>
      </c>
    </row>
    <row r="1479" spans="1:13" x14ac:dyDescent="0.25">
      <c r="A1479">
        <v>1478</v>
      </c>
      <c r="B1479" s="1">
        <v>42898</v>
      </c>
      <c r="C1479" s="1">
        <v>43198</v>
      </c>
      <c r="D1479" t="s">
        <v>21</v>
      </c>
      <c r="E1479" t="s">
        <v>27</v>
      </c>
      <c r="F1479" s="2">
        <v>224</v>
      </c>
      <c r="G1479" t="s">
        <v>12</v>
      </c>
      <c r="H1479" s="3">
        <v>59102.04</v>
      </c>
      <c r="I1479" s="3">
        <v>1540786</v>
      </c>
      <c r="J1479" s="3">
        <v>1232628.8</v>
      </c>
      <c r="K1479" s="3">
        <v>249055.15999999995</v>
      </c>
      <c r="L1479" t="s">
        <v>16</v>
      </c>
      <c r="M1479">
        <v>4.9000000000000004</v>
      </c>
    </row>
    <row r="1480" spans="1:13" x14ac:dyDescent="0.25">
      <c r="A1480">
        <v>1479</v>
      </c>
      <c r="B1480" s="1">
        <v>42899</v>
      </c>
      <c r="C1480" s="1">
        <v>43178</v>
      </c>
      <c r="D1480" t="s">
        <v>23</v>
      </c>
      <c r="E1480" t="s">
        <v>24</v>
      </c>
      <c r="F1480" s="2">
        <v>47</v>
      </c>
      <c r="G1480" t="s">
        <v>11</v>
      </c>
      <c r="H1480" s="3">
        <v>15867.24</v>
      </c>
      <c r="I1480" s="3">
        <v>453716</v>
      </c>
      <c r="J1480" s="3">
        <v>362972.8</v>
      </c>
      <c r="K1480" s="3">
        <v>74875.960000000006</v>
      </c>
      <c r="L1480" t="s">
        <v>15</v>
      </c>
      <c r="M1480">
        <v>4.9000000000000004</v>
      </c>
    </row>
    <row r="1481" spans="1:13" x14ac:dyDescent="0.25">
      <c r="A1481">
        <v>1480</v>
      </c>
      <c r="B1481" s="1">
        <v>42899</v>
      </c>
      <c r="C1481" s="1">
        <v>43203</v>
      </c>
      <c r="D1481" t="s">
        <v>20</v>
      </c>
      <c r="E1481" t="s">
        <v>26</v>
      </c>
      <c r="F1481" s="2">
        <v>117</v>
      </c>
      <c r="G1481" t="s">
        <v>12</v>
      </c>
      <c r="H1481" s="3">
        <v>41376.120000000003</v>
      </c>
      <c r="I1481" s="3">
        <v>1090113</v>
      </c>
      <c r="J1481" s="3">
        <v>872090.4</v>
      </c>
      <c r="K1481" s="3">
        <v>176646.47999999998</v>
      </c>
      <c r="L1481" t="s">
        <v>18</v>
      </c>
      <c r="M1481">
        <v>4</v>
      </c>
    </row>
    <row r="1482" spans="1:13" x14ac:dyDescent="0.25">
      <c r="A1482">
        <v>1481</v>
      </c>
      <c r="B1482" s="1">
        <v>42899</v>
      </c>
      <c r="C1482" s="1">
        <v>43002</v>
      </c>
      <c r="D1482" t="s">
        <v>20</v>
      </c>
      <c r="E1482" t="s">
        <v>13</v>
      </c>
      <c r="F1482" s="2">
        <v>254</v>
      </c>
      <c r="G1482" t="s">
        <v>12</v>
      </c>
      <c r="H1482" s="3">
        <v>52679.32</v>
      </c>
      <c r="I1482" s="3">
        <v>1381418</v>
      </c>
      <c r="J1482" s="3">
        <v>1105134.3999999999</v>
      </c>
      <c r="K1482" s="3">
        <v>223604.28000000009</v>
      </c>
      <c r="L1482" t="s">
        <v>15</v>
      </c>
      <c r="M1482">
        <v>4.3</v>
      </c>
    </row>
    <row r="1483" spans="1:13" x14ac:dyDescent="0.25">
      <c r="A1483">
        <v>1482</v>
      </c>
      <c r="B1483" s="1">
        <v>42899</v>
      </c>
      <c r="C1483" s="1">
        <v>43254</v>
      </c>
      <c r="D1483" t="s">
        <v>21</v>
      </c>
      <c r="E1483" t="s">
        <v>26</v>
      </c>
      <c r="F1483" s="2">
        <v>153</v>
      </c>
      <c r="G1483" t="s">
        <v>12</v>
      </c>
      <c r="H1483" s="3">
        <v>33945.68</v>
      </c>
      <c r="I1483" s="3">
        <v>904852</v>
      </c>
      <c r="J1483" s="3">
        <v>723881.6</v>
      </c>
      <c r="K1483" s="3">
        <v>147024.72000000003</v>
      </c>
      <c r="L1483" t="s">
        <v>17</v>
      </c>
      <c r="M1483">
        <v>4.0999999999999996</v>
      </c>
    </row>
    <row r="1484" spans="1:13" x14ac:dyDescent="0.25">
      <c r="A1484">
        <v>1483</v>
      </c>
      <c r="B1484" s="1">
        <v>42899</v>
      </c>
      <c r="C1484" s="1">
        <v>42993</v>
      </c>
      <c r="D1484" t="s">
        <v>20</v>
      </c>
      <c r="E1484" t="s">
        <v>27</v>
      </c>
      <c r="F1484" s="2">
        <v>61</v>
      </c>
      <c r="G1484" t="s">
        <v>11</v>
      </c>
      <c r="H1484" s="3">
        <v>13656.36</v>
      </c>
      <c r="I1484" s="3">
        <v>404869</v>
      </c>
      <c r="J1484" s="3">
        <v>323895.2</v>
      </c>
      <c r="K1484" s="3">
        <v>67317.439999999988</v>
      </c>
      <c r="L1484" t="s">
        <v>17</v>
      </c>
      <c r="M1484">
        <v>4.0999999999999996</v>
      </c>
    </row>
    <row r="1485" spans="1:13" x14ac:dyDescent="0.25">
      <c r="A1485">
        <v>1484</v>
      </c>
      <c r="B1485" s="1">
        <v>42899</v>
      </c>
      <c r="C1485" s="1">
        <v>43198</v>
      </c>
      <c r="D1485" t="s">
        <v>23</v>
      </c>
      <c r="E1485" t="s">
        <v>27</v>
      </c>
      <c r="F1485" s="2">
        <v>278</v>
      </c>
      <c r="G1485" t="s">
        <v>12</v>
      </c>
      <c r="H1485" s="3">
        <v>106054.6</v>
      </c>
      <c r="I1485" s="3">
        <v>2714075</v>
      </c>
      <c r="J1485" s="3">
        <v>2171260</v>
      </c>
      <c r="K1485" s="3">
        <v>436760.4</v>
      </c>
      <c r="L1485" t="s">
        <v>19</v>
      </c>
      <c r="M1485">
        <v>4.7</v>
      </c>
    </row>
    <row r="1486" spans="1:13" x14ac:dyDescent="0.25">
      <c r="A1486">
        <v>1485</v>
      </c>
      <c r="B1486" s="1">
        <v>42900</v>
      </c>
      <c r="C1486" s="1">
        <v>43183</v>
      </c>
      <c r="D1486" t="s">
        <v>23</v>
      </c>
      <c r="E1486" t="s">
        <v>27</v>
      </c>
      <c r="F1486" s="2">
        <v>144</v>
      </c>
      <c r="G1486" t="s">
        <v>12</v>
      </c>
      <c r="H1486" s="3">
        <v>58728.12</v>
      </c>
      <c r="I1486" s="3">
        <v>1520513</v>
      </c>
      <c r="J1486" s="3">
        <v>1216410.3999999999</v>
      </c>
      <c r="K1486" s="3">
        <v>245374.4800000001</v>
      </c>
      <c r="L1486" t="s">
        <v>17</v>
      </c>
      <c r="M1486">
        <v>5</v>
      </c>
    </row>
    <row r="1487" spans="1:13" x14ac:dyDescent="0.25">
      <c r="A1487">
        <v>1486</v>
      </c>
      <c r="B1487" s="1">
        <v>42901</v>
      </c>
      <c r="C1487" s="1">
        <v>43051</v>
      </c>
      <c r="D1487" t="s">
        <v>22</v>
      </c>
      <c r="E1487" t="s">
        <v>26</v>
      </c>
      <c r="F1487" s="2">
        <v>162</v>
      </c>
      <c r="G1487" t="s">
        <v>12</v>
      </c>
      <c r="H1487" s="3">
        <v>44100.24</v>
      </c>
      <c r="I1487" s="3">
        <v>1158391</v>
      </c>
      <c r="J1487" s="3">
        <v>926712.8</v>
      </c>
      <c r="K1487" s="3">
        <v>187577.95999999996</v>
      </c>
      <c r="L1487" t="s">
        <v>14</v>
      </c>
      <c r="M1487">
        <v>4.0999999999999996</v>
      </c>
    </row>
    <row r="1488" spans="1:13" x14ac:dyDescent="0.25">
      <c r="A1488">
        <v>1487</v>
      </c>
      <c r="B1488" s="1">
        <v>42901</v>
      </c>
      <c r="C1488" s="1">
        <v>43236</v>
      </c>
      <c r="D1488" t="s">
        <v>21</v>
      </c>
      <c r="E1488" t="s">
        <v>25</v>
      </c>
      <c r="F1488" s="2">
        <v>106</v>
      </c>
      <c r="G1488" t="s">
        <v>11</v>
      </c>
      <c r="H1488" s="3">
        <v>20778.599999999999</v>
      </c>
      <c r="I1488" s="3">
        <v>574400</v>
      </c>
      <c r="J1488" s="3">
        <v>459520</v>
      </c>
      <c r="K1488" s="3">
        <v>94101.4</v>
      </c>
      <c r="L1488" t="s">
        <v>14</v>
      </c>
      <c r="M1488">
        <v>4.7</v>
      </c>
    </row>
    <row r="1489" spans="1:13" x14ac:dyDescent="0.25">
      <c r="A1489">
        <v>1488</v>
      </c>
      <c r="B1489" s="1">
        <v>42901</v>
      </c>
      <c r="C1489" s="1">
        <v>43138</v>
      </c>
      <c r="D1489" t="s">
        <v>23</v>
      </c>
      <c r="E1489" t="s">
        <v>29</v>
      </c>
      <c r="F1489" s="2">
        <v>100</v>
      </c>
      <c r="G1489" t="s">
        <v>11</v>
      </c>
      <c r="H1489" s="3">
        <v>27400.04</v>
      </c>
      <c r="I1489" s="3">
        <v>740961</v>
      </c>
      <c r="J1489" s="3">
        <v>592768.80000000005</v>
      </c>
      <c r="K1489" s="3">
        <v>120792.15999999995</v>
      </c>
      <c r="L1489" t="s">
        <v>16</v>
      </c>
      <c r="M1489">
        <v>4.3</v>
      </c>
    </row>
    <row r="1490" spans="1:13" x14ac:dyDescent="0.25">
      <c r="A1490">
        <v>1489</v>
      </c>
      <c r="B1490" s="1">
        <v>42901</v>
      </c>
      <c r="C1490" s="1">
        <v>42995</v>
      </c>
      <c r="D1490" t="s">
        <v>22</v>
      </c>
      <c r="E1490" t="s">
        <v>25</v>
      </c>
      <c r="F1490" s="2">
        <v>141</v>
      </c>
      <c r="G1490" t="s">
        <v>12</v>
      </c>
      <c r="H1490" s="3">
        <v>51920.68</v>
      </c>
      <c r="I1490" s="3">
        <v>1360277</v>
      </c>
      <c r="J1490" s="3">
        <v>1088221.6000000001</v>
      </c>
      <c r="K1490" s="3">
        <v>220134.71999999991</v>
      </c>
      <c r="L1490" t="s">
        <v>17</v>
      </c>
      <c r="M1490">
        <v>4.4000000000000004</v>
      </c>
    </row>
    <row r="1491" spans="1:13" x14ac:dyDescent="0.25">
      <c r="A1491">
        <v>1490</v>
      </c>
      <c r="B1491" s="1">
        <v>42902</v>
      </c>
      <c r="C1491" s="1">
        <v>43200</v>
      </c>
      <c r="D1491" t="s">
        <v>20</v>
      </c>
      <c r="E1491" t="s">
        <v>24</v>
      </c>
      <c r="F1491" s="2">
        <v>108</v>
      </c>
      <c r="G1491" t="s">
        <v>11</v>
      </c>
      <c r="H1491" s="3">
        <v>26502.48</v>
      </c>
      <c r="I1491" s="3">
        <v>728197</v>
      </c>
      <c r="J1491" s="3">
        <v>582557.6</v>
      </c>
      <c r="K1491" s="3">
        <v>119136.92000000003</v>
      </c>
      <c r="L1491" t="s">
        <v>15</v>
      </c>
      <c r="M1491">
        <v>3.9</v>
      </c>
    </row>
    <row r="1492" spans="1:13" x14ac:dyDescent="0.25">
      <c r="A1492">
        <v>1491</v>
      </c>
      <c r="B1492" s="1">
        <v>42902</v>
      </c>
      <c r="C1492" s="1">
        <v>43256</v>
      </c>
      <c r="D1492" t="s">
        <v>21</v>
      </c>
      <c r="E1492" t="s">
        <v>28</v>
      </c>
      <c r="F1492" s="2">
        <v>135</v>
      </c>
      <c r="G1492" t="s">
        <v>12</v>
      </c>
      <c r="H1492" s="3">
        <v>48660.36</v>
      </c>
      <c r="I1492" s="3">
        <v>1277519</v>
      </c>
      <c r="J1492" s="3">
        <v>1022015.2</v>
      </c>
      <c r="K1492" s="3">
        <v>206843.44000000006</v>
      </c>
      <c r="L1492" t="s">
        <v>14</v>
      </c>
      <c r="M1492">
        <v>4.0999999999999996</v>
      </c>
    </row>
    <row r="1493" spans="1:13" x14ac:dyDescent="0.25">
      <c r="A1493">
        <v>1492</v>
      </c>
      <c r="B1493" s="1">
        <v>42902</v>
      </c>
      <c r="C1493" s="1">
        <v>43132</v>
      </c>
      <c r="D1493" t="s">
        <v>23</v>
      </c>
      <c r="E1493" t="s">
        <v>24</v>
      </c>
      <c r="F1493" s="2">
        <v>161</v>
      </c>
      <c r="G1493" t="s">
        <v>12</v>
      </c>
      <c r="H1493" s="3">
        <v>55578.2</v>
      </c>
      <c r="I1493" s="3">
        <v>1441790</v>
      </c>
      <c r="J1493" s="3">
        <v>1153432</v>
      </c>
      <c r="K1493" s="3">
        <v>232779.8</v>
      </c>
      <c r="L1493" t="s">
        <v>14</v>
      </c>
      <c r="M1493">
        <v>4.3</v>
      </c>
    </row>
    <row r="1494" spans="1:13" x14ac:dyDescent="0.25">
      <c r="A1494">
        <v>1493</v>
      </c>
      <c r="B1494" s="1">
        <v>42902</v>
      </c>
      <c r="C1494" s="1">
        <v>43062</v>
      </c>
      <c r="D1494" t="s">
        <v>22</v>
      </c>
      <c r="E1494" t="s">
        <v>13</v>
      </c>
      <c r="F1494" s="2">
        <v>243</v>
      </c>
      <c r="G1494" t="s">
        <v>12</v>
      </c>
      <c r="H1494" s="3">
        <v>39381</v>
      </c>
      <c r="I1494" s="3">
        <v>1038235</v>
      </c>
      <c r="J1494" s="3">
        <v>830588</v>
      </c>
      <c r="K1494" s="3">
        <v>168266</v>
      </c>
      <c r="L1494" t="s">
        <v>16</v>
      </c>
      <c r="M1494">
        <v>4.9000000000000004</v>
      </c>
    </row>
    <row r="1495" spans="1:13" x14ac:dyDescent="0.25">
      <c r="A1495">
        <v>1494</v>
      </c>
      <c r="B1495" s="1">
        <v>42903</v>
      </c>
      <c r="C1495" s="1">
        <v>43170</v>
      </c>
      <c r="D1495" t="s">
        <v>23</v>
      </c>
      <c r="E1495" t="s">
        <v>13</v>
      </c>
      <c r="F1495" s="2">
        <v>196</v>
      </c>
      <c r="G1495" t="s">
        <v>12</v>
      </c>
      <c r="H1495" s="3">
        <v>57943.8</v>
      </c>
      <c r="I1495" s="3">
        <v>1507805</v>
      </c>
      <c r="J1495" s="3">
        <v>1206244</v>
      </c>
      <c r="K1495" s="3">
        <v>243617.2</v>
      </c>
      <c r="L1495" t="s">
        <v>14</v>
      </c>
      <c r="M1495">
        <v>4.9000000000000004</v>
      </c>
    </row>
    <row r="1496" spans="1:13" x14ac:dyDescent="0.25">
      <c r="A1496">
        <v>1495</v>
      </c>
      <c r="B1496" s="1">
        <v>42903</v>
      </c>
      <c r="C1496" s="1">
        <v>43203</v>
      </c>
      <c r="D1496" t="s">
        <v>20</v>
      </c>
      <c r="E1496" t="s">
        <v>29</v>
      </c>
      <c r="F1496" s="2">
        <v>194</v>
      </c>
      <c r="G1496" t="s">
        <v>12</v>
      </c>
      <c r="H1496" s="3">
        <v>62766.400000000001</v>
      </c>
      <c r="I1496" s="3">
        <v>1626495</v>
      </c>
      <c r="J1496" s="3">
        <v>1301196</v>
      </c>
      <c r="K1496" s="3">
        <v>262532.59999999998</v>
      </c>
      <c r="L1496" t="s">
        <v>14</v>
      </c>
      <c r="M1496">
        <v>4.8</v>
      </c>
    </row>
    <row r="1497" spans="1:13" x14ac:dyDescent="0.25">
      <c r="A1497">
        <v>1496</v>
      </c>
      <c r="B1497" s="1">
        <v>42904</v>
      </c>
      <c r="C1497" s="1">
        <v>43232</v>
      </c>
      <c r="D1497" t="s">
        <v>20</v>
      </c>
      <c r="E1497" t="s">
        <v>28</v>
      </c>
      <c r="F1497" s="2">
        <v>274</v>
      </c>
      <c r="G1497" t="s">
        <v>12</v>
      </c>
      <c r="H1497" s="3">
        <v>99935.16</v>
      </c>
      <c r="I1497" s="3">
        <v>2557389</v>
      </c>
      <c r="J1497" s="3">
        <v>2045911.2</v>
      </c>
      <c r="K1497" s="3">
        <v>411542.64</v>
      </c>
      <c r="L1497" t="s">
        <v>19</v>
      </c>
      <c r="M1497">
        <v>4.5</v>
      </c>
    </row>
    <row r="1498" spans="1:13" x14ac:dyDescent="0.25">
      <c r="A1498">
        <v>1497</v>
      </c>
      <c r="B1498" s="1">
        <v>42904</v>
      </c>
      <c r="C1498" s="1">
        <v>43084</v>
      </c>
      <c r="D1498" t="s">
        <v>21</v>
      </c>
      <c r="E1498" t="s">
        <v>28</v>
      </c>
      <c r="F1498" s="2">
        <v>172</v>
      </c>
      <c r="G1498" t="s">
        <v>12</v>
      </c>
      <c r="H1498" s="3">
        <v>34276</v>
      </c>
      <c r="I1498" s="3">
        <v>916560</v>
      </c>
      <c r="J1498" s="3">
        <v>733248</v>
      </c>
      <c r="K1498" s="3">
        <v>149036</v>
      </c>
      <c r="L1498" t="s">
        <v>17</v>
      </c>
      <c r="M1498">
        <v>3.9</v>
      </c>
    </row>
    <row r="1499" spans="1:13" x14ac:dyDescent="0.25">
      <c r="A1499">
        <v>1498</v>
      </c>
      <c r="B1499" s="1">
        <v>42904</v>
      </c>
      <c r="C1499" s="1">
        <v>43031</v>
      </c>
      <c r="D1499" t="s">
        <v>21</v>
      </c>
      <c r="E1499" t="s">
        <v>26</v>
      </c>
      <c r="F1499" s="2">
        <v>52</v>
      </c>
      <c r="G1499" t="s">
        <v>11</v>
      </c>
      <c r="H1499" s="3">
        <v>9196.2000000000007</v>
      </c>
      <c r="I1499" s="3">
        <v>293115</v>
      </c>
      <c r="J1499" s="3">
        <v>234492</v>
      </c>
      <c r="K1499" s="3">
        <v>49426.8</v>
      </c>
      <c r="L1499" t="s">
        <v>18</v>
      </c>
      <c r="M1499">
        <v>4.0999999999999996</v>
      </c>
    </row>
    <row r="1500" spans="1:13" x14ac:dyDescent="0.25">
      <c r="A1500">
        <v>1499</v>
      </c>
      <c r="B1500" s="1">
        <v>42905</v>
      </c>
      <c r="C1500" s="1">
        <v>43018</v>
      </c>
      <c r="D1500" t="s">
        <v>20</v>
      </c>
      <c r="E1500" t="s">
        <v>13</v>
      </c>
      <c r="F1500" s="2">
        <v>172</v>
      </c>
      <c r="G1500" t="s">
        <v>12</v>
      </c>
      <c r="H1500" s="3">
        <v>42373</v>
      </c>
      <c r="I1500" s="3">
        <v>1120785</v>
      </c>
      <c r="J1500" s="3">
        <v>896628</v>
      </c>
      <c r="K1500" s="3">
        <v>181784</v>
      </c>
      <c r="L1500" t="s">
        <v>19</v>
      </c>
      <c r="M1500">
        <v>3.7</v>
      </c>
    </row>
    <row r="1501" spans="1:13" x14ac:dyDescent="0.25">
      <c r="A1501">
        <v>1500</v>
      </c>
      <c r="B1501" s="1">
        <v>42906</v>
      </c>
      <c r="C1501" s="1">
        <v>43189</v>
      </c>
      <c r="D1501" t="s">
        <v>20</v>
      </c>
      <c r="E1501" t="s">
        <v>28</v>
      </c>
      <c r="F1501" s="2">
        <v>121</v>
      </c>
      <c r="G1501" t="s">
        <v>11</v>
      </c>
      <c r="H1501" s="3">
        <v>23204</v>
      </c>
      <c r="I1501" s="3">
        <v>632235</v>
      </c>
      <c r="J1501" s="3">
        <v>505788</v>
      </c>
      <c r="K1501" s="3">
        <v>103243</v>
      </c>
      <c r="L1501" t="s">
        <v>16</v>
      </c>
      <c r="M1501">
        <v>4.5999999999999996</v>
      </c>
    </row>
    <row r="1502" spans="1:13" x14ac:dyDescent="0.25">
      <c r="A1502">
        <v>1501</v>
      </c>
      <c r="B1502" s="1">
        <v>42907</v>
      </c>
      <c r="C1502" s="1">
        <v>43206</v>
      </c>
      <c r="D1502" t="s">
        <v>23</v>
      </c>
      <c r="E1502" t="s">
        <v>13</v>
      </c>
      <c r="F1502" s="2">
        <v>47</v>
      </c>
      <c r="G1502" t="s">
        <v>11</v>
      </c>
      <c r="H1502" s="3">
        <v>11915.76</v>
      </c>
      <c r="I1502" s="3">
        <v>353529</v>
      </c>
      <c r="J1502" s="3">
        <v>282823.2</v>
      </c>
      <c r="K1502" s="3">
        <v>58790.039999999986</v>
      </c>
      <c r="L1502" t="s">
        <v>17</v>
      </c>
      <c r="M1502">
        <v>4.4000000000000004</v>
      </c>
    </row>
    <row r="1503" spans="1:13" x14ac:dyDescent="0.25">
      <c r="A1503">
        <v>1502</v>
      </c>
      <c r="B1503" s="1">
        <v>42907</v>
      </c>
      <c r="C1503" s="1">
        <v>43067</v>
      </c>
      <c r="D1503" t="s">
        <v>20</v>
      </c>
      <c r="E1503" t="s">
        <v>27</v>
      </c>
      <c r="F1503" s="2">
        <v>114</v>
      </c>
      <c r="G1503" t="s">
        <v>12</v>
      </c>
      <c r="H1503" s="3">
        <v>46322.400000000001</v>
      </c>
      <c r="I1503" s="3">
        <v>1211645</v>
      </c>
      <c r="J1503" s="3">
        <v>969316</v>
      </c>
      <c r="K1503" s="3">
        <v>196006.6</v>
      </c>
      <c r="L1503" t="s">
        <v>14</v>
      </c>
      <c r="M1503">
        <v>4.8</v>
      </c>
    </row>
    <row r="1504" spans="1:13" x14ac:dyDescent="0.25">
      <c r="A1504">
        <v>1503</v>
      </c>
      <c r="B1504" s="1">
        <v>42907</v>
      </c>
      <c r="C1504" s="1">
        <v>43162</v>
      </c>
      <c r="D1504" t="s">
        <v>23</v>
      </c>
      <c r="E1504" t="s">
        <v>13</v>
      </c>
      <c r="F1504" s="2">
        <v>154</v>
      </c>
      <c r="G1504" t="s">
        <v>12</v>
      </c>
      <c r="H1504" s="3">
        <v>37989.440000000002</v>
      </c>
      <c r="I1504" s="3">
        <v>1013496</v>
      </c>
      <c r="J1504" s="3">
        <v>810796.8</v>
      </c>
      <c r="K1504" s="3">
        <v>164709.75999999995</v>
      </c>
      <c r="L1504" t="s">
        <v>14</v>
      </c>
      <c r="M1504">
        <v>4.7</v>
      </c>
    </row>
    <row r="1505" spans="1:13" x14ac:dyDescent="0.25">
      <c r="A1505">
        <v>1504</v>
      </c>
      <c r="B1505" s="1">
        <v>42907</v>
      </c>
      <c r="C1505" s="1">
        <v>43053</v>
      </c>
      <c r="D1505" t="s">
        <v>20</v>
      </c>
      <c r="E1505" t="s">
        <v>13</v>
      </c>
      <c r="F1505" s="2">
        <v>185</v>
      </c>
      <c r="G1505" t="s">
        <v>12</v>
      </c>
      <c r="H1505" s="3">
        <v>30507.200000000001</v>
      </c>
      <c r="I1505" s="3">
        <v>814915</v>
      </c>
      <c r="J1505" s="3">
        <v>651932</v>
      </c>
      <c r="K1505" s="3">
        <v>132475.79999999999</v>
      </c>
      <c r="L1505" t="s">
        <v>16</v>
      </c>
      <c r="M1505">
        <v>4.7</v>
      </c>
    </row>
    <row r="1506" spans="1:13" x14ac:dyDescent="0.25">
      <c r="A1506">
        <v>1505</v>
      </c>
      <c r="B1506" s="1">
        <v>42908</v>
      </c>
      <c r="C1506" s="1">
        <v>43265</v>
      </c>
      <c r="D1506" t="s">
        <v>23</v>
      </c>
      <c r="E1506" t="s">
        <v>27</v>
      </c>
      <c r="F1506" s="2">
        <v>41</v>
      </c>
      <c r="G1506" t="s">
        <v>11</v>
      </c>
      <c r="H1506" s="3">
        <v>7580.92</v>
      </c>
      <c r="I1506" s="3">
        <v>256633</v>
      </c>
      <c r="J1506" s="3">
        <v>205306.4</v>
      </c>
      <c r="K1506" s="3">
        <v>43745.680000000008</v>
      </c>
      <c r="L1506" t="s">
        <v>17</v>
      </c>
      <c r="M1506">
        <v>3.8</v>
      </c>
    </row>
    <row r="1507" spans="1:13" x14ac:dyDescent="0.25">
      <c r="A1507">
        <v>1506</v>
      </c>
      <c r="B1507" s="1">
        <v>42908</v>
      </c>
      <c r="C1507" s="1">
        <v>43175</v>
      </c>
      <c r="D1507" t="s">
        <v>22</v>
      </c>
      <c r="E1507" t="s">
        <v>26</v>
      </c>
      <c r="F1507" s="2">
        <v>253</v>
      </c>
      <c r="G1507" t="s">
        <v>12</v>
      </c>
      <c r="H1507" s="3">
        <v>99891.6</v>
      </c>
      <c r="I1507" s="3">
        <v>2549125</v>
      </c>
      <c r="J1507" s="3">
        <v>2039300</v>
      </c>
      <c r="K1507" s="3">
        <v>409933.4</v>
      </c>
      <c r="L1507" t="s">
        <v>17</v>
      </c>
      <c r="M1507">
        <v>4.9000000000000004</v>
      </c>
    </row>
    <row r="1508" spans="1:13" x14ac:dyDescent="0.25">
      <c r="A1508">
        <v>1507</v>
      </c>
      <c r="B1508" s="1">
        <v>42908</v>
      </c>
      <c r="C1508" s="1">
        <v>43194</v>
      </c>
      <c r="D1508" t="s">
        <v>23</v>
      </c>
      <c r="E1508" t="s">
        <v>27</v>
      </c>
      <c r="F1508" s="2">
        <v>115</v>
      </c>
      <c r="G1508" t="s">
        <v>11</v>
      </c>
      <c r="H1508" s="3">
        <v>27477.4</v>
      </c>
      <c r="I1508" s="3">
        <v>752745</v>
      </c>
      <c r="J1508" s="3">
        <v>602196</v>
      </c>
      <c r="K1508" s="3">
        <v>123071.6</v>
      </c>
      <c r="L1508" t="s">
        <v>19</v>
      </c>
      <c r="M1508">
        <v>5</v>
      </c>
    </row>
    <row r="1509" spans="1:13" x14ac:dyDescent="0.25">
      <c r="A1509">
        <v>1508</v>
      </c>
      <c r="B1509" s="1">
        <v>42908</v>
      </c>
      <c r="C1509" s="1">
        <v>43154</v>
      </c>
      <c r="D1509" t="s">
        <v>23</v>
      </c>
      <c r="E1509" t="s">
        <v>28</v>
      </c>
      <c r="F1509" s="2">
        <v>269</v>
      </c>
      <c r="G1509" t="s">
        <v>12</v>
      </c>
      <c r="H1509" s="3">
        <v>102962.2</v>
      </c>
      <c r="I1509" s="3">
        <v>2631265</v>
      </c>
      <c r="J1509" s="3">
        <v>2105012</v>
      </c>
      <c r="K1509" s="3">
        <v>423290.8</v>
      </c>
      <c r="L1509" t="s">
        <v>18</v>
      </c>
      <c r="M1509">
        <v>4.9000000000000004</v>
      </c>
    </row>
    <row r="1510" spans="1:13" x14ac:dyDescent="0.25">
      <c r="A1510">
        <v>1509</v>
      </c>
      <c r="B1510" s="1">
        <v>42908</v>
      </c>
      <c r="C1510" s="1">
        <v>43136</v>
      </c>
      <c r="D1510" t="s">
        <v>21</v>
      </c>
      <c r="E1510" t="s">
        <v>24</v>
      </c>
      <c r="F1510" s="2">
        <v>237</v>
      </c>
      <c r="G1510" t="s">
        <v>12</v>
      </c>
      <c r="H1510" s="3">
        <v>86048.12</v>
      </c>
      <c r="I1510" s="3">
        <v>2217113</v>
      </c>
      <c r="J1510" s="3">
        <v>1773690.4</v>
      </c>
      <c r="K1510" s="3">
        <v>357374.4800000001</v>
      </c>
      <c r="L1510" t="s">
        <v>15</v>
      </c>
      <c r="M1510">
        <v>3.8</v>
      </c>
    </row>
    <row r="1511" spans="1:13" x14ac:dyDescent="0.25">
      <c r="A1511">
        <v>1510</v>
      </c>
      <c r="B1511" s="1">
        <v>42908</v>
      </c>
      <c r="C1511" s="1">
        <v>43136</v>
      </c>
      <c r="D1511" t="s">
        <v>21</v>
      </c>
      <c r="E1511" t="s">
        <v>25</v>
      </c>
      <c r="F1511" s="2">
        <v>158</v>
      </c>
      <c r="G1511" t="s">
        <v>11</v>
      </c>
      <c r="H1511" s="3">
        <v>29367.16</v>
      </c>
      <c r="I1511" s="3">
        <v>799814</v>
      </c>
      <c r="J1511" s="3">
        <v>639851.19999999995</v>
      </c>
      <c r="K1511" s="3">
        <v>130595.64000000004</v>
      </c>
      <c r="L1511" t="s">
        <v>16</v>
      </c>
      <c r="M1511">
        <v>4.4000000000000004</v>
      </c>
    </row>
    <row r="1512" spans="1:13" x14ac:dyDescent="0.25">
      <c r="A1512">
        <v>1511</v>
      </c>
      <c r="B1512" s="1">
        <v>42909</v>
      </c>
      <c r="C1512" s="1">
        <v>43133</v>
      </c>
      <c r="D1512" t="s">
        <v>20</v>
      </c>
      <c r="E1512" t="s">
        <v>27</v>
      </c>
      <c r="F1512" s="2">
        <v>207</v>
      </c>
      <c r="G1512" t="s">
        <v>12</v>
      </c>
      <c r="H1512" s="3">
        <v>62519.519999999997</v>
      </c>
      <c r="I1512" s="3">
        <v>1623548</v>
      </c>
      <c r="J1512" s="3">
        <v>1298838.3999999999</v>
      </c>
      <c r="K1512" s="3">
        <v>262190.08000000007</v>
      </c>
      <c r="L1512" t="s">
        <v>14</v>
      </c>
      <c r="M1512">
        <v>4.9000000000000004</v>
      </c>
    </row>
    <row r="1513" spans="1:13" x14ac:dyDescent="0.25">
      <c r="A1513">
        <v>1512</v>
      </c>
      <c r="B1513" s="1">
        <v>42909</v>
      </c>
      <c r="C1513" s="1">
        <v>43245</v>
      </c>
      <c r="D1513" t="s">
        <v>23</v>
      </c>
      <c r="E1513" t="s">
        <v>24</v>
      </c>
      <c r="F1513" s="2">
        <v>256</v>
      </c>
      <c r="G1513" t="s">
        <v>12</v>
      </c>
      <c r="H1513" s="3">
        <v>96140.36</v>
      </c>
      <c r="I1513" s="3">
        <v>2455694</v>
      </c>
      <c r="J1513" s="3">
        <v>1964555.2</v>
      </c>
      <c r="K1513" s="3">
        <v>394998.44000000006</v>
      </c>
      <c r="L1513" t="s">
        <v>18</v>
      </c>
      <c r="M1513">
        <v>4.2</v>
      </c>
    </row>
    <row r="1514" spans="1:13" x14ac:dyDescent="0.25">
      <c r="A1514">
        <v>1513</v>
      </c>
      <c r="B1514" s="1">
        <v>42910</v>
      </c>
      <c r="C1514" s="1">
        <v>43111</v>
      </c>
      <c r="D1514" t="s">
        <v>22</v>
      </c>
      <c r="E1514" t="s">
        <v>26</v>
      </c>
      <c r="F1514" s="2">
        <v>195</v>
      </c>
      <c r="G1514" t="s">
        <v>12</v>
      </c>
      <c r="H1514" s="3">
        <v>38845.599999999999</v>
      </c>
      <c r="I1514" s="3">
        <v>1023525</v>
      </c>
      <c r="J1514" s="3">
        <v>818820</v>
      </c>
      <c r="K1514" s="3">
        <v>165859.4</v>
      </c>
      <c r="L1514" t="s">
        <v>19</v>
      </c>
      <c r="M1514">
        <v>4.9000000000000004</v>
      </c>
    </row>
    <row r="1515" spans="1:13" x14ac:dyDescent="0.25">
      <c r="A1515">
        <v>1514</v>
      </c>
      <c r="B1515" s="1">
        <v>42910</v>
      </c>
      <c r="C1515" s="1">
        <v>43156</v>
      </c>
      <c r="D1515" t="s">
        <v>22</v>
      </c>
      <c r="E1515" t="s">
        <v>29</v>
      </c>
      <c r="F1515" s="2">
        <v>105</v>
      </c>
      <c r="G1515" t="s">
        <v>12</v>
      </c>
      <c r="H1515" s="3">
        <v>30473</v>
      </c>
      <c r="I1515" s="3">
        <v>817485</v>
      </c>
      <c r="J1515" s="3">
        <v>653988</v>
      </c>
      <c r="K1515" s="3">
        <v>133024</v>
      </c>
      <c r="L1515" t="s">
        <v>18</v>
      </c>
      <c r="M1515">
        <v>5</v>
      </c>
    </row>
    <row r="1516" spans="1:13" x14ac:dyDescent="0.25">
      <c r="A1516">
        <v>1515</v>
      </c>
      <c r="B1516" s="1">
        <v>42912</v>
      </c>
      <c r="C1516" s="1">
        <v>43008</v>
      </c>
      <c r="D1516" t="s">
        <v>20</v>
      </c>
      <c r="E1516" t="s">
        <v>26</v>
      </c>
      <c r="F1516" s="2">
        <v>194</v>
      </c>
      <c r="G1516" t="s">
        <v>12</v>
      </c>
      <c r="H1516" s="3">
        <v>66382</v>
      </c>
      <c r="I1516" s="3">
        <v>1725485</v>
      </c>
      <c r="J1516" s="3">
        <v>1380388</v>
      </c>
      <c r="K1516" s="3">
        <v>278715</v>
      </c>
      <c r="L1516" t="s">
        <v>19</v>
      </c>
      <c r="M1516">
        <v>4</v>
      </c>
    </row>
    <row r="1517" spans="1:13" x14ac:dyDescent="0.25">
      <c r="A1517">
        <v>1516</v>
      </c>
      <c r="B1517" s="1">
        <v>42913</v>
      </c>
      <c r="C1517" s="1">
        <v>43179</v>
      </c>
      <c r="D1517" t="s">
        <v>23</v>
      </c>
      <c r="E1517" t="s">
        <v>28</v>
      </c>
      <c r="F1517" s="2">
        <v>175</v>
      </c>
      <c r="G1517" t="s">
        <v>12</v>
      </c>
      <c r="H1517" s="3">
        <v>31592.560000000001</v>
      </c>
      <c r="I1517" s="3">
        <v>842199</v>
      </c>
      <c r="J1517" s="3">
        <v>673759.2</v>
      </c>
      <c r="K1517" s="3">
        <v>136847.24000000005</v>
      </c>
      <c r="L1517" t="s">
        <v>14</v>
      </c>
      <c r="M1517">
        <v>4.0999999999999996</v>
      </c>
    </row>
    <row r="1518" spans="1:13" x14ac:dyDescent="0.25">
      <c r="A1518">
        <v>1517</v>
      </c>
      <c r="B1518" s="1">
        <v>42914</v>
      </c>
      <c r="C1518" s="1">
        <v>43059</v>
      </c>
      <c r="D1518" t="s">
        <v>23</v>
      </c>
      <c r="E1518" t="s">
        <v>13</v>
      </c>
      <c r="F1518" s="2">
        <v>133</v>
      </c>
      <c r="G1518" t="s">
        <v>12</v>
      </c>
      <c r="H1518" s="3">
        <v>47831.040000000001</v>
      </c>
      <c r="I1518" s="3">
        <v>1253986</v>
      </c>
      <c r="J1518" s="3">
        <v>1003188.8</v>
      </c>
      <c r="K1518" s="3">
        <v>202966.15999999995</v>
      </c>
      <c r="L1518" t="s">
        <v>16</v>
      </c>
      <c r="M1518">
        <v>4.5</v>
      </c>
    </row>
    <row r="1519" spans="1:13" x14ac:dyDescent="0.25">
      <c r="A1519">
        <v>1518</v>
      </c>
      <c r="B1519" s="1">
        <v>42914</v>
      </c>
      <c r="C1519" s="1">
        <v>43009</v>
      </c>
      <c r="D1519" t="s">
        <v>22</v>
      </c>
      <c r="E1519" t="s">
        <v>13</v>
      </c>
      <c r="F1519" s="2">
        <v>147</v>
      </c>
      <c r="G1519" t="s">
        <v>12</v>
      </c>
      <c r="H1519" s="3">
        <v>57112.959999999999</v>
      </c>
      <c r="I1519" s="3">
        <v>1493484</v>
      </c>
      <c r="J1519" s="3">
        <v>1194787.2</v>
      </c>
      <c r="K1519" s="3">
        <v>241583.84000000005</v>
      </c>
      <c r="L1519" t="s">
        <v>14</v>
      </c>
      <c r="M1519">
        <v>4.2</v>
      </c>
    </row>
    <row r="1520" spans="1:13" x14ac:dyDescent="0.25">
      <c r="A1520">
        <v>1519</v>
      </c>
      <c r="B1520" s="1">
        <v>42914</v>
      </c>
      <c r="C1520" s="1">
        <v>43247</v>
      </c>
      <c r="D1520" t="s">
        <v>23</v>
      </c>
      <c r="E1520" t="s">
        <v>28</v>
      </c>
      <c r="F1520" s="2">
        <v>70</v>
      </c>
      <c r="G1520" t="s">
        <v>11</v>
      </c>
      <c r="H1520" s="3">
        <v>25633.32</v>
      </c>
      <c r="I1520" s="3">
        <v>696343</v>
      </c>
      <c r="J1520" s="3">
        <v>557074.4</v>
      </c>
      <c r="K1520" s="3">
        <v>113635.27999999997</v>
      </c>
      <c r="L1520" t="s">
        <v>14</v>
      </c>
      <c r="M1520">
        <v>3.9</v>
      </c>
    </row>
    <row r="1521" spans="1:13" x14ac:dyDescent="0.25">
      <c r="A1521">
        <v>1520</v>
      </c>
      <c r="B1521" s="1">
        <v>42914</v>
      </c>
      <c r="C1521" s="1">
        <v>43038</v>
      </c>
      <c r="D1521" t="s">
        <v>21</v>
      </c>
      <c r="E1521" t="s">
        <v>29</v>
      </c>
      <c r="F1521" s="2">
        <v>172</v>
      </c>
      <c r="G1521" t="s">
        <v>12</v>
      </c>
      <c r="H1521" s="3">
        <v>39129</v>
      </c>
      <c r="I1521" s="3">
        <v>1036435</v>
      </c>
      <c r="J1521" s="3">
        <v>829148</v>
      </c>
      <c r="K1521" s="3">
        <v>168158</v>
      </c>
      <c r="L1521" t="s">
        <v>14</v>
      </c>
      <c r="M1521">
        <v>4.2</v>
      </c>
    </row>
    <row r="1522" spans="1:13" x14ac:dyDescent="0.25">
      <c r="A1522">
        <v>1521</v>
      </c>
      <c r="B1522" s="1">
        <v>42915</v>
      </c>
      <c r="C1522" s="1">
        <v>43047</v>
      </c>
      <c r="D1522" t="s">
        <v>23</v>
      </c>
      <c r="E1522" t="s">
        <v>13</v>
      </c>
      <c r="F1522" s="2">
        <v>46</v>
      </c>
      <c r="G1522" t="s">
        <v>11</v>
      </c>
      <c r="H1522" s="3">
        <v>15285.72</v>
      </c>
      <c r="I1522" s="3">
        <v>435628</v>
      </c>
      <c r="J1522" s="3">
        <v>348502.4</v>
      </c>
      <c r="K1522" s="3">
        <v>71839.879999999976</v>
      </c>
      <c r="L1522" t="s">
        <v>17</v>
      </c>
      <c r="M1522">
        <v>4.4000000000000004</v>
      </c>
    </row>
    <row r="1523" spans="1:13" x14ac:dyDescent="0.25">
      <c r="A1523">
        <v>1522</v>
      </c>
      <c r="B1523" s="1">
        <v>42915</v>
      </c>
      <c r="C1523" s="1">
        <v>43063</v>
      </c>
      <c r="D1523" t="s">
        <v>23</v>
      </c>
      <c r="E1523" t="s">
        <v>28</v>
      </c>
      <c r="F1523" s="2">
        <v>36</v>
      </c>
      <c r="G1523" t="s">
        <v>11</v>
      </c>
      <c r="H1523" s="3">
        <v>11449.8</v>
      </c>
      <c r="I1523" s="3">
        <v>342605</v>
      </c>
      <c r="J1523" s="3">
        <v>274084</v>
      </c>
      <c r="K1523" s="3">
        <v>57071.199999999997</v>
      </c>
      <c r="L1523" t="s">
        <v>14</v>
      </c>
      <c r="M1523">
        <v>4.5999999999999996</v>
      </c>
    </row>
    <row r="1524" spans="1:13" x14ac:dyDescent="0.25">
      <c r="A1524">
        <v>1523</v>
      </c>
      <c r="B1524" s="1">
        <v>42915</v>
      </c>
      <c r="C1524" s="1">
        <v>43124</v>
      </c>
      <c r="D1524" t="s">
        <v>23</v>
      </c>
      <c r="E1524" t="s">
        <v>26</v>
      </c>
      <c r="F1524" s="2">
        <v>151</v>
      </c>
      <c r="G1524" t="s">
        <v>12</v>
      </c>
      <c r="H1524" s="3">
        <v>56952.28</v>
      </c>
      <c r="I1524" s="3">
        <v>1490717</v>
      </c>
      <c r="J1524" s="3">
        <v>1192573.6000000001</v>
      </c>
      <c r="K1524" s="3">
        <v>241191.11999999991</v>
      </c>
      <c r="L1524" t="s">
        <v>15</v>
      </c>
      <c r="M1524">
        <v>3.9</v>
      </c>
    </row>
    <row r="1525" spans="1:13" x14ac:dyDescent="0.25">
      <c r="A1525">
        <v>1524</v>
      </c>
      <c r="B1525" s="1">
        <v>42915</v>
      </c>
      <c r="C1525" s="1">
        <v>43080</v>
      </c>
      <c r="D1525" t="s">
        <v>23</v>
      </c>
      <c r="E1525" t="s">
        <v>13</v>
      </c>
      <c r="F1525" s="2">
        <v>131</v>
      </c>
      <c r="G1525" t="s">
        <v>12</v>
      </c>
      <c r="H1525" s="3">
        <v>34501.199999999997</v>
      </c>
      <c r="I1525" s="3">
        <v>916865</v>
      </c>
      <c r="J1525" s="3">
        <v>733492</v>
      </c>
      <c r="K1525" s="3">
        <v>148871.79999999999</v>
      </c>
      <c r="L1525" t="s">
        <v>18</v>
      </c>
      <c r="M1525">
        <v>4.8</v>
      </c>
    </row>
    <row r="1526" spans="1:13" x14ac:dyDescent="0.25">
      <c r="A1526">
        <v>1525</v>
      </c>
      <c r="B1526" s="1">
        <v>42916</v>
      </c>
      <c r="C1526" s="1">
        <v>43143</v>
      </c>
      <c r="D1526" t="s">
        <v>21</v>
      </c>
      <c r="E1526" t="s">
        <v>24</v>
      </c>
      <c r="F1526" s="2">
        <v>247</v>
      </c>
      <c r="G1526" t="s">
        <v>12</v>
      </c>
      <c r="H1526" s="3">
        <v>90158.88</v>
      </c>
      <c r="I1526" s="3">
        <v>2319857</v>
      </c>
      <c r="J1526" s="3">
        <v>1855885.6</v>
      </c>
      <c r="K1526" s="3">
        <v>373812.5199999999</v>
      </c>
      <c r="L1526" t="s">
        <v>14</v>
      </c>
      <c r="M1526">
        <v>4.4000000000000004</v>
      </c>
    </row>
    <row r="1527" spans="1:13" x14ac:dyDescent="0.25">
      <c r="A1527">
        <v>1526</v>
      </c>
      <c r="B1527" s="1">
        <v>42916</v>
      </c>
      <c r="C1527" s="1">
        <v>43248</v>
      </c>
      <c r="D1527" t="s">
        <v>21</v>
      </c>
      <c r="E1527" t="s">
        <v>13</v>
      </c>
      <c r="F1527" s="2">
        <v>63</v>
      </c>
      <c r="G1527" t="s">
        <v>11</v>
      </c>
      <c r="H1527" s="3">
        <v>22430.32</v>
      </c>
      <c r="I1527" s="3">
        <v>623393</v>
      </c>
      <c r="J1527" s="3">
        <v>498714.4</v>
      </c>
      <c r="K1527" s="3">
        <v>102248.27999999997</v>
      </c>
      <c r="L1527" t="s">
        <v>19</v>
      </c>
      <c r="M1527">
        <v>5</v>
      </c>
    </row>
    <row r="1528" spans="1:13" x14ac:dyDescent="0.25">
      <c r="A1528">
        <v>1527</v>
      </c>
      <c r="B1528" s="1">
        <v>42916</v>
      </c>
      <c r="C1528" s="1">
        <v>43010</v>
      </c>
      <c r="D1528" t="s">
        <v>20</v>
      </c>
      <c r="E1528" t="s">
        <v>24</v>
      </c>
      <c r="F1528" s="2">
        <v>46</v>
      </c>
      <c r="G1528" t="s">
        <v>11</v>
      </c>
      <c r="H1528" s="3">
        <v>15201</v>
      </c>
      <c r="I1528" s="3">
        <v>437085</v>
      </c>
      <c r="J1528" s="3">
        <v>349668</v>
      </c>
      <c r="K1528" s="3">
        <v>72216</v>
      </c>
      <c r="L1528" t="s">
        <v>18</v>
      </c>
      <c r="M1528">
        <v>4.8</v>
      </c>
    </row>
    <row r="1529" spans="1:13" x14ac:dyDescent="0.25">
      <c r="A1529">
        <v>1528</v>
      </c>
      <c r="B1529" s="1">
        <v>42916</v>
      </c>
      <c r="C1529" s="1">
        <v>43051</v>
      </c>
      <c r="D1529" t="s">
        <v>23</v>
      </c>
      <c r="E1529" t="s">
        <v>13</v>
      </c>
      <c r="F1529" s="2">
        <v>201</v>
      </c>
      <c r="G1529" t="s">
        <v>12</v>
      </c>
      <c r="H1529" s="3">
        <v>44325.32</v>
      </c>
      <c r="I1529" s="3">
        <v>1169093</v>
      </c>
      <c r="J1529" s="3">
        <v>935274.4</v>
      </c>
      <c r="K1529" s="3">
        <v>189493.27999999997</v>
      </c>
      <c r="L1529" t="s">
        <v>18</v>
      </c>
      <c r="M1529">
        <v>4.2</v>
      </c>
    </row>
    <row r="1530" spans="1:13" x14ac:dyDescent="0.25">
      <c r="A1530">
        <v>1529</v>
      </c>
      <c r="B1530" s="1">
        <v>42916</v>
      </c>
      <c r="C1530" s="1">
        <v>43257</v>
      </c>
      <c r="D1530" t="s">
        <v>20</v>
      </c>
      <c r="E1530" t="s">
        <v>25</v>
      </c>
      <c r="F1530" s="2">
        <v>180</v>
      </c>
      <c r="G1530" t="s">
        <v>12</v>
      </c>
      <c r="H1530" s="3">
        <v>49638</v>
      </c>
      <c r="I1530" s="3">
        <v>1293560</v>
      </c>
      <c r="J1530" s="3">
        <v>1034848</v>
      </c>
      <c r="K1530" s="3">
        <v>209074</v>
      </c>
      <c r="L1530" t="s">
        <v>18</v>
      </c>
      <c r="M1530">
        <v>4.4000000000000004</v>
      </c>
    </row>
    <row r="1531" spans="1:13" x14ac:dyDescent="0.25">
      <c r="A1531">
        <v>1530</v>
      </c>
      <c r="B1531" s="1">
        <v>42916</v>
      </c>
      <c r="C1531" s="1">
        <v>43258</v>
      </c>
      <c r="D1531" t="s">
        <v>23</v>
      </c>
      <c r="E1531" t="s">
        <v>28</v>
      </c>
      <c r="F1531" s="2">
        <v>63</v>
      </c>
      <c r="G1531" t="s">
        <v>11</v>
      </c>
      <c r="H1531" s="3">
        <v>18383.599999999999</v>
      </c>
      <c r="I1531" s="3">
        <v>516725</v>
      </c>
      <c r="J1531" s="3">
        <v>413380</v>
      </c>
      <c r="K1531" s="3">
        <v>84961.4</v>
      </c>
      <c r="L1531" t="s">
        <v>17</v>
      </c>
      <c r="M1531">
        <v>4.3</v>
      </c>
    </row>
    <row r="1532" spans="1:13" x14ac:dyDescent="0.25">
      <c r="A1532">
        <v>1531</v>
      </c>
      <c r="B1532" s="1">
        <v>42917</v>
      </c>
      <c r="C1532" s="1">
        <v>43028</v>
      </c>
      <c r="D1532" t="s">
        <v>23</v>
      </c>
      <c r="E1532" t="s">
        <v>26</v>
      </c>
      <c r="F1532" s="2">
        <v>247</v>
      </c>
      <c r="G1532" t="s">
        <v>12</v>
      </c>
      <c r="H1532" s="3">
        <v>91835.64</v>
      </c>
      <c r="I1532" s="3">
        <v>2362251</v>
      </c>
      <c r="J1532" s="3">
        <v>1889800.8</v>
      </c>
      <c r="K1532" s="3">
        <v>380614.55999999994</v>
      </c>
      <c r="L1532" t="s">
        <v>16</v>
      </c>
      <c r="M1532">
        <v>3.7</v>
      </c>
    </row>
    <row r="1533" spans="1:13" x14ac:dyDescent="0.25">
      <c r="A1533">
        <v>1532</v>
      </c>
      <c r="B1533" s="1">
        <v>42917</v>
      </c>
      <c r="C1533" s="1">
        <v>43223</v>
      </c>
      <c r="D1533" t="s">
        <v>21</v>
      </c>
      <c r="E1533" t="s">
        <v>24</v>
      </c>
      <c r="F1533" s="2">
        <v>255</v>
      </c>
      <c r="G1533" t="s">
        <v>12</v>
      </c>
      <c r="H1533" s="3">
        <v>60735.199999999997</v>
      </c>
      <c r="I1533" s="3">
        <v>1579065</v>
      </c>
      <c r="J1533" s="3">
        <v>1263252</v>
      </c>
      <c r="K1533" s="3">
        <v>255077.8</v>
      </c>
      <c r="L1533" t="s">
        <v>19</v>
      </c>
      <c r="M1533">
        <v>4.3</v>
      </c>
    </row>
    <row r="1534" spans="1:13" x14ac:dyDescent="0.25">
      <c r="A1534">
        <v>1533</v>
      </c>
      <c r="B1534" s="1">
        <v>42917</v>
      </c>
      <c r="C1534" s="1">
        <v>43124</v>
      </c>
      <c r="D1534" t="s">
        <v>20</v>
      </c>
      <c r="E1534" t="s">
        <v>13</v>
      </c>
      <c r="F1534" s="2">
        <v>64</v>
      </c>
      <c r="G1534" t="s">
        <v>11</v>
      </c>
      <c r="H1534" s="3">
        <v>20806.080000000002</v>
      </c>
      <c r="I1534" s="3">
        <v>576937</v>
      </c>
      <c r="J1534" s="3">
        <v>461549.6</v>
      </c>
      <c r="K1534" s="3">
        <v>94581.320000000022</v>
      </c>
      <c r="L1534" t="s">
        <v>17</v>
      </c>
      <c r="M1534">
        <v>5</v>
      </c>
    </row>
    <row r="1535" spans="1:13" x14ac:dyDescent="0.25">
      <c r="A1535">
        <v>1534</v>
      </c>
      <c r="B1535" s="1">
        <v>42918</v>
      </c>
      <c r="C1535" s="1">
        <v>43203</v>
      </c>
      <c r="D1535" t="s">
        <v>23</v>
      </c>
      <c r="E1535" t="s">
        <v>25</v>
      </c>
      <c r="F1535" s="2">
        <v>211</v>
      </c>
      <c r="G1535" t="s">
        <v>12</v>
      </c>
      <c r="H1535" s="3">
        <v>68872.72</v>
      </c>
      <c r="I1535" s="3">
        <v>1778778</v>
      </c>
      <c r="J1535" s="3">
        <v>1423022.4</v>
      </c>
      <c r="K1535" s="3">
        <v>286882.88000000012</v>
      </c>
      <c r="L1535" t="s">
        <v>15</v>
      </c>
      <c r="M1535">
        <v>3.6</v>
      </c>
    </row>
    <row r="1536" spans="1:13" x14ac:dyDescent="0.25">
      <c r="A1536">
        <v>1535</v>
      </c>
      <c r="B1536" s="1">
        <v>42920</v>
      </c>
      <c r="C1536" s="1">
        <v>43059</v>
      </c>
      <c r="D1536" t="s">
        <v>20</v>
      </c>
      <c r="E1536" t="s">
        <v>13</v>
      </c>
      <c r="F1536" s="2">
        <v>65</v>
      </c>
      <c r="G1536" t="s">
        <v>11</v>
      </c>
      <c r="H1536" s="3">
        <v>17419.240000000002</v>
      </c>
      <c r="I1536" s="3">
        <v>493241</v>
      </c>
      <c r="J1536" s="3">
        <v>394592.8</v>
      </c>
      <c r="K1536" s="3">
        <v>81228.960000000006</v>
      </c>
      <c r="L1536" t="s">
        <v>15</v>
      </c>
      <c r="M1536">
        <v>4.0999999999999996</v>
      </c>
    </row>
    <row r="1537" spans="1:13" x14ac:dyDescent="0.25">
      <c r="A1537">
        <v>1536</v>
      </c>
      <c r="B1537" s="1">
        <v>42920</v>
      </c>
      <c r="C1537" s="1">
        <v>43070</v>
      </c>
      <c r="D1537" t="s">
        <v>22</v>
      </c>
      <c r="E1537" t="s">
        <v>13</v>
      </c>
      <c r="F1537" s="2">
        <v>39</v>
      </c>
      <c r="G1537" t="s">
        <v>11</v>
      </c>
      <c r="H1537" s="3">
        <v>13340.36</v>
      </c>
      <c r="I1537" s="3">
        <v>398244</v>
      </c>
      <c r="J1537" s="3">
        <v>318595.20000000001</v>
      </c>
      <c r="K1537" s="3">
        <v>66308.439999999988</v>
      </c>
      <c r="L1537" t="s">
        <v>17</v>
      </c>
      <c r="M1537">
        <v>4.7</v>
      </c>
    </row>
    <row r="1538" spans="1:13" x14ac:dyDescent="0.25">
      <c r="A1538">
        <v>1537</v>
      </c>
      <c r="B1538" s="1">
        <v>42920</v>
      </c>
      <c r="C1538" s="1">
        <v>43247</v>
      </c>
      <c r="D1538" t="s">
        <v>22</v>
      </c>
      <c r="E1538" t="s">
        <v>24</v>
      </c>
      <c r="F1538" s="2">
        <v>192</v>
      </c>
      <c r="G1538" t="s">
        <v>12</v>
      </c>
      <c r="H1538" s="3">
        <v>40584.04</v>
      </c>
      <c r="I1538" s="3">
        <v>1072311</v>
      </c>
      <c r="J1538" s="3">
        <v>857848.8</v>
      </c>
      <c r="K1538" s="3">
        <v>173878.15999999995</v>
      </c>
      <c r="L1538" t="s">
        <v>17</v>
      </c>
      <c r="M1538">
        <v>4.8</v>
      </c>
    </row>
    <row r="1539" spans="1:13" x14ac:dyDescent="0.25">
      <c r="A1539">
        <v>1538</v>
      </c>
      <c r="B1539" s="1">
        <v>42920</v>
      </c>
      <c r="C1539" s="1">
        <v>43234</v>
      </c>
      <c r="D1539" t="s">
        <v>21</v>
      </c>
      <c r="E1539" t="s">
        <v>27</v>
      </c>
      <c r="F1539" s="2">
        <v>157</v>
      </c>
      <c r="G1539" t="s">
        <v>12</v>
      </c>
      <c r="H1539" s="3">
        <v>55109.08</v>
      </c>
      <c r="I1539" s="3">
        <v>1442337</v>
      </c>
      <c r="J1539" s="3">
        <v>1153869.6000000001</v>
      </c>
      <c r="K1539" s="3">
        <v>233358.31999999989</v>
      </c>
      <c r="L1539" t="s">
        <v>15</v>
      </c>
      <c r="M1539">
        <v>3.7</v>
      </c>
    </row>
    <row r="1540" spans="1:13" x14ac:dyDescent="0.25">
      <c r="A1540">
        <v>1539</v>
      </c>
      <c r="B1540" s="1">
        <v>42920</v>
      </c>
      <c r="C1540" s="1">
        <v>43038</v>
      </c>
      <c r="D1540" t="s">
        <v>22</v>
      </c>
      <c r="E1540" t="s">
        <v>25</v>
      </c>
      <c r="F1540" s="2">
        <v>97</v>
      </c>
      <c r="G1540" t="s">
        <v>12</v>
      </c>
      <c r="H1540" s="3">
        <v>33027.72</v>
      </c>
      <c r="I1540" s="3">
        <v>886853</v>
      </c>
      <c r="J1540" s="3">
        <v>709482.4</v>
      </c>
      <c r="K1540" s="3">
        <v>144342.87999999998</v>
      </c>
      <c r="L1540" t="s">
        <v>14</v>
      </c>
      <c r="M1540">
        <v>4.0999999999999996</v>
      </c>
    </row>
    <row r="1541" spans="1:13" x14ac:dyDescent="0.25">
      <c r="A1541">
        <v>1540</v>
      </c>
      <c r="B1541" s="1">
        <v>42921</v>
      </c>
      <c r="C1541" s="1">
        <v>43058</v>
      </c>
      <c r="D1541" t="s">
        <v>22</v>
      </c>
      <c r="E1541" t="s">
        <v>27</v>
      </c>
      <c r="F1541" s="2">
        <v>223</v>
      </c>
      <c r="G1541" t="s">
        <v>12</v>
      </c>
      <c r="H1541" s="3">
        <v>88343.76</v>
      </c>
      <c r="I1541" s="3">
        <v>2260404</v>
      </c>
      <c r="J1541" s="3">
        <v>1808323.2</v>
      </c>
      <c r="K1541" s="3">
        <v>363737.04000000004</v>
      </c>
      <c r="L1541" t="s">
        <v>16</v>
      </c>
      <c r="M1541">
        <v>5</v>
      </c>
    </row>
    <row r="1542" spans="1:13" x14ac:dyDescent="0.25">
      <c r="A1542">
        <v>1541</v>
      </c>
      <c r="B1542" s="1">
        <v>42922</v>
      </c>
      <c r="C1542" s="1">
        <v>43171</v>
      </c>
      <c r="D1542" t="s">
        <v>22</v>
      </c>
      <c r="E1542" t="s">
        <v>26</v>
      </c>
      <c r="F1542" s="2">
        <v>117</v>
      </c>
      <c r="G1542" t="s">
        <v>12</v>
      </c>
      <c r="H1542" s="3">
        <v>40841.64</v>
      </c>
      <c r="I1542" s="3">
        <v>1082301</v>
      </c>
      <c r="J1542" s="3">
        <v>865840.8</v>
      </c>
      <c r="K1542" s="3">
        <v>175618.55999999994</v>
      </c>
      <c r="L1542" t="s">
        <v>14</v>
      </c>
      <c r="M1542">
        <v>4.0999999999999996</v>
      </c>
    </row>
    <row r="1543" spans="1:13" x14ac:dyDescent="0.25">
      <c r="A1543">
        <v>1542</v>
      </c>
      <c r="B1543" s="1">
        <v>42922</v>
      </c>
      <c r="C1543" s="1">
        <v>43198</v>
      </c>
      <c r="D1543" t="s">
        <v>23</v>
      </c>
      <c r="E1543" t="s">
        <v>28</v>
      </c>
      <c r="F1543" s="2">
        <v>236</v>
      </c>
      <c r="G1543" t="s">
        <v>12</v>
      </c>
      <c r="H1543" s="3">
        <v>95336.320000000007</v>
      </c>
      <c r="I1543" s="3">
        <v>2437568</v>
      </c>
      <c r="J1543" s="3">
        <v>1950054.3999999999</v>
      </c>
      <c r="K1543" s="3">
        <v>392177.28000000009</v>
      </c>
      <c r="L1543" t="s">
        <v>16</v>
      </c>
      <c r="M1543">
        <v>4</v>
      </c>
    </row>
    <row r="1544" spans="1:13" x14ac:dyDescent="0.25">
      <c r="A1544">
        <v>1543</v>
      </c>
      <c r="B1544" s="1">
        <v>42922</v>
      </c>
      <c r="C1544" s="1">
        <v>43096</v>
      </c>
      <c r="D1544" t="s">
        <v>22</v>
      </c>
      <c r="E1544" t="s">
        <v>26</v>
      </c>
      <c r="F1544" s="2">
        <v>46</v>
      </c>
      <c r="G1544" t="s">
        <v>11</v>
      </c>
      <c r="H1544" s="3">
        <v>14045.76</v>
      </c>
      <c r="I1544" s="3">
        <v>417979</v>
      </c>
      <c r="J1544" s="3">
        <v>334383.2</v>
      </c>
      <c r="K1544" s="3">
        <v>69550.039999999994</v>
      </c>
      <c r="L1544" t="s">
        <v>19</v>
      </c>
      <c r="M1544">
        <v>4.2</v>
      </c>
    </row>
    <row r="1545" spans="1:13" x14ac:dyDescent="0.25">
      <c r="A1545">
        <v>1544</v>
      </c>
      <c r="B1545" s="1">
        <v>42922</v>
      </c>
      <c r="C1545" s="1">
        <v>43283</v>
      </c>
      <c r="D1545" t="s">
        <v>20</v>
      </c>
      <c r="E1545" t="s">
        <v>28</v>
      </c>
      <c r="F1545" s="2">
        <v>195</v>
      </c>
      <c r="G1545" t="s">
        <v>12</v>
      </c>
      <c r="H1545" s="3">
        <v>61869.72</v>
      </c>
      <c r="I1545" s="3">
        <v>1609978</v>
      </c>
      <c r="J1545" s="3">
        <v>1287982.3999999999</v>
      </c>
      <c r="K1545" s="3">
        <v>260125.88000000009</v>
      </c>
      <c r="L1545" t="s">
        <v>19</v>
      </c>
      <c r="M1545">
        <v>4</v>
      </c>
    </row>
    <row r="1546" spans="1:13" x14ac:dyDescent="0.25">
      <c r="A1546">
        <v>1545</v>
      </c>
      <c r="B1546" s="1">
        <v>42922</v>
      </c>
      <c r="C1546" s="1">
        <v>43274</v>
      </c>
      <c r="D1546" t="s">
        <v>20</v>
      </c>
      <c r="E1546" t="s">
        <v>27</v>
      </c>
      <c r="F1546" s="2">
        <v>84</v>
      </c>
      <c r="G1546" t="s">
        <v>12</v>
      </c>
      <c r="H1546" s="3">
        <v>33530.32</v>
      </c>
      <c r="I1546" s="3">
        <v>902493</v>
      </c>
      <c r="J1546" s="3">
        <v>721994.4</v>
      </c>
      <c r="K1546" s="3">
        <v>146968.27999999997</v>
      </c>
      <c r="L1546" t="s">
        <v>15</v>
      </c>
      <c r="M1546">
        <v>4.3</v>
      </c>
    </row>
    <row r="1547" spans="1:13" x14ac:dyDescent="0.25">
      <c r="A1547">
        <v>1546</v>
      </c>
      <c r="B1547" s="1">
        <v>42923</v>
      </c>
      <c r="C1547" s="1">
        <v>43167</v>
      </c>
      <c r="D1547" t="s">
        <v>22</v>
      </c>
      <c r="E1547" t="s">
        <v>27</v>
      </c>
      <c r="F1547" s="2">
        <v>132</v>
      </c>
      <c r="G1547" t="s">
        <v>12</v>
      </c>
      <c r="H1547" s="3">
        <v>51073.4</v>
      </c>
      <c r="I1547" s="3">
        <v>1330595</v>
      </c>
      <c r="J1547" s="3">
        <v>1064476</v>
      </c>
      <c r="K1547" s="3">
        <v>215045.6</v>
      </c>
      <c r="L1547" t="s">
        <v>17</v>
      </c>
      <c r="M1547">
        <v>3.9</v>
      </c>
    </row>
    <row r="1548" spans="1:13" x14ac:dyDescent="0.25">
      <c r="A1548">
        <v>1547</v>
      </c>
      <c r="B1548" s="1">
        <v>42923</v>
      </c>
      <c r="C1548" s="1">
        <v>43127</v>
      </c>
      <c r="D1548" t="s">
        <v>21</v>
      </c>
      <c r="E1548" t="s">
        <v>27</v>
      </c>
      <c r="F1548" s="2">
        <v>209</v>
      </c>
      <c r="G1548" t="s">
        <v>12</v>
      </c>
      <c r="H1548" s="3">
        <v>49182.36</v>
      </c>
      <c r="I1548" s="3">
        <v>1295019</v>
      </c>
      <c r="J1548" s="3">
        <v>1036015.2</v>
      </c>
      <c r="K1548" s="3">
        <v>209821.44000000006</v>
      </c>
      <c r="L1548" t="s">
        <v>18</v>
      </c>
      <c r="M1548">
        <v>4.9000000000000004</v>
      </c>
    </row>
    <row r="1549" spans="1:13" x14ac:dyDescent="0.25">
      <c r="A1549">
        <v>1548</v>
      </c>
      <c r="B1549" s="1">
        <v>42924</v>
      </c>
      <c r="C1549" s="1">
        <v>43206</v>
      </c>
      <c r="D1549" t="s">
        <v>22</v>
      </c>
      <c r="E1549" t="s">
        <v>25</v>
      </c>
      <c r="F1549" s="2">
        <v>38</v>
      </c>
      <c r="G1549" t="s">
        <v>11</v>
      </c>
      <c r="H1549" s="3">
        <v>12148.4</v>
      </c>
      <c r="I1549" s="3">
        <v>367370</v>
      </c>
      <c r="J1549" s="3">
        <v>293896</v>
      </c>
      <c r="K1549" s="3">
        <v>61325.599999999999</v>
      </c>
      <c r="L1549" t="s">
        <v>17</v>
      </c>
      <c r="M1549">
        <v>3.9</v>
      </c>
    </row>
    <row r="1550" spans="1:13" x14ac:dyDescent="0.25">
      <c r="A1550">
        <v>1549</v>
      </c>
      <c r="B1550" s="1">
        <v>42924</v>
      </c>
      <c r="C1550" s="1">
        <v>43038</v>
      </c>
      <c r="D1550" t="s">
        <v>20</v>
      </c>
      <c r="E1550" t="s">
        <v>28</v>
      </c>
      <c r="F1550" s="2">
        <v>56</v>
      </c>
      <c r="G1550" t="s">
        <v>11</v>
      </c>
      <c r="H1550" s="3">
        <v>19749.36</v>
      </c>
      <c r="I1550" s="3">
        <v>555744</v>
      </c>
      <c r="J1550" s="3">
        <v>444595.20000000001</v>
      </c>
      <c r="K1550" s="3">
        <v>91399.439999999988</v>
      </c>
      <c r="L1550" t="s">
        <v>18</v>
      </c>
      <c r="M1550">
        <v>4</v>
      </c>
    </row>
    <row r="1551" spans="1:13" x14ac:dyDescent="0.25">
      <c r="A1551">
        <v>1550</v>
      </c>
      <c r="B1551" s="1">
        <v>42925</v>
      </c>
      <c r="C1551" s="1">
        <v>43063</v>
      </c>
      <c r="D1551" t="s">
        <v>20</v>
      </c>
      <c r="E1551" t="s">
        <v>26</v>
      </c>
      <c r="F1551" s="2">
        <v>170</v>
      </c>
      <c r="G1551" t="s">
        <v>12</v>
      </c>
      <c r="H1551" s="3">
        <v>31375.759999999998</v>
      </c>
      <c r="I1551" s="3">
        <v>840629</v>
      </c>
      <c r="J1551" s="3">
        <v>672503.2</v>
      </c>
      <c r="K1551" s="3">
        <v>136750.04000000004</v>
      </c>
      <c r="L1551" t="s">
        <v>18</v>
      </c>
      <c r="M1551">
        <v>4.2</v>
      </c>
    </row>
    <row r="1552" spans="1:13" x14ac:dyDescent="0.25">
      <c r="A1552">
        <v>1551</v>
      </c>
      <c r="B1552" s="1">
        <v>42925</v>
      </c>
      <c r="C1552" s="1">
        <v>43146</v>
      </c>
      <c r="D1552" t="s">
        <v>22</v>
      </c>
      <c r="E1552" t="s">
        <v>28</v>
      </c>
      <c r="F1552" s="2">
        <v>163</v>
      </c>
      <c r="G1552" t="s">
        <v>12</v>
      </c>
      <c r="H1552" s="3">
        <v>36987.4</v>
      </c>
      <c r="I1552" s="3">
        <v>980870</v>
      </c>
      <c r="J1552" s="3">
        <v>784696</v>
      </c>
      <c r="K1552" s="3">
        <v>159186.6</v>
      </c>
      <c r="L1552" t="s">
        <v>14</v>
      </c>
      <c r="M1552">
        <v>4.5</v>
      </c>
    </row>
    <row r="1553" spans="1:13" x14ac:dyDescent="0.25">
      <c r="A1553">
        <v>1552</v>
      </c>
      <c r="B1553" s="1">
        <v>42926</v>
      </c>
      <c r="C1553" s="1">
        <v>43218</v>
      </c>
      <c r="D1553" t="s">
        <v>21</v>
      </c>
      <c r="E1553" t="s">
        <v>24</v>
      </c>
      <c r="F1553" s="2">
        <v>104</v>
      </c>
      <c r="G1553" t="s">
        <v>11</v>
      </c>
      <c r="H1553" s="3">
        <v>16776.12</v>
      </c>
      <c r="I1553" s="3">
        <v>472913</v>
      </c>
      <c r="J1553" s="3">
        <v>378330.4</v>
      </c>
      <c r="K1553" s="3">
        <v>77806.479999999981</v>
      </c>
      <c r="L1553" t="s">
        <v>17</v>
      </c>
      <c r="M1553">
        <v>4.5</v>
      </c>
    </row>
    <row r="1554" spans="1:13" x14ac:dyDescent="0.25">
      <c r="A1554">
        <v>1553</v>
      </c>
      <c r="B1554" s="1">
        <v>42927</v>
      </c>
      <c r="C1554" s="1">
        <v>43045</v>
      </c>
      <c r="D1554" t="s">
        <v>21</v>
      </c>
      <c r="E1554" t="s">
        <v>25</v>
      </c>
      <c r="F1554" s="2">
        <v>123</v>
      </c>
      <c r="G1554" t="s">
        <v>12</v>
      </c>
      <c r="H1554" s="3">
        <v>33529.599999999999</v>
      </c>
      <c r="I1554" s="3">
        <v>895525</v>
      </c>
      <c r="J1554" s="3">
        <v>716420</v>
      </c>
      <c r="K1554" s="3">
        <v>145575.4</v>
      </c>
      <c r="L1554" t="s">
        <v>16</v>
      </c>
      <c r="M1554">
        <v>4.9000000000000004</v>
      </c>
    </row>
    <row r="1555" spans="1:13" x14ac:dyDescent="0.25">
      <c r="A1555">
        <v>1554</v>
      </c>
      <c r="B1555" s="1">
        <v>42927</v>
      </c>
      <c r="C1555" s="1">
        <v>43288</v>
      </c>
      <c r="D1555" t="s">
        <v>20</v>
      </c>
      <c r="E1555" t="s">
        <v>13</v>
      </c>
      <c r="F1555" s="2">
        <v>59</v>
      </c>
      <c r="G1555" t="s">
        <v>11</v>
      </c>
      <c r="H1555" s="3">
        <v>23610.44</v>
      </c>
      <c r="I1555" s="3">
        <v>655271</v>
      </c>
      <c r="J1555" s="3">
        <v>524216.8</v>
      </c>
      <c r="K1555" s="3">
        <v>107443.76000000001</v>
      </c>
      <c r="L1555" t="s">
        <v>19</v>
      </c>
      <c r="M1555">
        <v>4</v>
      </c>
    </row>
    <row r="1556" spans="1:13" x14ac:dyDescent="0.25">
      <c r="A1556">
        <v>1555</v>
      </c>
      <c r="B1556" s="1">
        <v>42928</v>
      </c>
      <c r="C1556" s="1">
        <v>43042</v>
      </c>
      <c r="D1556" t="s">
        <v>21</v>
      </c>
      <c r="E1556" t="s">
        <v>27</v>
      </c>
      <c r="F1556" s="2">
        <v>127</v>
      </c>
      <c r="G1556" t="s">
        <v>11</v>
      </c>
      <c r="H1556" s="3">
        <v>27704.6</v>
      </c>
      <c r="I1556" s="3">
        <v>745325</v>
      </c>
      <c r="J1556" s="3">
        <v>596260</v>
      </c>
      <c r="K1556" s="3">
        <v>121360.4</v>
      </c>
      <c r="L1556" t="s">
        <v>19</v>
      </c>
      <c r="M1556">
        <v>4.0999999999999996</v>
      </c>
    </row>
    <row r="1557" spans="1:13" x14ac:dyDescent="0.25">
      <c r="A1557">
        <v>1556</v>
      </c>
      <c r="B1557" s="1">
        <v>42928</v>
      </c>
      <c r="C1557" s="1">
        <v>43264</v>
      </c>
      <c r="D1557" t="s">
        <v>22</v>
      </c>
      <c r="E1557" t="s">
        <v>24</v>
      </c>
      <c r="F1557" s="2">
        <v>176</v>
      </c>
      <c r="G1557" t="s">
        <v>12</v>
      </c>
      <c r="H1557" s="3">
        <v>54663.519999999997</v>
      </c>
      <c r="I1557" s="3">
        <v>1424723</v>
      </c>
      <c r="J1557" s="3">
        <v>1139778.3999999999</v>
      </c>
      <c r="K1557" s="3">
        <v>230281.0800000001</v>
      </c>
      <c r="L1557" t="s">
        <v>16</v>
      </c>
      <c r="M1557">
        <v>4.9000000000000004</v>
      </c>
    </row>
    <row r="1558" spans="1:13" x14ac:dyDescent="0.25">
      <c r="A1558">
        <v>1557</v>
      </c>
      <c r="B1558" s="1">
        <v>42928</v>
      </c>
      <c r="C1558" s="1">
        <v>43205</v>
      </c>
      <c r="D1558" t="s">
        <v>22</v>
      </c>
      <c r="E1558" t="s">
        <v>28</v>
      </c>
      <c r="F1558" s="2">
        <v>152</v>
      </c>
      <c r="G1558" t="s">
        <v>12</v>
      </c>
      <c r="H1558" s="3">
        <v>62321.8</v>
      </c>
      <c r="I1558" s="3">
        <v>1619330</v>
      </c>
      <c r="J1558" s="3">
        <v>1295464</v>
      </c>
      <c r="K1558" s="3">
        <v>261544.2</v>
      </c>
      <c r="L1558" t="s">
        <v>15</v>
      </c>
      <c r="M1558">
        <v>3.8</v>
      </c>
    </row>
    <row r="1559" spans="1:13" x14ac:dyDescent="0.25">
      <c r="A1559">
        <v>1558</v>
      </c>
      <c r="B1559" s="1">
        <v>42929</v>
      </c>
      <c r="C1559" s="1">
        <v>43038</v>
      </c>
      <c r="D1559" t="s">
        <v>23</v>
      </c>
      <c r="E1559" t="s">
        <v>28</v>
      </c>
      <c r="F1559" s="2">
        <v>160</v>
      </c>
      <c r="G1559" t="s">
        <v>12</v>
      </c>
      <c r="H1559" s="3">
        <v>32287.919999999998</v>
      </c>
      <c r="I1559" s="3">
        <v>867133</v>
      </c>
      <c r="J1559" s="3">
        <v>693706.4</v>
      </c>
      <c r="K1559" s="3">
        <v>141138.68</v>
      </c>
      <c r="L1559" t="s">
        <v>16</v>
      </c>
      <c r="M1559">
        <v>4.3</v>
      </c>
    </row>
    <row r="1560" spans="1:13" x14ac:dyDescent="0.25">
      <c r="A1560">
        <v>1559</v>
      </c>
      <c r="B1560" s="1">
        <v>42929</v>
      </c>
      <c r="C1560" s="1">
        <v>43236</v>
      </c>
      <c r="D1560" t="s">
        <v>22</v>
      </c>
      <c r="E1560" t="s">
        <v>28</v>
      </c>
      <c r="F1560" s="2">
        <v>131</v>
      </c>
      <c r="G1560" t="s">
        <v>12</v>
      </c>
      <c r="H1560" s="3">
        <v>31793.52</v>
      </c>
      <c r="I1560" s="3">
        <v>861173</v>
      </c>
      <c r="J1560" s="3">
        <v>688938.4</v>
      </c>
      <c r="K1560" s="3">
        <v>140441.07999999999</v>
      </c>
      <c r="L1560" t="s">
        <v>16</v>
      </c>
      <c r="M1560">
        <v>3.9</v>
      </c>
    </row>
    <row r="1561" spans="1:13" x14ac:dyDescent="0.25">
      <c r="A1561">
        <v>1560</v>
      </c>
      <c r="B1561" s="1">
        <v>42930</v>
      </c>
      <c r="C1561" s="1">
        <v>43033</v>
      </c>
      <c r="D1561" t="s">
        <v>21</v>
      </c>
      <c r="E1561" t="s">
        <v>29</v>
      </c>
      <c r="F1561" s="2">
        <v>170</v>
      </c>
      <c r="G1561" t="s">
        <v>12</v>
      </c>
      <c r="H1561" s="3">
        <v>42230.84</v>
      </c>
      <c r="I1561" s="3">
        <v>1111406</v>
      </c>
      <c r="J1561" s="3">
        <v>889124.8</v>
      </c>
      <c r="K1561" s="3">
        <v>180050.35999999996</v>
      </c>
      <c r="L1561" t="s">
        <v>19</v>
      </c>
      <c r="M1561">
        <v>4.8</v>
      </c>
    </row>
    <row r="1562" spans="1:13" x14ac:dyDescent="0.25">
      <c r="A1562">
        <v>1561</v>
      </c>
      <c r="B1562" s="1">
        <v>42931</v>
      </c>
      <c r="C1562" s="1">
        <v>43222</v>
      </c>
      <c r="D1562" t="s">
        <v>23</v>
      </c>
      <c r="E1562" t="s">
        <v>28</v>
      </c>
      <c r="F1562" s="2">
        <v>284</v>
      </c>
      <c r="G1562" t="s">
        <v>12</v>
      </c>
      <c r="H1562" s="3">
        <v>71940.240000000005</v>
      </c>
      <c r="I1562" s="3">
        <v>1859891</v>
      </c>
      <c r="J1562" s="3">
        <v>1487912.8</v>
      </c>
      <c r="K1562" s="3">
        <v>300037.95999999996</v>
      </c>
      <c r="L1562" t="s">
        <v>15</v>
      </c>
      <c r="M1562">
        <v>3.9</v>
      </c>
    </row>
    <row r="1563" spans="1:13" x14ac:dyDescent="0.25">
      <c r="A1563">
        <v>1562</v>
      </c>
      <c r="B1563" s="1">
        <v>42931</v>
      </c>
      <c r="C1563" s="1">
        <v>43025</v>
      </c>
      <c r="D1563" t="s">
        <v>21</v>
      </c>
      <c r="E1563" t="s">
        <v>13</v>
      </c>
      <c r="F1563" s="2">
        <v>68</v>
      </c>
      <c r="G1563" t="s">
        <v>11</v>
      </c>
      <c r="H1563" s="3">
        <v>22707.52</v>
      </c>
      <c r="I1563" s="3">
        <v>620123</v>
      </c>
      <c r="J1563" s="3">
        <v>496098.4</v>
      </c>
      <c r="K1563" s="3">
        <v>101317.07999999997</v>
      </c>
      <c r="L1563" t="s">
        <v>19</v>
      </c>
      <c r="M1563">
        <v>5</v>
      </c>
    </row>
    <row r="1564" spans="1:13" x14ac:dyDescent="0.25">
      <c r="A1564">
        <v>1563</v>
      </c>
      <c r="B1564" s="1">
        <v>42931</v>
      </c>
      <c r="C1564" s="1">
        <v>43291</v>
      </c>
      <c r="D1564" t="s">
        <v>21</v>
      </c>
      <c r="E1564" t="s">
        <v>24</v>
      </c>
      <c r="F1564" s="2">
        <v>203</v>
      </c>
      <c r="G1564" t="s">
        <v>12</v>
      </c>
      <c r="H1564" s="3">
        <v>74301.399999999994</v>
      </c>
      <c r="I1564" s="3">
        <v>1918295</v>
      </c>
      <c r="J1564" s="3">
        <v>1534636</v>
      </c>
      <c r="K1564" s="3">
        <v>309357.59999999998</v>
      </c>
      <c r="L1564" t="s">
        <v>16</v>
      </c>
      <c r="M1564">
        <v>4.8</v>
      </c>
    </row>
    <row r="1565" spans="1:13" x14ac:dyDescent="0.25">
      <c r="A1565">
        <v>1564</v>
      </c>
      <c r="B1565" s="1">
        <v>42931</v>
      </c>
      <c r="C1565" s="1">
        <v>43026</v>
      </c>
      <c r="D1565" t="s">
        <v>22</v>
      </c>
      <c r="E1565" t="s">
        <v>29</v>
      </c>
      <c r="F1565" s="2">
        <v>233</v>
      </c>
      <c r="G1565" t="s">
        <v>12</v>
      </c>
      <c r="H1565" s="3">
        <v>78546.600000000006</v>
      </c>
      <c r="I1565" s="3">
        <v>2020325</v>
      </c>
      <c r="J1565" s="3">
        <v>1616260</v>
      </c>
      <c r="K1565" s="3">
        <v>325518.40000000002</v>
      </c>
      <c r="L1565" t="s">
        <v>15</v>
      </c>
      <c r="M1565">
        <v>3.6</v>
      </c>
    </row>
    <row r="1566" spans="1:13" x14ac:dyDescent="0.25">
      <c r="A1566">
        <v>1565</v>
      </c>
      <c r="B1566" s="1">
        <v>42932</v>
      </c>
      <c r="C1566" s="1">
        <v>43249</v>
      </c>
      <c r="D1566" t="s">
        <v>23</v>
      </c>
      <c r="E1566" t="s">
        <v>25</v>
      </c>
      <c r="F1566" s="2">
        <v>76</v>
      </c>
      <c r="G1566" t="s">
        <v>11</v>
      </c>
      <c r="H1566" s="3">
        <v>20145.599999999999</v>
      </c>
      <c r="I1566" s="3">
        <v>570325</v>
      </c>
      <c r="J1566" s="3">
        <v>456260</v>
      </c>
      <c r="K1566" s="3">
        <v>93919.4</v>
      </c>
      <c r="L1566" t="s">
        <v>19</v>
      </c>
      <c r="M1566">
        <v>4.4000000000000004</v>
      </c>
    </row>
    <row r="1567" spans="1:13" x14ac:dyDescent="0.25">
      <c r="A1567">
        <v>1566</v>
      </c>
      <c r="B1567" s="1">
        <v>42932</v>
      </c>
      <c r="C1567" s="1">
        <v>43253</v>
      </c>
      <c r="D1567" t="s">
        <v>22</v>
      </c>
      <c r="E1567" t="s">
        <v>28</v>
      </c>
      <c r="F1567" s="2">
        <v>133</v>
      </c>
      <c r="G1567" t="s">
        <v>11</v>
      </c>
      <c r="H1567" s="3">
        <v>27327.599999999999</v>
      </c>
      <c r="I1567" s="3">
        <v>742925</v>
      </c>
      <c r="J1567" s="3">
        <v>594340</v>
      </c>
      <c r="K1567" s="3">
        <v>121257.4</v>
      </c>
      <c r="L1567" t="s">
        <v>15</v>
      </c>
      <c r="M1567">
        <v>4.0999999999999996</v>
      </c>
    </row>
    <row r="1568" spans="1:13" x14ac:dyDescent="0.25">
      <c r="A1568">
        <v>1567</v>
      </c>
      <c r="B1568" s="1">
        <v>42932</v>
      </c>
      <c r="C1568" s="1">
        <v>43052</v>
      </c>
      <c r="D1568" t="s">
        <v>21</v>
      </c>
      <c r="E1568" t="s">
        <v>28</v>
      </c>
      <c r="F1568" s="2">
        <v>289</v>
      </c>
      <c r="G1568" t="s">
        <v>12</v>
      </c>
      <c r="H1568" s="3">
        <v>81296.84</v>
      </c>
      <c r="I1568" s="3">
        <v>2093981</v>
      </c>
      <c r="J1568" s="3">
        <v>1675184.8</v>
      </c>
      <c r="K1568" s="3">
        <v>337499.36</v>
      </c>
      <c r="L1568" t="s">
        <v>17</v>
      </c>
      <c r="M1568">
        <v>4.5999999999999996</v>
      </c>
    </row>
    <row r="1569" spans="1:13" x14ac:dyDescent="0.25">
      <c r="A1569">
        <v>1568</v>
      </c>
      <c r="B1569" s="1">
        <v>42933</v>
      </c>
      <c r="C1569" s="1">
        <v>43215</v>
      </c>
      <c r="D1569" t="s">
        <v>20</v>
      </c>
      <c r="E1569" t="s">
        <v>26</v>
      </c>
      <c r="F1569" s="2">
        <v>204</v>
      </c>
      <c r="G1569" t="s">
        <v>12</v>
      </c>
      <c r="H1569" s="3">
        <v>79617.2</v>
      </c>
      <c r="I1569" s="3">
        <v>2041565</v>
      </c>
      <c r="J1569" s="3">
        <v>1633252</v>
      </c>
      <c r="K1569" s="3">
        <v>328695.8</v>
      </c>
      <c r="L1569" t="s">
        <v>15</v>
      </c>
      <c r="M1569">
        <v>4.4000000000000004</v>
      </c>
    </row>
    <row r="1570" spans="1:13" x14ac:dyDescent="0.25">
      <c r="A1570">
        <v>1569</v>
      </c>
      <c r="B1570" s="1">
        <v>42933</v>
      </c>
      <c r="C1570" s="1">
        <v>43278</v>
      </c>
      <c r="D1570" t="s">
        <v>22</v>
      </c>
      <c r="E1570" t="s">
        <v>27</v>
      </c>
      <c r="F1570" s="2">
        <v>270</v>
      </c>
      <c r="G1570" t="s">
        <v>12</v>
      </c>
      <c r="H1570" s="3">
        <v>87358.48</v>
      </c>
      <c r="I1570" s="3">
        <v>2239322</v>
      </c>
      <c r="J1570" s="3">
        <v>1791457.6</v>
      </c>
      <c r="K1570" s="3">
        <v>360505.91999999993</v>
      </c>
      <c r="L1570" t="s">
        <v>18</v>
      </c>
      <c r="M1570">
        <v>3.7</v>
      </c>
    </row>
    <row r="1571" spans="1:13" x14ac:dyDescent="0.25">
      <c r="A1571">
        <v>1570</v>
      </c>
      <c r="B1571" s="1">
        <v>42933</v>
      </c>
      <c r="C1571" s="1">
        <v>43218</v>
      </c>
      <c r="D1571" t="s">
        <v>22</v>
      </c>
      <c r="E1571" t="s">
        <v>26</v>
      </c>
      <c r="F1571" s="2">
        <v>62</v>
      </c>
      <c r="G1571" t="s">
        <v>11</v>
      </c>
      <c r="H1571" s="3">
        <v>13164.24</v>
      </c>
      <c r="I1571" s="3">
        <v>384416</v>
      </c>
      <c r="J1571" s="3">
        <v>307532.79999999999</v>
      </c>
      <c r="K1571" s="3">
        <v>63718.960000000014</v>
      </c>
      <c r="L1571" t="s">
        <v>15</v>
      </c>
      <c r="M1571">
        <v>4</v>
      </c>
    </row>
    <row r="1572" spans="1:13" x14ac:dyDescent="0.25">
      <c r="A1572">
        <v>1571</v>
      </c>
      <c r="B1572" s="1">
        <v>42934</v>
      </c>
      <c r="C1572" s="1">
        <v>43111</v>
      </c>
      <c r="D1572" t="s">
        <v>22</v>
      </c>
      <c r="E1572" t="s">
        <v>24</v>
      </c>
      <c r="F1572" s="2">
        <v>121</v>
      </c>
      <c r="G1572" t="s">
        <v>11</v>
      </c>
      <c r="H1572" s="3">
        <v>22262.68</v>
      </c>
      <c r="I1572" s="3">
        <v>620177</v>
      </c>
      <c r="J1572" s="3">
        <v>496141.6</v>
      </c>
      <c r="K1572" s="3">
        <v>101772.72000000003</v>
      </c>
      <c r="L1572" t="s">
        <v>14</v>
      </c>
      <c r="M1572">
        <v>4.7</v>
      </c>
    </row>
    <row r="1573" spans="1:13" x14ac:dyDescent="0.25">
      <c r="A1573">
        <v>1572</v>
      </c>
      <c r="B1573" s="1">
        <v>42934</v>
      </c>
      <c r="C1573" s="1">
        <v>43211</v>
      </c>
      <c r="D1573" t="s">
        <v>22</v>
      </c>
      <c r="E1573" t="s">
        <v>27</v>
      </c>
      <c r="F1573" s="2">
        <v>293</v>
      </c>
      <c r="G1573" t="s">
        <v>12</v>
      </c>
      <c r="H1573" s="3">
        <v>67652</v>
      </c>
      <c r="I1573" s="3">
        <v>1752785</v>
      </c>
      <c r="J1573" s="3">
        <v>1402228</v>
      </c>
      <c r="K1573" s="3">
        <v>282905</v>
      </c>
      <c r="L1573" t="s">
        <v>18</v>
      </c>
      <c r="M1573">
        <v>4.3</v>
      </c>
    </row>
    <row r="1574" spans="1:13" x14ac:dyDescent="0.25">
      <c r="A1574">
        <v>1573</v>
      </c>
      <c r="B1574" s="1">
        <v>42934</v>
      </c>
      <c r="C1574" s="1">
        <v>43110</v>
      </c>
      <c r="D1574" t="s">
        <v>20</v>
      </c>
      <c r="E1574" t="s">
        <v>29</v>
      </c>
      <c r="F1574" s="2">
        <v>195</v>
      </c>
      <c r="G1574" t="s">
        <v>12</v>
      </c>
      <c r="H1574" s="3">
        <v>49915.519999999997</v>
      </c>
      <c r="I1574" s="3">
        <v>1307873</v>
      </c>
      <c r="J1574" s="3">
        <v>1046298.4</v>
      </c>
      <c r="K1574" s="3">
        <v>211659.08</v>
      </c>
      <c r="L1574" t="s">
        <v>16</v>
      </c>
      <c r="M1574">
        <v>4.8</v>
      </c>
    </row>
    <row r="1575" spans="1:13" x14ac:dyDescent="0.25">
      <c r="A1575">
        <v>1574</v>
      </c>
      <c r="B1575" s="1">
        <v>42934</v>
      </c>
      <c r="C1575" s="1">
        <v>43110</v>
      </c>
      <c r="D1575" t="s">
        <v>20</v>
      </c>
      <c r="E1575" t="s">
        <v>13</v>
      </c>
      <c r="F1575" s="2">
        <v>197</v>
      </c>
      <c r="G1575" t="s">
        <v>12</v>
      </c>
      <c r="H1575" s="3">
        <v>66953.759999999995</v>
      </c>
      <c r="I1575" s="3">
        <v>1736204</v>
      </c>
      <c r="J1575" s="3">
        <v>1388963.2</v>
      </c>
      <c r="K1575" s="3">
        <v>280287.04000000004</v>
      </c>
      <c r="L1575" t="s">
        <v>17</v>
      </c>
      <c r="M1575">
        <v>4</v>
      </c>
    </row>
    <row r="1576" spans="1:13" x14ac:dyDescent="0.25">
      <c r="A1576">
        <v>1575</v>
      </c>
      <c r="B1576" s="1">
        <v>42935</v>
      </c>
      <c r="C1576" s="1">
        <v>43149</v>
      </c>
      <c r="D1576" t="s">
        <v>22</v>
      </c>
      <c r="E1576" t="s">
        <v>24</v>
      </c>
      <c r="F1576" s="2">
        <v>271</v>
      </c>
      <c r="G1576" t="s">
        <v>12</v>
      </c>
      <c r="H1576" s="3">
        <v>64057</v>
      </c>
      <c r="I1576" s="3">
        <v>1657060</v>
      </c>
      <c r="J1576" s="3">
        <v>1325648</v>
      </c>
      <c r="K1576" s="3">
        <v>267355</v>
      </c>
      <c r="L1576" t="s">
        <v>16</v>
      </c>
      <c r="M1576">
        <v>4.3</v>
      </c>
    </row>
    <row r="1577" spans="1:13" x14ac:dyDescent="0.25">
      <c r="A1577">
        <v>1576</v>
      </c>
      <c r="B1577" s="1">
        <v>42936</v>
      </c>
      <c r="C1577" s="1">
        <v>43290</v>
      </c>
      <c r="D1577" t="s">
        <v>22</v>
      </c>
      <c r="E1577" t="s">
        <v>26</v>
      </c>
      <c r="F1577" s="2">
        <v>293</v>
      </c>
      <c r="G1577" t="s">
        <v>12</v>
      </c>
      <c r="H1577" s="3">
        <v>87415.44</v>
      </c>
      <c r="I1577" s="3">
        <v>2243771</v>
      </c>
      <c r="J1577" s="3">
        <v>1795016.8</v>
      </c>
      <c r="K1577" s="3">
        <v>361338.75999999995</v>
      </c>
      <c r="L1577" t="s">
        <v>15</v>
      </c>
      <c r="M1577">
        <v>4.8</v>
      </c>
    </row>
    <row r="1578" spans="1:13" x14ac:dyDescent="0.25">
      <c r="A1578">
        <v>1577</v>
      </c>
      <c r="B1578" s="1">
        <v>42936</v>
      </c>
      <c r="C1578" s="1">
        <v>43044</v>
      </c>
      <c r="D1578" t="s">
        <v>23</v>
      </c>
      <c r="E1578" t="s">
        <v>28</v>
      </c>
      <c r="F1578" s="2">
        <v>282</v>
      </c>
      <c r="G1578" t="s">
        <v>12</v>
      </c>
      <c r="H1578" s="3">
        <v>46598.400000000001</v>
      </c>
      <c r="I1578" s="3">
        <v>1223045</v>
      </c>
      <c r="J1578" s="3">
        <v>978436</v>
      </c>
      <c r="K1578" s="3">
        <v>198010.6</v>
      </c>
      <c r="L1578" t="s">
        <v>19</v>
      </c>
      <c r="M1578">
        <v>3.6</v>
      </c>
    </row>
    <row r="1579" spans="1:13" x14ac:dyDescent="0.25">
      <c r="A1579">
        <v>1578</v>
      </c>
      <c r="B1579" s="1">
        <v>42936</v>
      </c>
      <c r="C1579" s="1">
        <v>43195</v>
      </c>
      <c r="D1579" t="s">
        <v>20</v>
      </c>
      <c r="E1579" t="s">
        <v>13</v>
      </c>
      <c r="F1579" s="2">
        <v>175</v>
      </c>
      <c r="G1579" t="s">
        <v>12</v>
      </c>
      <c r="H1579" s="3">
        <v>68272.600000000006</v>
      </c>
      <c r="I1579" s="3">
        <v>1759525</v>
      </c>
      <c r="J1579" s="3">
        <v>1407620</v>
      </c>
      <c r="K1579" s="3">
        <v>283632.40000000002</v>
      </c>
      <c r="L1579" t="s">
        <v>17</v>
      </c>
      <c r="M1579">
        <v>4.7</v>
      </c>
    </row>
    <row r="1580" spans="1:13" x14ac:dyDescent="0.25">
      <c r="A1580">
        <v>1579</v>
      </c>
      <c r="B1580" s="1">
        <v>42936</v>
      </c>
      <c r="C1580" s="1">
        <v>43151</v>
      </c>
      <c r="D1580" t="s">
        <v>23</v>
      </c>
      <c r="E1580" t="s">
        <v>29</v>
      </c>
      <c r="F1580" s="2">
        <v>136</v>
      </c>
      <c r="G1580" t="s">
        <v>12</v>
      </c>
      <c r="H1580" s="3">
        <v>47574.04</v>
      </c>
      <c r="I1580" s="3">
        <v>1243586</v>
      </c>
      <c r="J1580" s="3">
        <v>994868.8</v>
      </c>
      <c r="K1580" s="3">
        <v>201143.15999999995</v>
      </c>
      <c r="L1580" t="s">
        <v>18</v>
      </c>
      <c r="M1580">
        <v>4.5999999999999996</v>
      </c>
    </row>
    <row r="1581" spans="1:13" x14ac:dyDescent="0.25">
      <c r="A1581">
        <v>1580</v>
      </c>
      <c r="B1581" s="1">
        <v>42937</v>
      </c>
      <c r="C1581" s="1">
        <v>43057</v>
      </c>
      <c r="D1581" t="s">
        <v>21</v>
      </c>
      <c r="E1581" t="s">
        <v>26</v>
      </c>
      <c r="F1581" s="2">
        <v>107</v>
      </c>
      <c r="G1581" t="s">
        <v>12</v>
      </c>
      <c r="H1581" s="3">
        <v>30880.2</v>
      </c>
      <c r="I1581" s="3">
        <v>823315</v>
      </c>
      <c r="J1581" s="3">
        <v>658652</v>
      </c>
      <c r="K1581" s="3">
        <v>133782.79999999999</v>
      </c>
      <c r="L1581" t="s">
        <v>14</v>
      </c>
      <c r="M1581">
        <v>3.6</v>
      </c>
    </row>
    <row r="1582" spans="1:13" x14ac:dyDescent="0.25">
      <c r="A1582">
        <v>1581</v>
      </c>
      <c r="B1582" s="1">
        <v>42937</v>
      </c>
      <c r="C1582" s="1">
        <v>43035</v>
      </c>
      <c r="D1582" t="s">
        <v>22</v>
      </c>
      <c r="E1582" t="s">
        <v>29</v>
      </c>
      <c r="F1582" s="2">
        <v>228</v>
      </c>
      <c r="G1582" t="s">
        <v>12</v>
      </c>
      <c r="H1582" s="3">
        <v>88321.68</v>
      </c>
      <c r="I1582" s="3">
        <v>2261402</v>
      </c>
      <c r="J1582" s="3">
        <v>1809121.6</v>
      </c>
      <c r="K1582" s="3">
        <v>363958.71999999991</v>
      </c>
      <c r="L1582" t="s">
        <v>17</v>
      </c>
      <c r="M1582">
        <v>4.0999999999999996</v>
      </c>
    </row>
    <row r="1583" spans="1:13" x14ac:dyDescent="0.25">
      <c r="A1583">
        <v>1582</v>
      </c>
      <c r="B1583" s="1">
        <v>42937</v>
      </c>
      <c r="C1583" s="1">
        <v>43172</v>
      </c>
      <c r="D1583" t="s">
        <v>20</v>
      </c>
      <c r="E1583" t="s">
        <v>13</v>
      </c>
      <c r="F1583" s="2">
        <v>290</v>
      </c>
      <c r="G1583" t="s">
        <v>12</v>
      </c>
      <c r="H1583" s="3">
        <v>97382.84</v>
      </c>
      <c r="I1583" s="3">
        <v>2499506</v>
      </c>
      <c r="J1583" s="3">
        <v>1999604.8</v>
      </c>
      <c r="K1583" s="3">
        <v>402518.36</v>
      </c>
      <c r="L1583" t="s">
        <v>18</v>
      </c>
      <c r="M1583">
        <v>4.3</v>
      </c>
    </row>
    <row r="1584" spans="1:13" x14ac:dyDescent="0.25">
      <c r="A1584">
        <v>1583</v>
      </c>
      <c r="B1584" s="1">
        <v>42938</v>
      </c>
      <c r="C1584" s="1">
        <v>43222</v>
      </c>
      <c r="D1584" t="s">
        <v>20</v>
      </c>
      <c r="E1584" t="s">
        <v>24</v>
      </c>
      <c r="F1584" s="2">
        <v>294</v>
      </c>
      <c r="G1584" t="s">
        <v>12</v>
      </c>
      <c r="H1584" s="3">
        <v>72119</v>
      </c>
      <c r="I1584" s="3">
        <v>1868585</v>
      </c>
      <c r="J1584" s="3">
        <v>1494868</v>
      </c>
      <c r="K1584" s="3">
        <v>301598</v>
      </c>
      <c r="L1584" t="s">
        <v>14</v>
      </c>
      <c r="M1584">
        <v>4.4000000000000004</v>
      </c>
    </row>
    <row r="1585" spans="1:13" x14ac:dyDescent="0.25">
      <c r="A1585">
        <v>1584</v>
      </c>
      <c r="B1585" s="1">
        <v>42938</v>
      </c>
      <c r="C1585" s="1">
        <v>43150</v>
      </c>
      <c r="D1585" t="s">
        <v>20</v>
      </c>
      <c r="E1585" t="s">
        <v>28</v>
      </c>
      <c r="F1585" s="2">
        <v>187</v>
      </c>
      <c r="G1585" t="s">
        <v>12</v>
      </c>
      <c r="H1585" s="3">
        <v>36038.720000000001</v>
      </c>
      <c r="I1585" s="3">
        <v>952903</v>
      </c>
      <c r="J1585" s="3">
        <v>762322.4</v>
      </c>
      <c r="K1585" s="3">
        <v>154541.87999999998</v>
      </c>
      <c r="L1585" t="s">
        <v>19</v>
      </c>
      <c r="M1585">
        <v>4.5</v>
      </c>
    </row>
    <row r="1586" spans="1:13" x14ac:dyDescent="0.25">
      <c r="A1586">
        <v>1585</v>
      </c>
      <c r="B1586" s="1">
        <v>42938</v>
      </c>
      <c r="C1586" s="1">
        <v>43285</v>
      </c>
      <c r="D1586" t="s">
        <v>23</v>
      </c>
      <c r="E1586" t="s">
        <v>13</v>
      </c>
      <c r="F1586" s="2">
        <v>197</v>
      </c>
      <c r="G1586" t="s">
        <v>12</v>
      </c>
      <c r="H1586" s="3">
        <v>40034.959999999999</v>
      </c>
      <c r="I1586" s="3">
        <v>1063259</v>
      </c>
      <c r="J1586" s="3">
        <v>850607.2</v>
      </c>
      <c r="K1586" s="3">
        <v>172616.84000000005</v>
      </c>
      <c r="L1586" t="s">
        <v>15</v>
      </c>
      <c r="M1586">
        <v>4.0999999999999996</v>
      </c>
    </row>
    <row r="1587" spans="1:13" x14ac:dyDescent="0.25">
      <c r="A1587">
        <v>1586</v>
      </c>
      <c r="B1587" s="1">
        <v>42938</v>
      </c>
      <c r="C1587" s="1">
        <v>43133</v>
      </c>
      <c r="D1587" t="s">
        <v>22</v>
      </c>
      <c r="E1587" t="s">
        <v>27</v>
      </c>
      <c r="F1587" s="2">
        <v>288</v>
      </c>
      <c r="G1587" t="s">
        <v>12</v>
      </c>
      <c r="H1587" s="3">
        <v>56737.36</v>
      </c>
      <c r="I1587" s="3">
        <v>1483919</v>
      </c>
      <c r="J1587" s="3">
        <v>1187135.2</v>
      </c>
      <c r="K1587" s="3">
        <v>240046.44000000006</v>
      </c>
      <c r="L1587" t="s">
        <v>18</v>
      </c>
      <c r="M1587">
        <v>4.7</v>
      </c>
    </row>
    <row r="1588" spans="1:13" x14ac:dyDescent="0.25">
      <c r="A1588">
        <v>1587</v>
      </c>
      <c r="B1588" s="1">
        <v>42939</v>
      </c>
      <c r="C1588" s="1">
        <v>43107</v>
      </c>
      <c r="D1588" t="s">
        <v>21</v>
      </c>
      <c r="E1588" t="s">
        <v>27</v>
      </c>
      <c r="F1588" s="2">
        <v>97</v>
      </c>
      <c r="G1588" t="s">
        <v>11</v>
      </c>
      <c r="H1588" s="3">
        <v>18100.560000000001</v>
      </c>
      <c r="I1588" s="3">
        <v>515124</v>
      </c>
      <c r="J1588" s="3">
        <v>412099.2</v>
      </c>
      <c r="K1588" s="3">
        <v>84924.239999999991</v>
      </c>
      <c r="L1588" t="s">
        <v>16</v>
      </c>
      <c r="M1588">
        <v>4.0999999999999996</v>
      </c>
    </row>
    <row r="1589" spans="1:13" x14ac:dyDescent="0.25">
      <c r="A1589">
        <v>1588</v>
      </c>
      <c r="B1589" s="1">
        <v>42939</v>
      </c>
      <c r="C1589" s="1">
        <v>43234</v>
      </c>
      <c r="D1589" t="s">
        <v>21</v>
      </c>
      <c r="E1589" t="s">
        <v>25</v>
      </c>
      <c r="F1589" s="2">
        <v>240</v>
      </c>
      <c r="G1589" t="s">
        <v>12</v>
      </c>
      <c r="H1589" s="3">
        <v>85650.8</v>
      </c>
      <c r="I1589" s="3">
        <v>2207430</v>
      </c>
      <c r="J1589" s="3">
        <v>1765944</v>
      </c>
      <c r="K1589" s="3">
        <v>355835.2</v>
      </c>
      <c r="L1589" t="s">
        <v>17</v>
      </c>
      <c r="M1589">
        <v>4</v>
      </c>
    </row>
    <row r="1590" spans="1:13" x14ac:dyDescent="0.25">
      <c r="A1590">
        <v>1589</v>
      </c>
      <c r="B1590" s="1">
        <v>42939</v>
      </c>
      <c r="C1590" s="1">
        <v>43040</v>
      </c>
      <c r="D1590" t="s">
        <v>22</v>
      </c>
      <c r="E1590" t="s">
        <v>25</v>
      </c>
      <c r="F1590" s="2">
        <v>280</v>
      </c>
      <c r="G1590" t="s">
        <v>12</v>
      </c>
      <c r="H1590" s="3">
        <v>63102.48</v>
      </c>
      <c r="I1590" s="3">
        <v>1643972</v>
      </c>
      <c r="J1590" s="3">
        <v>1315177.6000000001</v>
      </c>
      <c r="K1590" s="3">
        <v>265691.91999999993</v>
      </c>
      <c r="L1590" t="s">
        <v>14</v>
      </c>
      <c r="M1590">
        <v>5</v>
      </c>
    </row>
    <row r="1591" spans="1:13" x14ac:dyDescent="0.25">
      <c r="A1591">
        <v>1590</v>
      </c>
      <c r="B1591" s="1">
        <v>42939</v>
      </c>
      <c r="C1591" s="1">
        <v>43245</v>
      </c>
      <c r="D1591" t="s">
        <v>21</v>
      </c>
      <c r="E1591" t="s">
        <v>13</v>
      </c>
      <c r="F1591" s="2">
        <v>139</v>
      </c>
      <c r="G1591" t="s">
        <v>11</v>
      </c>
      <c r="H1591" s="3">
        <v>26385.72</v>
      </c>
      <c r="I1591" s="3">
        <v>718653</v>
      </c>
      <c r="J1591" s="3">
        <v>574922.4</v>
      </c>
      <c r="K1591" s="3">
        <v>117344.87999999998</v>
      </c>
      <c r="L1591" t="s">
        <v>17</v>
      </c>
      <c r="M1591">
        <v>4</v>
      </c>
    </row>
    <row r="1592" spans="1:13" x14ac:dyDescent="0.25">
      <c r="A1592">
        <v>1591</v>
      </c>
      <c r="B1592" s="1">
        <v>42940</v>
      </c>
      <c r="C1592" s="1">
        <v>43171</v>
      </c>
      <c r="D1592" t="s">
        <v>23</v>
      </c>
      <c r="E1592" t="s">
        <v>24</v>
      </c>
      <c r="F1592" s="2">
        <v>251</v>
      </c>
      <c r="G1592" t="s">
        <v>12</v>
      </c>
      <c r="H1592" s="3">
        <v>64247.8</v>
      </c>
      <c r="I1592" s="3">
        <v>1664405</v>
      </c>
      <c r="J1592" s="3">
        <v>1331524</v>
      </c>
      <c r="K1592" s="3">
        <v>268633.2</v>
      </c>
      <c r="L1592" t="s">
        <v>17</v>
      </c>
      <c r="M1592">
        <v>4.9000000000000004</v>
      </c>
    </row>
    <row r="1593" spans="1:13" x14ac:dyDescent="0.25">
      <c r="A1593">
        <v>1592</v>
      </c>
      <c r="B1593" s="1">
        <v>42940</v>
      </c>
      <c r="C1593" s="1">
        <v>43235</v>
      </c>
      <c r="D1593" t="s">
        <v>23</v>
      </c>
      <c r="E1593" t="s">
        <v>28</v>
      </c>
      <c r="F1593" s="2">
        <v>203</v>
      </c>
      <c r="G1593" t="s">
        <v>12</v>
      </c>
      <c r="H1593" s="3">
        <v>43675.56</v>
      </c>
      <c r="I1593" s="3">
        <v>1144349</v>
      </c>
      <c r="J1593" s="3">
        <v>915479.2</v>
      </c>
      <c r="K1593" s="3">
        <v>185194.24000000005</v>
      </c>
      <c r="L1593" t="s">
        <v>19</v>
      </c>
      <c r="M1593">
        <v>4.0999999999999996</v>
      </c>
    </row>
    <row r="1594" spans="1:13" x14ac:dyDescent="0.25">
      <c r="A1594">
        <v>1593</v>
      </c>
      <c r="B1594" s="1">
        <v>42940</v>
      </c>
      <c r="C1594" s="1">
        <v>43033</v>
      </c>
      <c r="D1594" t="s">
        <v>22</v>
      </c>
      <c r="E1594" t="s">
        <v>26</v>
      </c>
      <c r="F1594" s="2">
        <v>71</v>
      </c>
      <c r="G1594" t="s">
        <v>11</v>
      </c>
      <c r="H1594" s="3">
        <v>21597.88</v>
      </c>
      <c r="I1594" s="3">
        <v>599432</v>
      </c>
      <c r="J1594" s="3">
        <v>479545.59999999998</v>
      </c>
      <c r="K1594" s="3">
        <v>98288.520000000019</v>
      </c>
      <c r="L1594" t="s">
        <v>19</v>
      </c>
      <c r="M1594">
        <v>4.4000000000000004</v>
      </c>
    </row>
    <row r="1595" spans="1:13" x14ac:dyDescent="0.25">
      <c r="A1595">
        <v>1594</v>
      </c>
      <c r="B1595" s="1">
        <v>42941</v>
      </c>
      <c r="C1595" s="1">
        <v>43037</v>
      </c>
      <c r="D1595" t="s">
        <v>20</v>
      </c>
      <c r="E1595" t="s">
        <v>26</v>
      </c>
      <c r="F1595" s="2">
        <v>75</v>
      </c>
      <c r="G1595" t="s">
        <v>11</v>
      </c>
      <c r="H1595" s="3">
        <v>21677.200000000001</v>
      </c>
      <c r="I1595" s="3">
        <v>605365</v>
      </c>
      <c r="J1595" s="3">
        <v>484292</v>
      </c>
      <c r="K1595" s="3">
        <v>99395.8</v>
      </c>
      <c r="L1595" t="s">
        <v>14</v>
      </c>
      <c r="M1595">
        <v>5</v>
      </c>
    </row>
    <row r="1596" spans="1:13" x14ac:dyDescent="0.25">
      <c r="A1596">
        <v>1595</v>
      </c>
      <c r="B1596" s="1">
        <v>42941</v>
      </c>
      <c r="C1596" s="1">
        <v>43247</v>
      </c>
      <c r="D1596" t="s">
        <v>21</v>
      </c>
      <c r="E1596" t="s">
        <v>28</v>
      </c>
      <c r="F1596" s="2">
        <v>92</v>
      </c>
      <c r="G1596" t="s">
        <v>11</v>
      </c>
      <c r="H1596" s="3">
        <v>24709.32</v>
      </c>
      <c r="I1596" s="3">
        <v>681893</v>
      </c>
      <c r="J1596" s="3">
        <v>545514.4</v>
      </c>
      <c r="K1596" s="3">
        <v>111669.27999999997</v>
      </c>
      <c r="L1596" t="s">
        <v>19</v>
      </c>
      <c r="M1596">
        <v>3.7</v>
      </c>
    </row>
    <row r="1597" spans="1:13" x14ac:dyDescent="0.25">
      <c r="A1597">
        <v>1596</v>
      </c>
      <c r="B1597" s="1">
        <v>42941</v>
      </c>
      <c r="C1597" s="1">
        <v>43126</v>
      </c>
      <c r="D1597" t="s">
        <v>23</v>
      </c>
      <c r="E1597" t="s">
        <v>26</v>
      </c>
      <c r="F1597" s="2">
        <v>260</v>
      </c>
      <c r="G1597" t="s">
        <v>12</v>
      </c>
      <c r="H1597" s="3">
        <v>84147.8</v>
      </c>
      <c r="I1597" s="3">
        <v>2169605</v>
      </c>
      <c r="J1597" s="3">
        <v>1735684</v>
      </c>
      <c r="K1597" s="3">
        <v>349773.2</v>
      </c>
      <c r="L1597" t="s">
        <v>18</v>
      </c>
      <c r="M1597">
        <v>4.4000000000000004</v>
      </c>
    </row>
    <row r="1598" spans="1:13" x14ac:dyDescent="0.25">
      <c r="A1598">
        <v>1597</v>
      </c>
      <c r="B1598" s="1">
        <v>42942</v>
      </c>
      <c r="C1598" s="1">
        <v>43133</v>
      </c>
      <c r="D1598" t="s">
        <v>20</v>
      </c>
      <c r="E1598" t="s">
        <v>24</v>
      </c>
      <c r="F1598" s="2">
        <v>253</v>
      </c>
      <c r="G1598" t="s">
        <v>12</v>
      </c>
      <c r="H1598" s="3">
        <v>65518.559999999998</v>
      </c>
      <c r="I1598" s="3">
        <v>1692549</v>
      </c>
      <c r="J1598" s="3">
        <v>1354039.2</v>
      </c>
      <c r="K1598" s="3">
        <v>272991.24000000005</v>
      </c>
      <c r="L1598" t="s">
        <v>15</v>
      </c>
      <c r="M1598">
        <v>4.2</v>
      </c>
    </row>
    <row r="1599" spans="1:13" x14ac:dyDescent="0.25">
      <c r="A1599">
        <v>1598</v>
      </c>
      <c r="B1599" s="1">
        <v>42942</v>
      </c>
      <c r="C1599" s="1">
        <v>43080</v>
      </c>
      <c r="D1599" t="s">
        <v>21</v>
      </c>
      <c r="E1599" t="s">
        <v>25</v>
      </c>
      <c r="F1599" s="2">
        <v>163</v>
      </c>
      <c r="G1599" t="s">
        <v>12</v>
      </c>
      <c r="H1599" s="3">
        <v>63091.24</v>
      </c>
      <c r="I1599" s="3">
        <v>1642691</v>
      </c>
      <c r="J1599" s="3">
        <v>1314152.8</v>
      </c>
      <c r="K1599" s="3">
        <v>265446.95999999996</v>
      </c>
      <c r="L1599" t="s">
        <v>16</v>
      </c>
      <c r="M1599">
        <v>3.9</v>
      </c>
    </row>
    <row r="1600" spans="1:13" x14ac:dyDescent="0.25">
      <c r="A1600">
        <v>1599</v>
      </c>
      <c r="B1600" s="1">
        <v>42942</v>
      </c>
      <c r="C1600" s="1">
        <v>43106</v>
      </c>
      <c r="D1600" t="s">
        <v>20</v>
      </c>
      <c r="E1600" t="s">
        <v>24</v>
      </c>
      <c r="F1600" s="2">
        <v>239</v>
      </c>
      <c r="G1600" t="s">
        <v>12</v>
      </c>
      <c r="H1600" s="3">
        <v>51882.2</v>
      </c>
      <c r="I1600" s="3">
        <v>1348215</v>
      </c>
      <c r="J1600" s="3">
        <v>1078572</v>
      </c>
      <c r="K1600" s="3">
        <v>217760.8</v>
      </c>
      <c r="L1600" t="s">
        <v>15</v>
      </c>
      <c r="M1600">
        <v>4.8</v>
      </c>
    </row>
    <row r="1601" spans="1:13" x14ac:dyDescent="0.25">
      <c r="A1601">
        <v>1600</v>
      </c>
      <c r="B1601" s="1">
        <v>42943</v>
      </c>
      <c r="C1601" s="1">
        <v>43155</v>
      </c>
      <c r="D1601" t="s">
        <v>21</v>
      </c>
      <c r="E1601" t="s">
        <v>26</v>
      </c>
      <c r="F1601" s="2">
        <v>110</v>
      </c>
      <c r="G1601" t="s">
        <v>12</v>
      </c>
      <c r="H1601" s="3">
        <v>29734.799999999999</v>
      </c>
      <c r="I1601" s="3">
        <v>800855</v>
      </c>
      <c r="J1601" s="3">
        <v>640684</v>
      </c>
      <c r="K1601" s="3">
        <v>130436.2</v>
      </c>
      <c r="L1601" t="s">
        <v>14</v>
      </c>
      <c r="M1601">
        <v>4.5999999999999996</v>
      </c>
    </row>
    <row r="1602" spans="1:13" x14ac:dyDescent="0.25">
      <c r="A1602">
        <v>1601</v>
      </c>
      <c r="B1602" s="1">
        <v>42944</v>
      </c>
      <c r="C1602" s="1">
        <v>43058</v>
      </c>
      <c r="D1602" t="s">
        <v>20</v>
      </c>
      <c r="E1602" t="s">
        <v>13</v>
      </c>
      <c r="F1602" s="2">
        <v>130</v>
      </c>
      <c r="G1602" t="s">
        <v>12</v>
      </c>
      <c r="H1602" s="3">
        <v>51601.760000000002</v>
      </c>
      <c r="I1602" s="3">
        <v>1346029</v>
      </c>
      <c r="J1602" s="3">
        <v>1076823.2</v>
      </c>
      <c r="K1602" s="3">
        <v>217604.04000000004</v>
      </c>
      <c r="L1602" t="s">
        <v>16</v>
      </c>
      <c r="M1602">
        <v>5</v>
      </c>
    </row>
    <row r="1603" spans="1:13" x14ac:dyDescent="0.25">
      <c r="A1603">
        <v>1602</v>
      </c>
      <c r="B1603" s="1">
        <v>42944</v>
      </c>
      <c r="C1603" s="1">
        <v>43147</v>
      </c>
      <c r="D1603" t="s">
        <v>23</v>
      </c>
      <c r="E1603" t="s">
        <v>25</v>
      </c>
      <c r="F1603" s="2">
        <v>110</v>
      </c>
      <c r="G1603" t="s">
        <v>11</v>
      </c>
      <c r="H1603" s="3">
        <v>29229.200000000001</v>
      </c>
      <c r="I1603" s="3">
        <v>792840</v>
      </c>
      <c r="J1603" s="3">
        <v>634272</v>
      </c>
      <c r="K1603" s="3">
        <v>129338.8</v>
      </c>
      <c r="L1603" t="s">
        <v>15</v>
      </c>
      <c r="M1603">
        <v>4.4000000000000004</v>
      </c>
    </row>
    <row r="1604" spans="1:13" x14ac:dyDescent="0.25">
      <c r="A1604">
        <v>1603</v>
      </c>
      <c r="B1604" s="1">
        <v>42944</v>
      </c>
      <c r="C1604" s="1">
        <v>43151</v>
      </c>
      <c r="D1604" t="s">
        <v>21</v>
      </c>
      <c r="E1604" t="s">
        <v>26</v>
      </c>
      <c r="F1604" s="2">
        <v>160</v>
      </c>
      <c r="G1604" t="s">
        <v>11</v>
      </c>
      <c r="H1604" s="3">
        <v>26817.8</v>
      </c>
      <c r="I1604" s="3">
        <v>724205</v>
      </c>
      <c r="J1604" s="3">
        <v>579364</v>
      </c>
      <c r="K1604" s="3">
        <v>118023.2</v>
      </c>
      <c r="L1604" t="s">
        <v>14</v>
      </c>
      <c r="M1604">
        <v>3.7</v>
      </c>
    </row>
    <row r="1605" spans="1:13" x14ac:dyDescent="0.25">
      <c r="A1605">
        <v>1604</v>
      </c>
      <c r="B1605" s="1">
        <v>42945</v>
      </c>
      <c r="C1605" s="1">
        <v>43039</v>
      </c>
      <c r="D1605" t="s">
        <v>22</v>
      </c>
      <c r="E1605" t="s">
        <v>28</v>
      </c>
      <c r="F1605" s="2">
        <v>128</v>
      </c>
      <c r="G1605" t="s">
        <v>12</v>
      </c>
      <c r="H1605" s="3">
        <v>31208.92</v>
      </c>
      <c r="I1605" s="3">
        <v>843533</v>
      </c>
      <c r="J1605" s="3">
        <v>674826.4</v>
      </c>
      <c r="K1605" s="3">
        <v>137497.68</v>
      </c>
      <c r="L1605" t="s">
        <v>14</v>
      </c>
      <c r="M1605">
        <v>4.0999999999999996</v>
      </c>
    </row>
    <row r="1606" spans="1:13" x14ac:dyDescent="0.25">
      <c r="A1606">
        <v>1605</v>
      </c>
      <c r="B1606" s="1">
        <v>42946</v>
      </c>
      <c r="C1606" s="1">
        <v>43098</v>
      </c>
      <c r="D1606" t="s">
        <v>23</v>
      </c>
      <c r="E1606" t="s">
        <v>29</v>
      </c>
      <c r="F1606" s="2">
        <v>253</v>
      </c>
      <c r="G1606" t="s">
        <v>12</v>
      </c>
      <c r="H1606" s="3">
        <v>50924.4</v>
      </c>
      <c r="I1606" s="3">
        <v>1338045</v>
      </c>
      <c r="J1606" s="3">
        <v>1070436</v>
      </c>
      <c r="K1606" s="3">
        <v>216684.6</v>
      </c>
      <c r="L1606" t="s">
        <v>14</v>
      </c>
      <c r="M1606">
        <v>4.0999999999999996</v>
      </c>
    </row>
    <row r="1607" spans="1:13" x14ac:dyDescent="0.25">
      <c r="A1607">
        <v>1606</v>
      </c>
      <c r="B1607" s="1">
        <v>42947</v>
      </c>
      <c r="C1607" s="1">
        <v>43103</v>
      </c>
      <c r="D1607" t="s">
        <v>21</v>
      </c>
      <c r="E1607" t="s">
        <v>29</v>
      </c>
      <c r="F1607" s="2">
        <v>208</v>
      </c>
      <c r="G1607" t="s">
        <v>12</v>
      </c>
      <c r="H1607" s="3">
        <v>76833.119999999995</v>
      </c>
      <c r="I1607" s="3">
        <v>1987813</v>
      </c>
      <c r="J1607" s="3">
        <v>1590250.4</v>
      </c>
      <c r="K1607" s="3">
        <v>320729.4800000001</v>
      </c>
      <c r="L1607" t="s">
        <v>19</v>
      </c>
      <c r="M1607">
        <v>4.7</v>
      </c>
    </row>
    <row r="1608" spans="1:13" x14ac:dyDescent="0.25">
      <c r="A1608">
        <v>1607</v>
      </c>
      <c r="B1608" s="1">
        <v>42947</v>
      </c>
      <c r="C1608" s="1">
        <v>43077</v>
      </c>
      <c r="D1608" t="s">
        <v>21</v>
      </c>
      <c r="E1608" t="s">
        <v>25</v>
      </c>
      <c r="F1608" s="2">
        <v>103</v>
      </c>
      <c r="G1608" t="s">
        <v>11</v>
      </c>
      <c r="H1608" s="3">
        <v>16330.96</v>
      </c>
      <c r="I1608" s="3">
        <v>474159</v>
      </c>
      <c r="J1608" s="3">
        <v>379327.2</v>
      </c>
      <c r="K1608" s="3">
        <v>78500.84</v>
      </c>
      <c r="L1608" t="s">
        <v>19</v>
      </c>
      <c r="M1608">
        <v>3.6</v>
      </c>
    </row>
    <row r="1609" spans="1:13" x14ac:dyDescent="0.25">
      <c r="A1609">
        <v>1608</v>
      </c>
      <c r="B1609" s="1">
        <v>42948</v>
      </c>
      <c r="C1609" s="1">
        <v>43173</v>
      </c>
      <c r="D1609" t="s">
        <v>20</v>
      </c>
      <c r="E1609" t="s">
        <v>26</v>
      </c>
      <c r="F1609" s="2">
        <v>135</v>
      </c>
      <c r="G1609" t="s">
        <v>11</v>
      </c>
      <c r="H1609" s="3">
        <v>28581.24</v>
      </c>
      <c r="I1609" s="3">
        <v>777216</v>
      </c>
      <c r="J1609" s="3">
        <v>621772.80000000005</v>
      </c>
      <c r="K1609" s="3">
        <v>126861.95999999995</v>
      </c>
      <c r="L1609" t="s">
        <v>18</v>
      </c>
      <c r="M1609">
        <v>4.3</v>
      </c>
    </row>
    <row r="1610" spans="1:13" x14ac:dyDescent="0.25">
      <c r="A1610">
        <v>1609</v>
      </c>
      <c r="B1610" s="1">
        <v>42948</v>
      </c>
      <c r="C1610" s="1">
        <v>43047</v>
      </c>
      <c r="D1610" t="s">
        <v>20</v>
      </c>
      <c r="E1610" t="s">
        <v>28</v>
      </c>
      <c r="F1610" s="2">
        <v>91</v>
      </c>
      <c r="G1610" t="s">
        <v>11</v>
      </c>
      <c r="H1610" s="3">
        <v>21521.200000000001</v>
      </c>
      <c r="I1610" s="3">
        <v>599740</v>
      </c>
      <c r="J1610" s="3">
        <v>479792</v>
      </c>
      <c r="K1610" s="3">
        <v>98426.8</v>
      </c>
      <c r="L1610" t="s">
        <v>17</v>
      </c>
      <c r="M1610">
        <v>4.0999999999999996</v>
      </c>
    </row>
    <row r="1611" spans="1:13" x14ac:dyDescent="0.25">
      <c r="A1611">
        <v>1610</v>
      </c>
      <c r="B1611" s="1">
        <v>42948</v>
      </c>
      <c r="C1611" s="1">
        <v>43261</v>
      </c>
      <c r="D1611" t="s">
        <v>20</v>
      </c>
      <c r="E1611" t="s">
        <v>24</v>
      </c>
      <c r="F1611" s="2">
        <v>239</v>
      </c>
      <c r="G1611" t="s">
        <v>12</v>
      </c>
      <c r="H1611" s="3">
        <v>91106.6</v>
      </c>
      <c r="I1611" s="3">
        <v>2328950</v>
      </c>
      <c r="J1611" s="3">
        <v>1863160</v>
      </c>
      <c r="K1611" s="3">
        <v>374683.4</v>
      </c>
      <c r="L1611" t="s">
        <v>14</v>
      </c>
      <c r="M1611">
        <v>4.3</v>
      </c>
    </row>
    <row r="1612" spans="1:13" x14ac:dyDescent="0.25">
      <c r="A1612">
        <v>1611</v>
      </c>
      <c r="B1612" s="1">
        <v>42949</v>
      </c>
      <c r="C1612" s="1">
        <v>43253</v>
      </c>
      <c r="D1612" t="s">
        <v>21</v>
      </c>
      <c r="E1612" t="s">
        <v>26</v>
      </c>
      <c r="F1612" s="2">
        <v>65</v>
      </c>
      <c r="G1612" t="s">
        <v>11</v>
      </c>
      <c r="H1612" s="3">
        <v>26983.48</v>
      </c>
      <c r="I1612" s="3">
        <v>728522</v>
      </c>
      <c r="J1612" s="3">
        <v>582817.6</v>
      </c>
      <c r="K1612" s="3">
        <v>118720.92000000003</v>
      </c>
      <c r="L1612" t="s">
        <v>16</v>
      </c>
      <c r="M1612">
        <v>4.5</v>
      </c>
    </row>
    <row r="1613" spans="1:13" x14ac:dyDescent="0.25">
      <c r="A1613">
        <v>1612</v>
      </c>
      <c r="B1613" s="1">
        <v>42950</v>
      </c>
      <c r="C1613" s="1">
        <v>43305</v>
      </c>
      <c r="D1613" t="s">
        <v>21</v>
      </c>
      <c r="E1613" t="s">
        <v>26</v>
      </c>
      <c r="F1613" s="2">
        <v>270</v>
      </c>
      <c r="G1613" t="s">
        <v>12</v>
      </c>
      <c r="H1613" s="3">
        <v>83316</v>
      </c>
      <c r="I1613" s="3">
        <v>2147385</v>
      </c>
      <c r="J1613" s="3">
        <v>1717908</v>
      </c>
      <c r="K1613" s="3">
        <v>346161</v>
      </c>
      <c r="L1613" t="s">
        <v>15</v>
      </c>
      <c r="M1613">
        <v>4.9000000000000004</v>
      </c>
    </row>
    <row r="1614" spans="1:13" x14ac:dyDescent="0.25">
      <c r="A1614">
        <v>1613</v>
      </c>
      <c r="B1614" s="1">
        <v>42950</v>
      </c>
      <c r="C1614" s="1">
        <v>43139</v>
      </c>
      <c r="D1614" t="s">
        <v>21</v>
      </c>
      <c r="E1614" t="s">
        <v>26</v>
      </c>
      <c r="F1614" s="2">
        <v>79</v>
      </c>
      <c r="G1614" t="s">
        <v>11</v>
      </c>
      <c r="H1614" s="3">
        <v>26916.84</v>
      </c>
      <c r="I1614" s="3">
        <v>726881</v>
      </c>
      <c r="J1614" s="3">
        <v>581504.80000000005</v>
      </c>
      <c r="K1614" s="3">
        <v>118459.35999999996</v>
      </c>
      <c r="L1614" t="s">
        <v>14</v>
      </c>
      <c r="M1614">
        <v>4.0999999999999996</v>
      </c>
    </row>
    <row r="1615" spans="1:13" x14ac:dyDescent="0.25">
      <c r="A1615">
        <v>1614</v>
      </c>
      <c r="B1615" s="1">
        <v>42950</v>
      </c>
      <c r="C1615" s="1">
        <v>43201</v>
      </c>
      <c r="D1615" t="s">
        <v>23</v>
      </c>
      <c r="E1615" t="s">
        <v>13</v>
      </c>
      <c r="F1615" s="2">
        <v>145</v>
      </c>
      <c r="G1615" t="s">
        <v>12</v>
      </c>
      <c r="H1615" s="3">
        <v>37689.279999999999</v>
      </c>
      <c r="I1615" s="3">
        <v>996517</v>
      </c>
      <c r="J1615" s="3">
        <v>797213.6</v>
      </c>
      <c r="K1615" s="3">
        <v>161614.12000000002</v>
      </c>
      <c r="L1615" t="s">
        <v>19</v>
      </c>
      <c r="M1615">
        <v>4.7</v>
      </c>
    </row>
    <row r="1616" spans="1:13" x14ac:dyDescent="0.25">
      <c r="A1616">
        <v>1615</v>
      </c>
      <c r="B1616" s="1">
        <v>42950</v>
      </c>
      <c r="C1616" s="1">
        <v>43076</v>
      </c>
      <c r="D1616" t="s">
        <v>21</v>
      </c>
      <c r="E1616" t="s">
        <v>24</v>
      </c>
      <c r="F1616" s="2">
        <v>59</v>
      </c>
      <c r="G1616" t="s">
        <v>11</v>
      </c>
      <c r="H1616" s="3">
        <v>14955.52</v>
      </c>
      <c r="I1616" s="3">
        <v>435973</v>
      </c>
      <c r="J1616" s="3">
        <v>348778.4</v>
      </c>
      <c r="K1616" s="3">
        <v>72239.079999999973</v>
      </c>
      <c r="L1616" t="s">
        <v>17</v>
      </c>
      <c r="M1616">
        <v>4.4000000000000004</v>
      </c>
    </row>
    <row r="1617" spans="1:13" x14ac:dyDescent="0.25">
      <c r="A1617">
        <v>1616</v>
      </c>
      <c r="B1617" s="1">
        <v>42950</v>
      </c>
      <c r="C1617" s="1">
        <v>43304</v>
      </c>
      <c r="D1617" t="s">
        <v>23</v>
      </c>
      <c r="E1617" t="s">
        <v>25</v>
      </c>
      <c r="F1617" s="2">
        <v>123</v>
      </c>
      <c r="G1617" t="s">
        <v>11</v>
      </c>
      <c r="H1617" s="3">
        <v>29554.400000000001</v>
      </c>
      <c r="I1617" s="3">
        <v>793745</v>
      </c>
      <c r="J1617" s="3">
        <v>634996</v>
      </c>
      <c r="K1617" s="3">
        <v>129194.6</v>
      </c>
      <c r="L1617" t="s">
        <v>15</v>
      </c>
      <c r="M1617">
        <v>4.5999999999999996</v>
      </c>
    </row>
    <row r="1618" spans="1:13" x14ac:dyDescent="0.25">
      <c r="A1618">
        <v>1617</v>
      </c>
      <c r="B1618" s="1">
        <v>42950</v>
      </c>
      <c r="C1618" s="1">
        <v>43219</v>
      </c>
      <c r="D1618" t="s">
        <v>21</v>
      </c>
      <c r="E1618" t="s">
        <v>28</v>
      </c>
      <c r="F1618" s="2">
        <v>82</v>
      </c>
      <c r="G1618" t="s">
        <v>11</v>
      </c>
      <c r="H1618" s="3">
        <v>26393.68</v>
      </c>
      <c r="I1618" s="3">
        <v>722077</v>
      </c>
      <c r="J1618" s="3">
        <v>577661.6</v>
      </c>
      <c r="K1618" s="3">
        <v>118021.72000000003</v>
      </c>
      <c r="L1618" t="s">
        <v>15</v>
      </c>
      <c r="M1618">
        <v>4.2</v>
      </c>
    </row>
    <row r="1619" spans="1:13" x14ac:dyDescent="0.25">
      <c r="A1619">
        <v>1618</v>
      </c>
      <c r="B1619" s="1">
        <v>42951</v>
      </c>
      <c r="C1619" s="1">
        <v>43072</v>
      </c>
      <c r="D1619" t="s">
        <v>23</v>
      </c>
      <c r="E1619" t="s">
        <v>27</v>
      </c>
      <c r="F1619" s="2">
        <v>132</v>
      </c>
      <c r="G1619" t="s">
        <v>12</v>
      </c>
      <c r="H1619" s="3">
        <v>38789.4</v>
      </c>
      <c r="I1619" s="3">
        <v>1026845</v>
      </c>
      <c r="J1619" s="3">
        <v>821476</v>
      </c>
      <c r="K1619" s="3">
        <v>166579.6</v>
      </c>
      <c r="L1619" t="s">
        <v>16</v>
      </c>
      <c r="M1619">
        <v>4.9000000000000004</v>
      </c>
    </row>
    <row r="1620" spans="1:13" x14ac:dyDescent="0.25">
      <c r="A1620">
        <v>1619</v>
      </c>
      <c r="B1620" s="1">
        <v>42951</v>
      </c>
      <c r="C1620" s="1">
        <v>43226</v>
      </c>
      <c r="D1620" t="s">
        <v>23</v>
      </c>
      <c r="E1620" t="s">
        <v>13</v>
      </c>
      <c r="F1620" s="2">
        <v>218</v>
      </c>
      <c r="G1620" t="s">
        <v>12</v>
      </c>
      <c r="H1620" s="3">
        <v>58236.4</v>
      </c>
      <c r="I1620" s="3">
        <v>1513895</v>
      </c>
      <c r="J1620" s="3">
        <v>1211116</v>
      </c>
      <c r="K1620" s="3">
        <v>244542.6</v>
      </c>
      <c r="L1620" t="s">
        <v>18</v>
      </c>
      <c r="M1620">
        <v>4.7</v>
      </c>
    </row>
    <row r="1621" spans="1:13" x14ac:dyDescent="0.25">
      <c r="A1621">
        <v>1620</v>
      </c>
      <c r="B1621" s="1">
        <v>42951</v>
      </c>
      <c r="C1621" s="1">
        <v>43151</v>
      </c>
      <c r="D1621" t="s">
        <v>23</v>
      </c>
      <c r="E1621" t="s">
        <v>25</v>
      </c>
      <c r="F1621" s="2">
        <v>49</v>
      </c>
      <c r="G1621" t="s">
        <v>11</v>
      </c>
      <c r="H1621" s="3">
        <v>14370.68</v>
      </c>
      <c r="I1621" s="3">
        <v>412077</v>
      </c>
      <c r="J1621" s="3">
        <v>329661.59999999998</v>
      </c>
      <c r="K1621" s="3">
        <v>68044.72000000003</v>
      </c>
      <c r="L1621" t="s">
        <v>17</v>
      </c>
      <c r="M1621">
        <v>4.3</v>
      </c>
    </row>
    <row r="1622" spans="1:13" x14ac:dyDescent="0.25">
      <c r="A1622">
        <v>1621</v>
      </c>
      <c r="B1622" s="1">
        <v>42951</v>
      </c>
      <c r="C1622" s="1">
        <v>43066</v>
      </c>
      <c r="D1622" t="s">
        <v>23</v>
      </c>
      <c r="E1622" t="s">
        <v>26</v>
      </c>
      <c r="F1622" s="2">
        <v>279</v>
      </c>
      <c r="G1622" t="s">
        <v>12</v>
      </c>
      <c r="H1622" s="3">
        <v>65360</v>
      </c>
      <c r="I1622" s="3">
        <v>1695285</v>
      </c>
      <c r="J1622" s="3">
        <v>1356228</v>
      </c>
      <c r="K1622" s="3">
        <v>273697</v>
      </c>
      <c r="L1622" t="s">
        <v>18</v>
      </c>
      <c r="M1622">
        <v>3.9</v>
      </c>
    </row>
    <row r="1623" spans="1:13" x14ac:dyDescent="0.25">
      <c r="A1623">
        <v>1622</v>
      </c>
      <c r="B1623" s="1">
        <v>42951</v>
      </c>
      <c r="C1623" s="1">
        <v>43309</v>
      </c>
      <c r="D1623" t="s">
        <v>23</v>
      </c>
      <c r="E1623" t="s">
        <v>26</v>
      </c>
      <c r="F1623" s="2">
        <v>228</v>
      </c>
      <c r="G1623" t="s">
        <v>12</v>
      </c>
      <c r="H1623" s="3">
        <v>70400.320000000007</v>
      </c>
      <c r="I1623" s="3">
        <v>1819168</v>
      </c>
      <c r="J1623" s="3">
        <v>1455334.3999999999</v>
      </c>
      <c r="K1623" s="3">
        <v>293433.28000000009</v>
      </c>
      <c r="L1623" t="s">
        <v>15</v>
      </c>
      <c r="M1623">
        <v>4.5999999999999996</v>
      </c>
    </row>
    <row r="1624" spans="1:13" x14ac:dyDescent="0.25">
      <c r="A1624">
        <v>1623</v>
      </c>
      <c r="B1624" s="1">
        <v>42951</v>
      </c>
      <c r="C1624" s="1">
        <v>43261</v>
      </c>
      <c r="D1624" t="s">
        <v>23</v>
      </c>
      <c r="E1624" t="s">
        <v>25</v>
      </c>
      <c r="F1624" s="2">
        <v>42</v>
      </c>
      <c r="G1624" t="s">
        <v>11</v>
      </c>
      <c r="H1624" s="3">
        <v>10810.88</v>
      </c>
      <c r="I1624" s="3">
        <v>323232</v>
      </c>
      <c r="J1624" s="3">
        <v>258585.60000000001</v>
      </c>
      <c r="K1624" s="3">
        <v>53835.519999999997</v>
      </c>
      <c r="L1624" t="s">
        <v>16</v>
      </c>
      <c r="M1624">
        <v>3.9</v>
      </c>
    </row>
    <row r="1625" spans="1:13" x14ac:dyDescent="0.25">
      <c r="A1625">
        <v>1624</v>
      </c>
      <c r="B1625" s="1">
        <v>42951</v>
      </c>
      <c r="C1625" s="1">
        <v>43303</v>
      </c>
      <c r="D1625" t="s">
        <v>22</v>
      </c>
      <c r="E1625" t="s">
        <v>24</v>
      </c>
      <c r="F1625" s="2">
        <v>55</v>
      </c>
      <c r="G1625" t="s">
        <v>11</v>
      </c>
      <c r="H1625" s="3">
        <v>10223.92</v>
      </c>
      <c r="I1625" s="3">
        <v>318033</v>
      </c>
      <c r="J1625" s="3">
        <v>254426.4</v>
      </c>
      <c r="K1625" s="3">
        <v>53382.680000000008</v>
      </c>
      <c r="L1625" t="s">
        <v>17</v>
      </c>
      <c r="M1625">
        <v>4.8</v>
      </c>
    </row>
    <row r="1626" spans="1:13" x14ac:dyDescent="0.25">
      <c r="A1626">
        <v>1625</v>
      </c>
      <c r="B1626" s="1">
        <v>42952</v>
      </c>
      <c r="C1626" s="1">
        <v>43132</v>
      </c>
      <c r="D1626" t="s">
        <v>22</v>
      </c>
      <c r="E1626" t="s">
        <v>13</v>
      </c>
      <c r="F1626" s="2">
        <v>67</v>
      </c>
      <c r="G1626" t="s">
        <v>11</v>
      </c>
      <c r="H1626" s="3">
        <v>12550.84</v>
      </c>
      <c r="I1626" s="3">
        <v>365131</v>
      </c>
      <c r="J1626" s="3">
        <v>292104.8</v>
      </c>
      <c r="K1626" s="3">
        <v>60475.360000000015</v>
      </c>
      <c r="L1626" t="s">
        <v>14</v>
      </c>
      <c r="M1626">
        <v>4.5</v>
      </c>
    </row>
    <row r="1627" spans="1:13" x14ac:dyDescent="0.25">
      <c r="A1627">
        <v>1626</v>
      </c>
      <c r="B1627" s="1">
        <v>42952</v>
      </c>
      <c r="C1627" s="1">
        <v>43173</v>
      </c>
      <c r="D1627" t="s">
        <v>22</v>
      </c>
      <c r="E1627" t="s">
        <v>24</v>
      </c>
      <c r="F1627" s="2">
        <v>181</v>
      </c>
      <c r="G1627" t="s">
        <v>12</v>
      </c>
      <c r="H1627" s="3">
        <v>47513.64</v>
      </c>
      <c r="I1627" s="3">
        <v>1245701</v>
      </c>
      <c r="J1627" s="3">
        <v>996560.8</v>
      </c>
      <c r="K1627" s="3">
        <v>201626.55999999994</v>
      </c>
      <c r="L1627" t="s">
        <v>18</v>
      </c>
      <c r="M1627">
        <v>3.8</v>
      </c>
    </row>
    <row r="1628" spans="1:13" x14ac:dyDescent="0.25">
      <c r="A1628">
        <v>1627</v>
      </c>
      <c r="B1628" s="1">
        <v>42953</v>
      </c>
      <c r="C1628" s="1">
        <v>43079</v>
      </c>
      <c r="D1628" t="s">
        <v>22</v>
      </c>
      <c r="E1628" t="s">
        <v>26</v>
      </c>
      <c r="F1628" s="2">
        <v>240</v>
      </c>
      <c r="G1628" t="s">
        <v>12</v>
      </c>
      <c r="H1628" s="3">
        <v>46914.2</v>
      </c>
      <c r="I1628" s="3">
        <v>1239190</v>
      </c>
      <c r="J1628" s="3">
        <v>991352</v>
      </c>
      <c r="K1628" s="3">
        <v>200923.8</v>
      </c>
      <c r="L1628" t="s">
        <v>17</v>
      </c>
      <c r="M1628">
        <v>4.5</v>
      </c>
    </row>
    <row r="1629" spans="1:13" x14ac:dyDescent="0.25">
      <c r="A1629">
        <v>1628</v>
      </c>
      <c r="B1629" s="1">
        <v>42953</v>
      </c>
      <c r="C1629" s="1">
        <v>43315</v>
      </c>
      <c r="D1629" t="s">
        <v>21</v>
      </c>
      <c r="E1629" t="s">
        <v>25</v>
      </c>
      <c r="F1629" s="2">
        <v>294</v>
      </c>
      <c r="G1629" t="s">
        <v>12</v>
      </c>
      <c r="H1629" s="3">
        <v>96494.96</v>
      </c>
      <c r="I1629" s="3">
        <v>2476934</v>
      </c>
      <c r="J1629" s="3">
        <v>1981547.2</v>
      </c>
      <c r="K1629" s="3">
        <v>398891.84</v>
      </c>
      <c r="L1629" t="s">
        <v>14</v>
      </c>
      <c r="M1629">
        <v>4.5</v>
      </c>
    </row>
    <row r="1630" spans="1:13" x14ac:dyDescent="0.25">
      <c r="A1630">
        <v>1629</v>
      </c>
      <c r="B1630" s="1">
        <v>42953</v>
      </c>
      <c r="C1630" s="1">
        <v>43162</v>
      </c>
      <c r="D1630" t="s">
        <v>20</v>
      </c>
      <c r="E1630" t="s">
        <v>26</v>
      </c>
      <c r="F1630" s="2">
        <v>93</v>
      </c>
      <c r="G1630" t="s">
        <v>12</v>
      </c>
      <c r="H1630" s="3">
        <v>37056.160000000003</v>
      </c>
      <c r="I1630" s="3">
        <v>979064</v>
      </c>
      <c r="J1630" s="3">
        <v>783251.2</v>
      </c>
      <c r="K1630" s="3">
        <v>158756.64000000004</v>
      </c>
      <c r="L1630" t="s">
        <v>18</v>
      </c>
      <c r="M1630">
        <v>5</v>
      </c>
    </row>
    <row r="1631" spans="1:13" x14ac:dyDescent="0.25">
      <c r="A1631">
        <v>1630</v>
      </c>
      <c r="B1631" s="1">
        <v>42953</v>
      </c>
      <c r="C1631" s="1">
        <v>43226</v>
      </c>
      <c r="D1631" t="s">
        <v>20</v>
      </c>
      <c r="E1631" t="s">
        <v>28</v>
      </c>
      <c r="F1631" s="2">
        <v>62</v>
      </c>
      <c r="G1631" t="s">
        <v>11</v>
      </c>
      <c r="H1631" s="3">
        <v>12846.92</v>
      </c>
      <c r="I1631" s="3">
        <v>386108</v>
      </c>
      <c r="J1631" s="3">
        <v>308886.40000000002</v>
      </c>
      <c r="K1631" s="3">
        <v>64374.679999999978</v>
      </c>
      <c r="L1631" t="s">
        <v>16</v>
      </c>
      <c r="M1631">
        <v>4.4000000000000004</v>
      </c>
    </row>
    <row r="1632" spans="1:13" x14ac:dyDescent="0.25">
      <c r="A1632">
        <v>1631</v>
      </c>
      <c r="B1632" s="1">
        <v>42954</v>
      </c>
      <c r="C1632" s="1">
        <v>43078</v>
      </c>
      <c r="D1632" t="s">
        <v>22</v>
      </c>
      <c r="E1632" t="s">
        <v>25</v>
      </c>
      <c r="F1632" s="2">
        <v>293</v>
      </c>
      <c r="G1632" t="s">
        <v>12</v>
      </c>
      <c r="H1632" s="3">
        <v>75138</v>
      </c>
      <c r="I1632" s="3">
        <v>1936685</v>
      </c>
      <c r="J1632" s="3">
        <v>1549348</v>
      </c>
      <c r="K1632" s="3">
        <v>312199</v>
      </c>
      <c r="L1632" t="s">
        <v>15</v>
      </c>
      <c r="M1632">
        <v>4.5999999999999996</v>
      </c>
    </row>
    <row r="1633" spans="1:13" x14ac:dyDescent="0.25">
      <c r="A1633">
        <v>1632</v>
      </c>
      <c r="B1633" s="1">
        <v>42954</v>
      </c>
      <c r="C1633" s="1">
        <v>43156</v>
      </c>
      <c r="D1633" t="s">
        <v>21</v>
      </c>
      <c r="E1633" t="s">
        <v>25</v>
      </c>
      <c r="F1633" s="2">
        <v>43</v>
      </c>
      <c r="G1633" t="s">
        <v>11</v>
      </c>
      <c r="H1633" s="3">
        <v>15475.08</v>
      </c>
      <c r="I1633" s="3">
        <v>440837</v>
      </c>
      <c r="J1633" s="3">
        <v>352669.6</v>
      </c>
      <c r="K1633" s="3">
        <v>72692.320000000022</v>
      </c>
      <c r="L1633" t="s">
        <v>16</v>
      </c>
      <c r="M1633">
        <v>4.2</v>
      </c>
    </row>
    <row r="1634" spans="1:13" x14ac:dyDescent="0.25">
      <c r="A1634">
        <v>1633</v>
      </c>
      <c r="B1634" s="1">
        <v>42954</v>
      </c>
      <c r="C1634" s="1">
        <v>43063</v>
      </c>
      <c r="D1634" t="s">
        <v>20</v>
      </c>
      <c r="E1634" t="s">
        <v>28</v>
      </c>
      <c r="F1634" s="2">
        <v>194</v>
      </c>
      <c r="G1634" t="s">
        <v>12</v>
      </c>
      <c r="H1634" s="3">
        <v>59991.08</v>
      </c>
      <c r="I1634" s="3">
        <v>1559462</v>
      </c>
      <c r="J1634" s="3">
        <v>1247569.6000000001</v>
      </c>
      <c r="K1634" s="3">
        <v>251901.31999999989</v>
      </c>
      <c r="L1634" t="s">
        <v>14</v>
      </c>
      <c r="M1634">
        <v>4.4000000000000004</v>
      </c>
    </row>
    <row r="1635" spans="1:13" x14ac:dyDescent="0.25">
      <c r="A1635">
        <v>1634</v>
      </c>
      <c r="B1635" s="1">
        <v>42954</v>
      </c>
      <c r="C1635" s="1">
        <v>43128</v>
      </c>
      <c r="D1635" t="s">
        <v>23</v>
      </c>
      <c r="E1635" t="s">
        <v>29</v>
      </c>
      <c r="F1635" s="2">
        <v>88</v>
      </c>
      <c r="G1635" t="s">
        <v>11</v>
      </c>
      <c r="H1635" s="3">
        <v>28721.56</v>
      </c>
      <c r="I1635" s="3">
        <v>776349</v>
      </c>
      <c r="J1635" s="3">
        <v>621079.19999999995</v>
      </c>
      <c r="K1635" s="3">
        <v>126548.24000000005</v>
      </c>
      <c r="L1635" t="s">
        <v>19</v>
      </c>
      <c r="M1635">
        <v>4.7</v>
      </c>
    </row>
    <row r="1636" spans="1:13" x14ac:dyDescent="0.25">
      <c r="A1636">
        <v>1635</v>
      </c>
      <c r="B1636" s="1">
        <v>42955</v>
      </c>
      <c r="C1636" s="1">
        <v>43104</v>
      </c>
      <c r="D1636" t="s">
        <v>20</v>
      </c>
      <c r="E1636" t="s">
        <v>29</v>
      </c>
      <c r="F1636" s="2">
        <v>245</v>
      </c>
      <c r="G1636" t="s">
        <v>12</v>
      </c>
      <c r="H1636" s="3">
        <v>65582</v>
      </c>
      <c r="I1636" s="3">
        <v>1705735</v>
      </c>
      <c r="J1636" s="3">
        <v>1364588</v>
      </c>
      <c r="K1636" s="3">
        <v>275565</v>
      </c>
      <c r="L1636" t="s">
        <v>18</v>
      </c>
      <c r="M1636">
        <v>4.5</v>
      </c>
    </row>
    <row r="1637" spans="1:13" x14ac:dyDescent="0.25">
      <c r="A1637">
        <v>1636</v>
      </c>
      <c r="B1637" s="1">
        <v>42955</v>
      </c>
      <c r="C1637" s="1">
        <v>43089</v>
      </c>
      <c r="D1637" t="s">
        <v>21</v>
      </c>
      <c r="E1637" t="s">
        <v>13</v>
      </c>
      <c r="F1637" s="2">
        <v>218</v>
      </c>
      <c r="G1637" t="s">
        <v>12</v>
      </c>
      <c r="H1637" s="3">
        <v>56817.36</v>
      </c>
      <c r="I1637" s="3">
        <v>1484869</v>
      </c>
      <c r="J1637" s="3">
        <v>1187895.2</v>
      </c>
      <c r="K1637" s="3">
        <v>240156.44000000006</v>
      </c>
      <c r="L1637" t="s">
        <v>16</v>
      </c>
      <c r="M1637">
        <v>3.8</v>
      </c>
    </row>
    <row r="1638" spans="1:13" x14ac:dyDescent="0.25">
      <c r="A1638">
        <v>1637</v>
      </c>
      <c r="B1638" s="1">
        <v>42955</v>
      </c>
      <c r="C1638" s="1">
        <v>43188</v>
      </c>
      <c r="D1638" t="s">
        <v>22</v>
      </c>
      <c r="E1638" t="s">
        <v>13</v>
      </c>
      <c r="F1638" s="2">
        <v>106</v>
      </c>
      <c r="G1638" t="s">
        <v>12</v>
      </c>
      <c r="H1638" s="3">
        <v>31962.32</v>
      </c>
      <c r="I1638" s="3">
        <v>866293</v>
      </c>
      <c r="J1638" s="3">
        <v>693034.4</v>
      </c>
      <c r="K1638" s="3">
        <v>141296.27999999997</v>
      </c>
      <c r="L1638" t="s">
        <v>16</v>
      </c>
      <c r="M1638">
        <v>4.7</v>
      </c>
    </row>
    <row r="1639" spans="1:13" x14ac:dyDescent="0.25">
      <c r="A1639">
        <v>1638</v>
      </c>
      <c r="B1639" s="1">
        <v>42955</v>
      </c>
      <c r="C1639" s="1">
        <v>43216</v>
      </c>
      <c r="D1639" t="s">
        <v>23</v>
      </c>
      <c r="E1639" t="s">
        <v>26</v>
      </c>
      <c r="F1639" s="2">
        <v>180</v>
      </c>
      <c r="G1639" t="s">
        <v>12</v>
      </c>
      <c r="H1639" s="3">
        <v>45096.32</v>
      </c>
      <c r="I1639" s="3">
        <v>1193293</v>
      </c>
      <c r="J1639" s="3">
        <v>954634.4</v>
      </c>
      <c r="K1639" s="3">
        <v>193562.27999999997</v>
      </c>
      <c r="L1639" t="s">
        <v>14</v>
      </c>
      <c r="M1639">
        <v>3.8</v>
      </c>
    </row>
    <row r="1640" spans="1:13" x14ac:dyDescent="0.25">
      <c r="A1640">
        <v>1639</v>
      </c>
      <c r="B1640" s="1">
        <v>42956</v>
      </c>
      <c r="C1640" s="1">
        <v>43317</v>
      </c>
      <c r="D1640" t="s">
        <v>23</v>
      </c>
      <c r="E1640" t="s">
        <v>24</v>
      </c>
      <c r="F1640" s="2">
        <v>295</v>
      </c>
      <c r="G1640" t="s">
        <v>12</v>
      </c>
      <c r="H1640" s="3">
        <v>85390</v>
      </c>
      <c r="I1640" s="3">
        <v>2191685</v>
      </c>
      <c r="J1640" s="3">
        <v>1753348</v>
      </c>
      <c r="K1640" s="3">
        <v>352947</v>
      </c>
      <c r="L1640" t="s">
        <v>17</v>
      </c>
      <c r="M1640">
        <v>3.7</v>
      </c>
    </row>
    <row r="1641" spans="1:13" x14ac:dyDescent="0.25">
      <c r="A1641">
        <v>1640</v>
      </c>
      <c r="B1641" s="1">
        <v>42956</v>
      </c>
      <c r="C1641" s="1">
        <v>43145</v>
      </c>
      <c r="D1641" t="s">
        <v>23</v>
      </c>
      <c r="E1641" t="s">
        <v>26</v>
      </c>
      <c r="F1641" s="2">
        <v>157</v>
      </c>
      <c r="G1641" t="s">
        <v>12</v>
      </c>
      <c r="H1641" s="3">
        <v>50964.36</v>
      </c>
      <c r="I1641" s="3">
        <v>1333619</v>
      </c>
      <c r="J1641" s="3">
        <v>1066895.2</v>
      </c>
      <c r="K1641" s="3">
        <v>215759.44000000006</v>
      </c>
      <c r="L1641" t="s">
        <v>18</v>
      </c>
      <c r="M1641">
        <v>4.5999999999999996</v>
      </c>
    </row>
    <row r="1642" spans="1:13" x14ac:dyDescent="0.25">
      <c r="A1642">
        <v>1641</v>
      </c>
      <c r="B1642" s="1">
        <v>42956</v>
      </c>
      <c r="C1642" s="1">
        <v>43129</v>
      </c>
      <c r="D1642" t="s">
        <v>22</v>
      </c>
      <c r="E1642" t="s">
        <v>28</v>
      </c>
      <c r="F1642" s="2">
        <v>86</v>
      </c>
      <c r="G1642" t="s">
        <v>11</v>
      </c>
      <c r="H1642" s="3">
        <v>21117.52</v>
      </c>
      <c r="I1642" s="3">
        <v>588998</v>
      </c>
      <c r="J1642" s="3">
        <v>471198.4</v>
      </c>
      <c r="K1642" s="3">
        <v>96682.079999999973</v>
      </c>
      <c r="L1642" t="s">
        <v>15</v>
      </c>
      <c r="M1642">
        <v>4.5</v>
      </c>
    </row>
    <row r="1643" spans="1:13" x14ac:dyDescent="0.25">
      <c r="A1643">
        <v>1642</v>
      </c>
      <c r="B1643" s="1">
        <v>42957</v>
      </c>
      <c r="C1643" s="1">
        <v>43085</v>
      </c>
      <c r="D1643" t="s">
        <v>21</v>
      </c>
      <c r="E1643" t="s">
        <v>29</v>
      </c>
      <c r="F1643" s="2">
        <v>271</v>
      </c>
      <c r="G1643" t="s">
        <v>12</v>
      </c>
      <c r="H1643" s="3">
        <v>105523.64</v>
      </c>
      <c r="I1643" s="3">
        <v>2704301</v>
      </c>
      <c r="J1643" s="3">
        <v>2163440.7999999998</v>
      </c>
      <c r="K1643" s="3">
        <v>435336.56000000017</v>
      </c>
      <c r="L1643" t="s">
        <v>16</v>
      </c>
      <c r="M1643">
        <v>4.0999999999999996</v>
      </c>
    </row>
    <row r="1644" spans="1:13" x14ac:dyDescent="0.25">
      <c r="A1644">
        <v>1643</v>
      </c>
      <c r="B1644" s="1">
        <v>42957</v>
      </c>
      <c r="C1644" s="1">
        <v>43066</v>
      </c>
      <c r="D1644" t="s">
        <v>22</v>
      </c>
      <c r="E1644" t="s">
        <v>25</v>
      </c>
      <c r="F1644" s="2">
        <v>125</v>
      </c>
      <c r="G1644" t="s">
        <v>12</v>
      </c>
      <c r="H1644" s="3">
        <v>49042</v>
      </c>
      <c r="I1644" s="3">
        <v>1282535</v>
      </c>
      <c r="J1644" s="3">
        <v>1026028</v>
      </c>
      <c r="K1644" s="3">
        <v>207465</v>
      </c>
      <c r="L1644" t="s">
        <v>19</v>
      </c>
      <c r="M1644">
        <v>4.9000000000000004</v>
      </c>
    </row>
    <row r="1645" spans="1:13" x14ac:dyDescent="0.25">
      <c r="A1645">
        <v>1644</v>
      </c>
      <c r="B1645" s="1">
        <v>42957</v>
      </c>
      <c r="C1645" s="1">
        <v>43143</v>
      </c>
      <c r="D1645" t="s">
        <v>23</v>
      </c>
      <c r="E1645" t="s">
        <v>28</v>
      </c>
      <c r="F1645" s="2">
        <v>266</v>
      </c>
      <c r="G1645" t="s">
        <v>12</v>
      </c>
      <c r="H1645" s="3">
        <v>94656.16</v>
      </c>
      <c r="I1645" s="3">
        <v>2421439</v>
      </c>
      <c r="J1645" s="3">
        <v>1937151.2</v>
      </c>
      <c r="K1645" s="3">
        <v>389631.64</v>
      </c>
      <c r="L1645" t="s">
        <v>18</v>
      </c>
      <c r="M1645">
        <v>4.8</v>
      </c>
    </row>
    <row r="1646" spans="1:13" x14ac:dyDescent="0.25">
      <c r="A1646">
        <v>1645</v>
      </c>
      <c r="B1646" s="1">
        <v>42957</v>
      </c>
      <c r="C1646" s="1">
        <v>43255</v>
      </c>
      <c r="D1646" t="s">
        <v>21</v>
      </c>
      <c r="E1646" t="s">
        <v>25</v>
      </c>
      <c r="F1646" s="2">
        <v>129</v>
      </c>
      <c r="G1646" t="s">
        <v>12</v>
      </c>
      <c r="H1646" s="3">
        <v>37668.28</v>
      </c>
      <c r="I1646" s="3">
        <v>994617</v>
      </c>
      <c r="J1646" s="3">
        <v>795693.6</v>
      </c>
      <c r="K1646" s="3">
        <v>161255.12000000002</v>
      </c>
      <c r="L1646" t="s">
        <v>15</v>
      </c>
      <c r="M1646">
        <v>3.6</v>
      </c>
    </row>
    <row r="1647" spans="1:13" x14ac:dyDescent="0.25">
      <c r="A1647">
        <v>1646</v>
      </c>
      <c r="B1647" s="1">
        <v>42958</v>
      </c>
      <c r="C1647" s="1">
        <v>43280</v>
      </c>
      <c r="D1647" t="s">
        <v>22</v>
      </c>
      <c r="E1647" t="s">
        <v>13</v>
      </c>
      <c r="F1647" s="2">
        <v>181</v>
      </c>
      <c r="G1647" t="s">
        <v>12</v>
      </c>
      <c r="H1647" s="3">
        <v>44820.32</v>
      </c>
      <c r="I1647" s="3">
        <v>1184093</v>
      </c>
      <c r="J1647" s="3">
        <v>947274.4</v>
      </c>
      <c r="K1647" s="3">
        <v>191998.27999999997</v>
      </c>
      <c r="L1647" t="s">
        <v>19</v>
      </c>
      <c r="M1647">
        <v>4</v>
      </c>
    </row>
    <row r="1648" spans="1:13" x14ac:dyDescent="0.25">
      <c r="A1648">
        <v>1647</v>
      </c>
      <c r="B1648" s="1">
        <v>42959</v>
      </c>
      <c r="C1648" s="1">
        <v>43066</v>
      </c>
      <c r="D1648" t="s">
        <v>21</v>
      </c>
      <c r="E1648" t="s">
        <v>26</v>
      </c>
      <c r="F1648" s="2">
        <v>292</v>
      </c>
      <c r="G1648" t="s">
        <v>12</v>
      </c>
      <c r="H1648" s="3">
        <v>114365</v>
      </c>
      <c r="I1648" s="3">
        <v>2924810</v>
      </c>
      <c r="J1648" s="3">
        <v>2339848</v>
      </c>
      <c r="K1648" s="3">
        <v>470597</v>
      </c>
      <c r="L1648" t="s">
        <v>15</v>
      </c>
      <c r="M1648">
        <v>4.5999999999999996</v>
      </c>
    </row>
    <row r="1649" spans="1:13" x14ac:dyDescent="0.25">
      <c r="A1649">
        <v>1648</v>
      </c>
      <c r="B1649" s="1">
        <v>42959</v>
      </c>
      <c r="C1649" s="1">
        <v>43158</v>
      </c>
      <c r="D1649" t="s">
        <v>20</v>
      </c>
      <c r="E1649" t="s">
        <v>24</v>
      </c>
      <c r="F1649" s="2">
        <v>112</v>
      </c>
      <c r="G1649" t="s">
        <v>11</v>
      </c>
      <c r="H1649" s="3">
        <v>20965.439999999999</v>
      </c>
      <c r="I1649" s="3">
        <v>582471</v>
      </c>
      <c r="J1649" s="3">
        <v>465976.8</v>
      </c>
      <c r="K1649" s="3">
        <v>95528.760000000009</v>
      </c>
      <c r="L1649" t="s">
        <v>15</v>
      </c>
      <c r="M1649">
        <v>4.8</v>
      </c>
    </row>
    <row r="1650" spans="1:13" x14ac:dyDescent="0.25">
      <c r="A1650">
        <v>1649</v>
      </c>
      <c r="B1650" s="1">
        <v>42961</v>
      </c>
      <c r="C1650" s="1">
        <v>43060</v>
      </c>
      <c r="D1650" t="s">
        <v>21</v>
      </c>
      <c r="E1650" t="s">
        <v>29</v>
      </c>
      <c r="F1650" s="2">
        <v>116</v>
      </c>
      <c r="G1650" t="s">
        <v>12</v>
      </c>
      <c r="H1650" s="3">
        <v>35506.199999999997</v>
      </c>
      <c r="I1650" s="3">
        <v>943265</v>
      </c>
      <c r="J1650" s="3">
        <v>754612</v>
      </c>
      <c r="K1650" s="3">
        <v>153146.79999999999</v>
      </c>
      <c r="L1650" t="s">
        <v>14</v>
      </c>
      <c r="M1650">
        <v>3.8</v>
      </c>
    </row>
    <row r="1651" spans="1:13" x14ac:dyDescent="0.25">
      <c r="A1651">
        <v>1650</v>
      </c>
      <c r="B1651" s="1">
        <v>42961</v>
      </c>
      <c r="C1651" s="1">
        <v>43066</v>
      </c>
      <c r="D1651" t="s">
        <v>22</v>
      </c>
      <c r="E1651" t="s">
        <v>25</v>
      </c>
      <c r="F1651" s="2">
        <v>52</v>
      </c>
      <c r="G1651" t="s">
        <v>11</v>
      </c>
      <c r="H1651" s="3">
        <v>10827.48</v>
      </c>
      <c r="I1651" s="3">
        <v>329522</v>
      </c>
      <c r="J1651" s="3">
        <v>263617.59999999998</v>
      </c>
      <c r="K1651" s="3">
        <v>55076.920000000027</v>
      </c>
      <c r="L1651" t="s">
        <v>14</v>
      </c>
      <c r="M1651">
        <v>4.5</v>
      </c>
    </row>
    <row r="1652" spans="1:13" x14ac:dyDescent="0.25">
      <c r="A1652">
        <v>1651</v>
      </c>
      <c r="B1652" s="1">
        <v>42961</v>
      </c>
      <c r="C1652" s="1">
        <v>43184</v>
      </c>
      <c r="D1652" t="s">
        <v>21</v>
      </c>
      <c r="E1652" t="s">
        <v>13</v>
      </c>
      <c r="F1652" s="2">
        <v>73</v>
      </c>
      <c r="G1652" t="s">
        <v>11</v>
      </c>
      <c r="H1652" s="3">
        <v>22950.92</v>
      </c>
      <c r="I1652" s="3">
        <v>629308</v>
      </c>
      <c r="J1652" s="3">
        <v>503446.4</v>
      </c>
      <c r="K1652" s="3">
        <v>102910.67999999998</v>
      </c>
      <c r="L1652" t="s">
        <v>15</v>
      </c>
      <c r="M1652">
        <v>3.6</v>
      </c>
    </row>
    <row r="1653" spans="1:13" x14ac:dyDescent="0.25">
      <c r="A1653">
        <v>1652</v>
      </c>
      <c r="B1653" s="1">
        <v>42962</v>
      </c>
      <c r="C1653" s="1">
        <v>43160</v>
      </c>
      <c r="D1653" t="s">
        <v>22</v>
      </c>
      <c r="E1653" t="s">
        <v>29</v>
      </c>
      <c r="F1653" s="2">
        <v>56</v>
      </c>
      <c r="G1653" t="s">
        <v>11</v>
      </c>
      <c r="H1653" s="3">
        <v>23125.919999999998</v>
      </c>
      <c r="I1653" s="3">
        <v>637883</v>
      </c>
      <c r="J1653" s="3">
        <v>510306.4</v>
      </c>
      <c r="K1653" s="3">
        <v>104450.67999999998</v>
      </c>
      <c r="L1653" t="s">
        <v>14</v>
      </c>
      <c r="M1653">
        <v>4.9000000000000004</v>
      </c>
    </row>
    <row r="1654" spans="1:13" x14ac:dyDescent="0.25">
      <c r="A1654">
        <v>1653</v>
      </c>
      <c r="B1654" s="1">
        <v>42962</v>
      </c>
      <c r="C1654" s="1">
        <v>43136</v>
      </c>
      <c r="D1654" t="s">
        <v>22</v>
      </c>
      <c r="E1654" t="s">
        <v>24</v>
      </c>
      <c r="F1654" s="2">
        <v>154</v>
      </c>
      <c r="G1654" t="s">
        <v>11</v>
      </c>
      <c r="H1654" s="3">
        <v>29240.12</v>
      </c>
      <c r="I1654" s="3">
        <v>798413</v>
      </c>
      <c r="J1654" s="3">
        <v>638730.4</v>
      </c>
      <c r="K1654" s="3">
        <v>130442.47999999998</v>
      </c>
      <c r="L1654" t="s">
        <v>14</v>
      </c>
      <c r="M1654">
        <v>3.8</v>
      </c>
    </row>
    <row r="1655" spans="1:13" x14ac:dyDescent="0.25">
      <c r="A1655">
        <v>1654</v>
      </c>
      <c r="B1655" s="1">
        <v>42962</v>
      </c>
      <c r="C1655" s="1">
        <v>43086</v>
      </c>
      <c r="D1655" t="s">
        <v>21</v>
      </c>
      <c r="E1655" t="s">
        <v>26</v>
      </c>
      <c r="F1655" s="2">
        <v>130</v>
      </c>
      <c r="G1655" t="s">
        <v>12</v>
      </c>
      <c r="H1655" s="3">
        <v>31336.080000000002</v>
      </c>
      <c r="I1655" s="3">
        <v>840812</v>
      </c>
      <c r="J1655" s="3">
        <v>672649.6</v>
      </c>
      <c r="K1655" s="3">
        <v>136826.32</v>
      </c>
      <c r="L1655" t="s">
        <v>16</v>
      </c>
      <c r="M1655">
        <v>5</v>
      </c>
    </row>
    <row r="1656" spans="1:13" x14ac:dyDescent="0.25">
      <c r="A1656">
        <v>1655</v>
      </c>
      <c r="B1656" s="1">
        <v>42962</v>
      </c>
      <c r="C1656" s="1">
        <v>43242</v>
      </c>
      <c r="D1656" t="s">
        <v>21</v>
      </c>
      <c r="E1656" t="s">
        <v>13</v>
      </c>
      <c r="F1656" s="2">
        <v>79</v>
      </c>
      <c r="G1656" t="s">
        <v>11</v>
      </c>
      <c r="H1656" s="3">
        <v>13960.28</v>
      </c>
      <c r="I1656" s="3">
        <v>411717</v>
      </c>
      <c r="J1656" s="3">
        <v>329373.59999999998</v>
      </c>
      <c r="K1656" s="3">
        <v>68383.120000000024</v>
      </c>
      <c r="L1656" t="s">
        <v>17</v>
      </c>
      <c r="M1656">
        <v>4.3</v>
      </c>
    </row>
    <row r="1657" spans="1:13" x14ac:dyDescent="0.25">
      <c r="A1657">
        <v>1656</v>
      </c>
      <c r="B1657" s="1">
        <v>42962</v>
      </c>
      <c r="C1657" s="1">
        <v>43316</v>
      </c>
      <c r="D1657" t="s">
        <v>22</v>
      </c>
      <c r="E1657" t="s">
        <v>24</v>
      </c>
      <c r="F1657" s="2">
        <v>76</v>
      </c>
      <c r="G1657" t="s">
        <v>11</v>
      </c>
      <c r="H1657" s="3">
        <v>15822.76</v>
      </c>
      <c r="I1657" s="3">
        <v>448154</v>
      </c>
      <c r="J1657" s="3">
        <v>358523.2</v>
      </c>
      <c r="K1657" s="3">
        <v>73808.039999999994</v>
      </c>
      <c r="L1657" t="s">
        <v>15</v>
      </c>
      <c r="M1657">
        <v>4.5999999999999996</v>
      </c>
    </row>
    <row r="1658" spans="1:13" x14ac:dyDescent="0.25">
      <c r="A1658">
        <v>1657</v>
      </c>
      <c r="B1658" s="1">
        <v>42963</v>
      </c>
      <c r="C1658" s="1">
        <v>43150</v>
      </c>
      <c r="D1658" t="s">
        <v>20</v>
      </c>
      <c r="E1658" t="s">
        <v>25</v>
      </c>
      <c r="F1658" s="2">
        <v>85</v>
      </c>
      <c r="G1658" t="s">
        <v>11</v>
      </c>
      <c r="H1658" s="3">
        <v>13469.8</v>
      </c>
      <c r="I1658" s="3">
        <v>395155</v>
      </c>
      <c r="J1658" s="3">
        <v>316124</v>
      </c>
      <c r="K1658" s="3">
        <v>65561.2</v>
      </c>
      <c r="L1658" t="s">
        <v>19</v>
      </c>
      <c r="M1658">
        <v>4.9000000000000004</v>
      </c>
    </row>
    <row r="1659" spans="1:13" x14ac:dyDescent="0.25">
      <c r="A1659">
        <v>1658</v>
      </c>
      <c r="B1659" s="1">
        <v>42963</v>
      </c>
      <c r="C1659" s="1">
        <v>43153</v>
      </c>
      <c r="D1659" t="s">
        <v>23</v>
      </c>
      <c r="E1659" t="s">
        <v>29</v>
      </c>
      <c r="F1659" s="2">
        <v>228</v>
      </c>
      <c r="G1659" t="s">
        <v>12</v>
      </c>
      <c r="H1659" s="3">
        <v>64746.239999999998</v>
      </c>
      <c r="I1659" s="3">
        <v>1679741</v>
      </c>
      <c r="J1659" s="3">
        <v>1343792.8</v>
      </c>
      <c r="K1659" s="3">
        <v>271201.95999999996</v>
      </c>
      <c r="L1659" t="s">
        <v>18</v>
      </c>
      <c r="M1659">
        <v>4.9000000000000004</v>
      </c>
    </row>
    <row r="1660" spans="1:13" x14ac:dyDescent="0.25">
      <c r="A1660">
        <v>1659</v>
      </c>
      <c r="B1660" s="1">
        <v>42963</v>
      </c>
      <c r="C1660" s="1">
        <v>43252</v>
      </c>
      <c r="D1660" t="s">
        <v>22</v>
      </c>
      <c r="E1660" t="s">
        <v>28</v>
      </c>
      <c r="F1660" s="2">
        <v>216</v>
      </c>
      <c r="G1660" t="s">
        <v>12</v>
      </c>
      <c r="H1660" s="3">
        <v>42105.599999999999</v>
      </c>
      <c r="I1660" s="3">
        <v>1106125</v>
      </c>
      <c r="J1660" s="3">
        <v>884900</v>
      </c>
      <c r="K1660" s="3">
        <v>179119.4</v>
      </c>
      <c r="L1660" t="s">
        <v>16</v>
      </c>
      <c r="M1660">
        <v>3.7</v>
      </c>
    </row>
    <row r="1661" spans="1:13" x14ac:dyDescent="0.25">
      <c r="A1661">
        <v>1660</v>
      </c>
      <c r="B1661" s="1">
        <v>42963</v>
      </c>
      <c r="C1661" s="1">
        <v>43063</v>
      </c>
      <c r="D1661" t="s">
        <v>21</v>
      </c>
      <c r="E1661" t="s">
        <v>13</v>
      </c>
      <c r="F1661" s="2">
        <v>205</v>
      </c>
      <c r="G1661" t="s">
        <v>12</v>
      </c>
      <c r="H1661" s="3">
        <v>75946.720000000001</v>
      </c>
      <c r="I1661" s="3">
        <v>1963353</v>
      </c>
      <c r="J1661" s="3">
        <v>1570682.4</v>
      </c>
      <c r="K1661" s="3">
        <v>316723.88000000012</v>
      </c>
      <c r="L1661" t="s">
        <v>14</v>
      </c>
      <c r="M1661">
        <v>4.4000000000000004</v>
      </c>
    </row>
    <row r="1662" spans="1:13" x14ac:dyDescent="0.25">
      <c r="A1662">
        <v>1661</v>
      </c>
      <c r="B1662" s="1">
        <v>42964</v>
      </c>
      <c r="C1662" s="1">
        <v>43240</v>
      </c>
      <c r="D1662" t="s">
        <v>21</v>
      </c>
      <c r="E1662" t="s">
        <v>24</v>
      </c>
      <c r="F1662" s="2">
        <v>52</v>
      </c>
      <c r="G1662" t="s">
        <v>11</v>
      </c>
      <c r="H1662" s="3">
        <v>19219.240000000002</v>
      </c>
      <c r="I1662" s="3">
        <v>545841</v>
      </c>
      <c r="J1662" s="3">
        <v>436672.8</v>
      </c>
      <c r="K1662" s="3">
        <v>89948.96</v>
      </c>
      <c r="L1662" t="s">
        <v>19</v>
      </c>
      <c r="M1662">
        <v>4.0999999999999996</v>
      </c>
    </row>
    <row r="1663" spans="1:13" x14ac:dyDescent="0.25">
      <c r="A1663">
        <v>1662</v>
      </c>
      <c r="B1663" s="1">
        <v>42964</v>
      </c>
      <c r="C1663" s="1">
        <v>43198</v>
      </c>
      <c r="D1663" t="s">
        <v>22</v>
      </c>
      <c r="E1663" t="s">
        <v>25</v>
      </c>
      <c r="F1663" s="2">
        <v>163</v>
      </c>
      <c r="G1663" t="s">
        <v>12</v>
      </c>
      <c r="H1663" s="3">
        <v>56137.279999999999</v>
      </c>
      <c r="I1663" s="3">
        <v>1459492</v>
      </c>
      <c r="J1663" s="3">
        <v>1167593.6000000001</v>
      </c>
      <c r="K1663" s="3">
        <v>235761.11999999991</v>
      </c>
      <c r="L1663" t="s">
        <v>14</v>
      </c>
      <c r="M1663">
        <v>4.5</v>
      </c>
    </row>
    <row r="1664" spans="1:13" x14ac:dyDescent="0.25">
      <c r="A1664">
        <v>1663</v>
      </c>
      <c r="B1664" s="1">
        <v>42965</v>
      </c>
      <c r="C1664" s="1">
        <v>43141</v>
      </c>
      <c r="D1664" t="s">
        <v>22</v>
      </c>
      <c r="E1664" t="s">
        <v>25</v>
      </c>
      <c r="F1664" s="2">
        <v>220</v>
      </c>
      <c r="G1664" t="s">
        <v>12</v>
      </c>
      <c r="H1664" s="3">
        <v>38429.919999999998</v>
      </c>
      <c r="I1664" s="3">
        <v>1022533</v>
      </c>
      <c r="J1664" s="3">
        <v>818026.4</v>
      </c>
      <c r="K1664" s="3">
        <v>166076.68</v>
      </c>
      <c r="L1664" t="s">
        <v>18</v>
      </c>
      <c r="M1664">
        <v>3.6</v>
      </c>
    </row>
    <row r="1665" spans="1:13" x14ac:dyDescent="0.25">
      <c r="A1665">
        <v>1664</v>
      </c>
      <c r="B1665" s="1">
        <v>42966</v>
      </c>
      <c r="C1665" s="1">
        <v>43082</v>
      </c>
      <c r="D1665" t="s">
        <v>22</v>
      </c>
      <c r="E1665" t="s">
        <v>26</v>
      </c>
      <c r="F1665" s="2">
        <v>267</v>
      </c>
      <c r="G1665" t="s">
        <v>12</v>
      </c>
      <c r="H1665" s="3">
        <v>88709.8</v>
      </c>
      <c r="I1665" s="3">
        <v>2269605</v>
      </c>
      <c r="J1665" s="3">
        <v>1815684</v>
      </c>
      <c r="K1665" s="3">
        <v>365211.2</v>
      </c>
      <c r="L1665" t="s">
        <v>19</v>
      </c>
      <c r="M1665">
        <v>3.9</v>
      </c>
    </row>
    <row r="1666" spans="1:13" x14ac:dyDescent="0.25">
      <c r="A1666">
        <v>1665</v>
      </c>
      <c r="B1666" s="1">
        <v>42966</v>
      </c>
      <c r="C1666" s="1">
        <v>43266</v>
      </c>
      <c r="D1666" t="s">
        <v>20</v>
      </c>
      <c r="E1666" t="s">
        <v>13</v>
      </c>
      <c r="F1666" s="2">
        <v>232</v>
      </c>
      <c r="G1666" t="s">
        <v>12</v>
      </c>
      <c r="H1666" s="3">
        <v>89836.76</v>
      </c>
      <c r="I1666" s="3">
        <v>2312479</v>
      </c>
      <c r="J1666" s="3">
        <v>1849983.2</v>
      </c>
      <c r="K1666" s="3">
        <v>372659.04000000004</v>
      </c>
      <c r="L1666" t="s">
        <v>16</v>
      </c>
      <c r="M1666">
        <v>3.9</v>
      </c>
    </row>
    <row r="1667" spans="1:13" x14ac:dyDescent="0.25">
      <c r="A1667">
        <v>1666</v>
      </c>
      <c r="B1667" s="1">
        <v>42966</v>
      </c>
      <c r="C1667" s="1">
        <v>43266</v>
      </c>
      <c r="D1667" t="s">
        <v>20</v>
      </c>
      <c r="E1667" t="s">
        <v>25</v>
      </c>
      <c r="F1667" s="2">
        <v>62</v>
      </c>
      <c r="G1667" t="s">
        <v>11</v>
      </c>
      <c r="H1667" s="3">
        <v>16951.400000000001</v>
      </c>
      <c r="I1667" s="3">
        <v>479120</v>
      </c>
      <c r="J1667" s="3">
        <v>383296</v>
      </c>
      <c r="K1667" s="3">
        <v>78872.600000000006</v>
      </c>
      <c r="L1667" t="s">
        <v>18</v>
      </c>
      <c r="M1667">
        <v>3.9</v>
      </c>
    </row>
    <row r="1668" spans="1:13" x14ac:dyDescent="0.25">
      <c r="A1668">
        <v>1667</v>
      </c>
      <c r="B1668" s="1">
        <v>42969</v>
      </c>
      <c r="C1668" s="1">
        <v>43124</v>
      </c>
      <c r="D1668" t="s">
        <v>23</v>
      </c>
      <c r="E1668" t="s">
        <v>28</v>
      </c>
      <c r="F1668" s="2">
        <v>206</v>
      </c>
      <c r="G1668" t="s">
        <v>12</v>
      </c>
      <c r="H1668" s="3">
        <v>32692.240000000002</v>
      </c>
      <c r="I1668" s="3">
        <v>879591</v>
      </c>
      <c r="J1668" s="3">
        <v>703672.8</v>
      </c>
      <c r="K1668" s="3">
        <v>143225.95999999996</v>
      </c>
      <c r="L1668" t="s">
        <v>18</v>
      </c>
      <c r="M1668">
        <v>3.6</v>
      </c>
    </row>
    <row r="1669" spans="1:13" x14ac:dyDescent="0.25">
      <c r="A1669">
        <v>1668</v>
      </c>
      <c r="B1669" s="1">
        <v>42969</v>
      </c>
      <c r="C1669" s="1">
        <v>43065</v>
      </c>
      <c r="D1669" t="s">
        <v>20</v>
      </c>
      <c r="E1669" t="s">
        <v>29</v>
      </c>
      <c r="F1669" s="2">
        <v>96</v>
      </c>
      <c r="G1669" t="s">
        <v>12</v>
      </c>
      <c r="H1669" s="3">
        <v>34099.160000000003</v>
      </c>
      <c r="I1669" s="3">
        <v>908689</v>
      </c>
      <c r="J1669" s="3">
        <v>726951.2</v>
      </c>
      <c r="K1669" s="3">
        <v>147638.64000000004</v>
      </c>
      <c r="L1669" t="s">
        <v>18</v>
      </c>
      <c r="M1669">
        <v>3.8</v>
      </c>
    </row>
    <row r="1670" spans="1:13" x14ac:dyDescent="0.25">
      <c r="A1670">
        <v>1669</v>
      </c>
      <c r="B1670" s="1">
        <v>42970</v>
      </c>
      <c r="C1670" s="1">
        <v>43131</v>
      </c>
      <c r="D1670" t="s">
        <v>23</v>
      </c>
      <c r="E1670" t="s">
        <v>25</v>
      </c>
      <c r="F1670" s="2">
        <v>196</v>
      </c>
      <c r="G1670" t="s">
        <v>12</v>
      </c>
      <c r="H1670" s="3">
        <v>76333.88</v>
      </c>
      <c r="I1670" s="3">
        <v>1969857</v>
      </c>
      <c r="J1670" s="3">
        <v>1575885.6</v>
      </c>
      <c r="K1670" s="3">
        <v>317637.5199999999</v>
      </c>
      <c r="L1670" t="s">
        <v>17</v>
      </c>
      <c r="M1670">
        <v>3.6</v>
      </c>
    </row>
    <row r="1671" spans="1:13" x14ac:dyDescent="0.25">
      <c r="A1671">
        <v>1670</v>
      </c>
      <c r="B1671" s="1">
        <v>42970</v>
      </c>
      <c r="C1671" s="1">
        <v>43320</v>
      </c>
      <c r="D1671" t="s">
        <v>20</v>
      </c>
      <c r="E1671" t="s">
        <v>26</v>
      </c>
      <c r="F1671" s="2">
        <v>258</v>
      </c>
      <c r="G1671" t="s">
        <v>12</v>
      </c>
      <c r="H1671" s="3">
        <v>59388.56</v>
      </c>
      <c r="I1671" s="3">
        <v>1536374</v>
      </c>
      <c r="J1671" s="3">
        <v>1229099.2</v>
      </c>
      <c r="K1671" s="3">
        <v>247886.24000000005</v>
      </c>
      <c r="L1671" t="s">
        <v>15</v>
      </c>
      <c r="M1671">
        <v>4.5</v>
      </c>
    </row>
    <row r="1672" spans="1:13" x14ac:dyDescent="0.25">
      <c r="A1672">
        <v>1671</v>
      </c>
      <c r="B1672" s="1">
        <v>42971</v>
      </c>
      <c r="C1672" s="1">
        <v>43136</v>
      </c>
      <c r="D1672" t="s">
        <v>20</v>
      </c>
      <c r="E1672" t="s">
        <v>24</v>
      </c>
      <c r="F1672" s="2">
        <v>231</v>
      </c>
      <c r="G1672" t="s">
        <v>12</v>
      </c>
      <c r="H1672" s="3">
        <v>67598.960000000006</v>
      </c>
      <c r="I1672" s="3">
        <v>1743709</v>
      </c>
      <c r="J1672" s="3">
        <v>1394967.2</v>
      </c>
      <c r="K1672" s="3">
        <v>281142.84000000003</v>
      </c>
      <c r="L1672" t="s">
        <v>15</v>
      </c>
      <c r="M1672">
        <v>4.8</v>
      </c>
    </row>
    <row r="1673" spans="1:13" x14ac:dyDescent="0.25">
      <c r="A1673">
        <v>1672</v>
      </c>
      <c r="B1673" s="1">
        <v>42972</v>
      </c>
      <c r="C1673" s="1">
        <v>43071</v>
      </c>
      <c r="D1673" t="s">
        <v>20</v>
      </c>
      <c r="E1673" t="s">
        <v>27</v>
      </c>
      <c r="F1673" s="2">
        <v>222</v>
      </c>
      <c r="G1673" t="s">
        <v>12</v>
      </c>
      <c r="H1673" s="3">
        <v>70743.56</v>
      </c>
      <c r="I1673" s="3">
        <v>1825699</v>
      </c>
      <c r="J1673" s="3">
        <v>1460559.2</v>
      </c>
      <c r="K1673" s="3">
        <v>294396.24000000005</v>
      </c>
      <c r="L1673" t="s">
        <v>16</v>
      </c>
      <c r="M1673">
        <v>4.8</v>
      </c>
    </row>
    <row r="1674" spans="1:13" x14ac:dyDescent="0.25">
      <c r="A1674">
        <v>1673</v>
      </c>
      <c r="B1674" s="1">
        <v>42973</v>
      </c>
      <c r="C1674" s="1">
        <v>43111</v>
      </c>
      <c r="D1674" t="s">
        <v>20</v>
      </c>
      <c r="E1674" t="s">
        <v>24</v>
      </c>
      <c r="F1674" s="2">
        <v>216</v>
      </c>
      <c r="G1674" t="s">
        <v>12</v>
      </c>
      <c r="H1674" s="3">
        <v>59679.4</v>
      </c>
      <c r="I1674" s="3">
        <v>1546195</v>
      </c>
      <c r="J1674" s="3">
        <v>1236956</v>
      </c>
      <c r="K1674" s="3">
        <v>249559.6</v>
      </c>
      <c r="L1674" t="s">
        <v>17</v>
      </c>
      <c r="M1674">
        <v>4.0999999999999996</v>
      </c>
    </row>
    <row r="1675" spans="1:13" x14ac:dyDescent="0.25">
      <c r="A1675">
        <v>1674</v>
      </c>
      <c r="B1675" s="1">
        <v>42973</v>
      </c>
      <c r="C1675" s="1">
        <v>43124</v>
      </c>
      <c r="D1675" t="s">
        <v>20</v>
      </c>
      <c r="E1675" t="s">
        <v>26</v>
      </c>
      <c r="F1675" s="2">
        <v>238</v>
      </c>
      <c r="G1675" t="s">
        <v>12</v>
      </c>
      <c r="H1675" s="3">
        <v>90508.84</v>
      </c>
      <c r="I1675" s="3">
        <v>2326531</v>
      </c>
      <c r="J1675" s="3">
        <v>1861224.8</v>
      </c>
      <c r="K1675" s="3">
        <v>374797.36</v>
      </c>
      <c r="L1675" t="s">
        <v>18</v>
      </c>
      <c r="M1675">
        <v>4.3</v>
      </c>
    </row>
    <row r="1676" spans="1:13" x14ac:dyDescent="0.25">
      <c r="A1676">
        <v>1675</v>
      </c>
      <c r="B1676" s="1">
        <v>42973</v>
      </c>
      <c r="C1676" s="1">
        <v>43199</v>
      </c>
      <c r="D1676" t="s">
        <v>21</v>
      </c>
      <c r="E1676" t="s">
        <v>28</v>
      </c>
      <c r="F1676" s="2">
        <v>212</v>
      </c>
      <c r="G1676" t="s">
        <v>12</v>
      </c>
      <c r="H1676" s="3">
        <v>81138.16</v>
      </c>
      <c r="I1676" s="3">
        <v>2081789</v>
      </c>
      <c r="J1676" s="3">
        <v>1665431.2</v>
      </c>
      <c r="K1676" s="3">
        <v>335219.64</v>
      </c>
      <c r="L1676" t="s">
        <v>17</v>
      </c>
      <c r="M1676">
        <v>4.3</v>
      </c>
    </row>
    <row r="1677" spans="1:13" x14ac:dyDescent="0.25">
      <c r="A1677">
        <v>1676</v>
      </c>
      <c r="B1677" s="1">
        <v>42974</v>
      </c>
      <c r="C1677" s="1">
        <v>43266</v>
      </c>
      <c r="D1677" t="s">
        <v>20</v>
      </c>
      <c r="E1677" t="s">
        <v>27</v>
      </c>
      <c r="F1677" s="2">
        <v>232</v>
      </c>
      <c r="G1677" t="s">
        <v>12</v>
      </c>
      <c r="H1677" s="3">
        <v>86572.12</v>
      </c>
      <c r="I1677" s="3">
        <v>2217838</v>
      </c>
      <c r="J1677" s="3">
        <v>1774270.4</v>
      </c>
      <c r="K1677" s="3">
        <v>356995.4800000001</v>
      </c>
      <c r="L1677" t="s">
        <v>18</v>
      </c>
      <c r="M1677">
        <v>3.8</v>
      </c>
    </row>
    <row r="1678" spans="1:13" x14ac:dyDescent="0.25">
      <c r="A1678">
        <v>1677</v>
      </c>
      <c r="B1678" s="1">
        <v>42974</v>
      </c>
      <c r="C1678" s="1">
        <v>43108</v>
      </c>
      <c r="D1678" t="s">
        <v>21</v>
      </c>
      <c r="E1678" t="s">
        <v>25</v>
      </c>
      <c r="F1678" s="2">
        <v>295</v>
      </c>
      <c r="G1678" t="s">
        <v>12</v>
      </c>
      <c r="H1678" s="3">
        <v>104099</v>
      </c>
      <c r="I1678" s="3">
        <v>2662085</v>
      </c>
      <c r="J1678" s="3">
        <v>2129668</v>
      </c>
      <c r="K1678" s="3">
        <v>428318</v>
      </c>
      <c r="L1678" t="s">
        <v>18</v>
      </c>
      <c r="M1678">
        <v>4.9000000000000004</v>
      </c>
    </row>
    <row r="1679" spans="1:13" x14ac:dyDescent="0.25">
      <c r="A1679">
        <v>1678</v>
      </c>
      <c r="B1679" s="1">
        <v>42974</v>
      </c>
      <c r="C1679" s="1">
        <v>43142</v>
      </c>
      <c r="D1679" t="s">
        <v>22</v>
      </c>
      <c r="E1679" t="s">
        <v>13</v>
      </c>
      <c r="F1679" s="2">
        <v>42</v>
      </c>
      <c r="G1679" t="s">
        <v>11</v>
      </c>
      <c r="H1679" s="3">
        <v>18323.560000000001</v>
      </c>
      <c r="I1679" s="3">
        <v>511349</v>
      </c>
      <c r="J1679" s="3">
        <v>409079.2</v>
      </c>
      <c r="K1679" s="3">
        <v>83946.239999999991</v>
      </c>
      <c r="L1679" t="s">
        <v>19</v>
      </c>
      <c r="M1679">
        <v>4.5</v>
      </c>
    </row>
    <row r="1680" spans="1:13" x14ac:dyDescent="0.25">
      <c r="A1680">
        <v>1679</v>
      </c>
      <c r="B1680" s="1">
        <v>42974</v>
      </c>
      <c r="C1680" s="1">
        <v>43197</v>
      </c>
      <c r="D1680" t="s">
        <v>21</v>
      </c>
      <c r="E1680" t="s">
        <v>29</v>
      </c>
      <c r="F1680" s="2">
        <v>85</v>
      </c>
      <c r="G1680" t="s">
        <v>11</v>
      </c>
      <c r="H1680" s="3">
        <v>25752.799999999999</v>
      </c>
      <c r="I1680" s="3">
        <v>700330</v>
      </c>
      <c r="J1680" s="3">
        <v>560264</v>
      </c>
      <c r="K1680" s="3">
        <v>114313.2</v>
      </c>
      <c r="L1680" t="s">
        <v>18</v>
      </c>
      <c r="M1680">
        <v>4.0999999999999996</v>
      </c>
    </row>
    <row r="1681" spans="1:13" x14ac:dyDescent="0.25">
      <c r="A1681">
        <v>1680</v>
      </c>
      <c r="B1681" s="1">
        <v>42974</v>
      </c>
      <c r="C1681" s="1">
        <v>43191</v>
      </c>
      <c r="D1681" t="s">
        <v>23</v>
      </c>
      <c r="E1681" t="s">
        <v>13</v>
      </c>
      <c r="F1681" s="2">
        <v>67</v>
      </c>
      <c r="G1681" t="s">
        <v>11</v>
      </c>
      <c r="H1681" s="3">
        <v>23814.6</v>
      </c>
      <c r="I1681" s="3">
        <v>651925</v>
      </c>
      <c r="J1681" s="3">
        <v>521540</v>
      </c>
      <c r="K1681" s="3">
        <v>106570.4</v>
      </c>
      <c r="L1681" t="s">
        <v>17</v>
      </c>
      <c r="M1681">
        <v>3.8</v>
      </c>
    </row>
    <row r="1682" spans="1:13" x14ac:dyDescent="0.25">
      <c r="A1682">
        <v>1681</v>
      </c>
      <c r="B1682" s="1">
        <v>42975</v>
      </c>
      <c r="C1682" s="1">
        <v>43283</v>
      </c>
      <c r="D1682" t="s">
        <v>20</v>
      </c>
      <c r="E1682" t="s">
        <v>27</v>
      </c>
      <c r="F1682" s="2">
        <v>278</v>
      </c>
      <c r="G1682" t="s">
        <v>12</v>
      </c>
      <c r="H1682" s="3">
        <v>57572.68</v>
      </c>
      <c r="I1682" s="3">
        <v>1495677</v>
      </c>
      <c r="J1682" s="3">
        <v>1196541.6000000001</v>
      </c>
      <c r="K1682" s="3">
        <v>241562.71999999991</v>
      </c>
      <c r="L1682" t="s">
        <v>18</v>
      </c>
      <c r="M1682">
        <v>4.9000000000000004</v>
      </c>
    </row>
    <row r="1683" spans="1:13" x14ac:dyDescent="0.25">
      <c r="A1683">
        <v>1682</v>
      </c>
      <c r="B1683" s="1">
        <v>42975</v>
      </c>
      <c r="C1683" s="1">
        <v>43316</v>
      </c>
      <c r="D1683" t="s">
        <v>20</v>
      </c>
      <c r="E1683" t="s">
        <v>24</v>
      </c>
      <c r="F1683" s="2">
        <v>260</v>
      </c>
      <c r="G1683" t="s">
        <v>12</v>
      </c>
      <c r="H1683" s="3">
        <v>56452.800000000003</v>
      </c>
      <c r="I1683" s="3">
        <v>1477555</v>
      </c>
      <c r="J1683" s="3">
        <v>1182044</v>
      </c>
      <c r="K1683" s="3">
        <v>239058.2</v>
      </c>
      <c r="L1683" t="s">
        <v>17</v>
      </c>
      <c r="M1683">
        <v>4.3</v>
      </c>
    </row>
    <row r="1684" spans="1:13" x14ac:dyDescent="0.25">
      <c r="A1684">
        <v>1683</v>
      </c>
      <c r="B1684" s="1">
        <v>42975</v>
      </c>
      <c r="C1684" s="1">
        <v>43067</v>
      </c>
      <c r="D1684" t="s">
        <v>20</v>
      </c>
      <c r="E1684" t="s">
        <v>24</v>
      </c>
      <c r="F1684" s="2">
        <v>98</v>
      </c>
      <c r="G1684" t="s">
        <v>11</v>
      </c>
      <c r="H1684" s="3">
        <v>21485.919999999998</v>
      </c>
      <c r="I1684" s="3">
        <v>589258</v>
      </c>
      <c r="J1684" s="3">
        <v>471406.4</v>
      </c>
      <c r="K1684" s="3">
        <v>96365.679999999978</v>
      </c>
      <c r="L1684" t="s">
        <v>19</v>
      </c>
      <c r="M1684">
        <v>5</v>
      </c>
    </row>
    <row r="1685" spans="1:13" x14ac:dyDescent="0.25">
      <c r="A1685">
        <v>1684</v>
      </c>
      <c r="B1685" s="1">
        <v>42975</v>
      </c>
      <c r="C1685" s="1">
        <v>43134</v>
      </c>
      <c r="D1685" t="s">
        <v>22</v>
      </c>
      <c r="E1685" t="s">
        <v>27</v>
      </c>
      <c r="F1685" s="2">
        <v>221</v>
      </c>
      <c r="G1685" t="s">
        <v>12</v>
      </c>
      <c r="H1685" s="3">
        <v>76562.92</v>
      </c>
      <c r="I1685" s="3">
        <v>1968933</v>
      </c>
      <c r="J1685" s="3">
        <v>1575146.4</v>
      </c>
      <c r="K1685" s="3">
        <v>317223.68000000011</v>
      </c>
      <c r="L1685" t="s">
        <v>14</v>
      </c>
      <c r="M1685">
        <v>4.0999999999999996</v>
      </c>
    </row>
    <row r="1686" spans="1:13" x14ac:dyDescent="0.25">
      <c r="A1686">
        <v>1685</v>
      </c>
      <c r="B1686" s="1">
        <v>42975</v>
      </c>
      <c r="C1686" s="1">
        <v>43308</v>
      </c>
      <c r="D1686" t="s">
        <v>21</v>
      </c>
      <c r="E1686" t="s">
        <v>29</v>
      </c>
      <c r="F1686" s="2">
        <v>251</v>
      </c>
      <c r="G1686" t="s">
        <v>12</v>
      </c>
      <c r="H1686" s="3">
        <v>46993.4</v>
      </c>
      <c r="I1686" s="3">
        <v>1227745</v>
      </c>
      <c r="J1686" s="3">
        <v>982196</v>
      </c>
      <c r="K1686" s="3">
        <v>198555.6</v>
      </c>
      <c r="L1686" t="s">
        <v>15</v>
      </c>
      <c r="M1686">
        <v>4.2</v>
      </c>
    </row>
    <row r="1687" spans="1:13" x14ac:dyDescent="0.25">
      <c r="A1687">
        <v>1686</v>
      </c>
      <c r="B1687" s="1">
        <v>42975</v>
      </c>
      <c r="C1687" s="1">
        <v>43296</v>
      </c>
      <c r="D1687" t="s">
        <v>21</v>
      </c>
      <c r="E1687" t="s">
        <v>13</v>
      </c>
      <c r="F1687" s="2">
        <v>92</v>
      </c>
      <c r="G1687" t="s">
        <v>12</v>
      </c>
      <c r="H1687" s="3">
        <v>29645.599999999999</v>
      </c>
      <c r="I1687" s="3">
        <v>802300</v>
      </c>
      <c r="J1687" s="3">
        <v>641840</v>
      </c>
      <c r="K1687" s="3">
        <v>130814.39999999999</v>
      </c>
      <c r="L1687" t="s">
        <v>18</v>
      </c>
      <c r="M1687">
        <v>3.7</v>
      </c>
    </row>
    <row r="1688" spans="1:13" x14ac:dyDescent="0.25">
      <c r="A1688">
        <v>1687</v>
      </c>
      <c r="B1688" s="1">
        <v>42976</v>
      </c>
      <c r="C1688" s="1">
        <v>43212</v>
      </c>
      <c r="D1688" t="s">
        <v>21</v>
      </c>
      <c r="E1688" t="s">
        <v>26</v>
      </c>
      <c r="F1688" s="2">
        <v>77</v>
      </c>
      <c r="G1688" t="s">
        <v>11</v>
      </c>
      <c r="H1688" s="3">
        <v>27436.16</v>
      </c>
      <c r="I1688" s="3">
        <v>737339</v>
      </c>
      <c r="J1688" s="3">
        <v>589871.19999999995</v>
      </c>
      <c r="K1688" s="3">
        <v>120031.64000000004</v>
      </c>
      <c r="L1688" t="s">
        <v>18</v>
      </c>
      <c r="M1688">
        <v>4.8</v>
      </c>
    </row>
    <row r="1689" spans="1:13" x14ac:dyDescent="0.25">
      <c r="A1689">
        <v>1688</v>
      </c>
      <c r="B1689" s="1">
        <v>42976</v>
      </c>
      <c r="C1689" s="1">
        <v>43243</v>
      </c>
      <c r="D1689" t="s">
        <v>23</v>
      </c>
      <c r="E1689" t="s">
        <v>13</v>
      </c>
      <c r="F1689" s="2">
        <v>249</v>
      </c>
      <c r="G1689" t="s">
        <v>12</v>
      </c>
      <c r="H1689" s="3">
        <v>75862.64</v>
      </c>
      <c r="I1689" s="3">
        <v>1960001</v>
      </c>
      <c r="J1689" s="3">
        <v>1568000.8</v>
      </c>
      <c r="K1689" s="3">
        <v>316137.55999999994</v>
      </c>
      <c r="L1689" t="s">
        <v>15</v>
      </c>
      <c r="M1689">
        <v>4</v>
      </c>
    </row>
    <row r="1690" spans="1:13" x14ac:dyDescent="0.25">
      <c r="A1690">
        <v>1689</v>
      </c>
      <c r="B1690" s="1">
        <v>42976</v>
      </c>
      <c r="C1690" s="1">
        <v>43316</v>
      </c>
      <c r="D1690" t="s">
        <v>21</v>
      </c>
      <c r="E1690" t="s">
        <v>25</v>
      </c>
      <c r="F1690" s="2">
        <v>105</v>
      </c>
      <c r="G1690" t="s">
        <v>11</v>
      </c>
      <c r="H1690" s="3">
        <v>22096.2</v>
      </c>
      <c r="I1690" s="3">
        <v>618065</v>
      </c>
      <c r="J1690" s="3">
        <v>494452</v>
      </c>
      <c r="K1690" s="3">
        <v>101516.8</v>
      </c>
      <c r="L1690" t="s">
        <v>14</v>
      </c>
      <c r="M1690">
        <v>4.5</v>
      </c>
    </row>
    <row r="1691" spans="1:13" x14ac:dyDescent="0.25">
      <c r="A1691">
        <v>1690</v>
      </c>
      <c r="B1691" s="1">
        <v>42977</v>
      </c>
      <c r="C1691" s="1">
        <v>43263</v>
      </c>
      <c r="D1691" t="s">
        <v>21</v>
      </c>
      <c r="E1691" t="s">
        <v>29</v>
      </c>
      <c r="F1691" s="2">
        <v>139</v>
      </c>
      <c r="G1691" t="s">
        <v>11</v>
      </c>
      <c r="H1691" s="3">
        <v>26089.360000000001</v>
      </c>
      <c r="I1691" s="3">
        <v>718369</v>
      </c>
      <c r="J1691" s="3">
        <v>574695.19999999995</v>
      </c>
      <c r="K1691" s="3">
        <v>117584.44000000005</v>
      </c>
      <c r="L1691" t="s">
        <v>14</v>
      </c>
      <c r="M1691">
        <v>4.7</v>
      </c>
    </row>
    <row r="1692" spans="1:13" x14ac:dyDescent="0.25">
      <c r="A1692">
        <v>1691</v>
      </c>
      <c r="B1692" s="1">
        <v>42977</v>
      </c>
      <c r="C1692" s="1">
        <v>43110</v>
      </c>
      <c r="D1692" t="s">
        <v>20</v>
      </c>
      <c r="E1692" t="s">
        <v>26</v>
      </c>
      <c r="F1692" s="2">
        <v>136</v>
      </c>
      <c r="G1692" t="s">
        <v>12</v>
      </c>
      <c r="H1692" s="3">
        <v>30208.12</v>
      </c>
      <c r="I1692" s="3">
        <v>822113</v>
      </c>
      <c r="J1692" s="3">
        <v>657690.4</v>
      </c>
      <c r="K1692" s="3">
        <v>134214.47999999998</v>
      </c>
      <c r="L1692" t="s">
        <v>17</v>
      </c>
      <c r="M1692">
        <v>4.4000000000000004</v>
      </c>
    </row>
    <row r="1693" spans="1:13" x14ac:dyDescent="0.25">
      <c r="A1693">
        <v>1692</v>
      </c>
      <c r="B1693" s="1">
        <v>42977</v>
      </c>
      <c r="C1693" s="1">
        <v>43173</v>
      </c>
      <c r="D1693" t="s">
        <v>23</v>
      </c>
      <c r="E1693" t="s">
        <v>24</v>
      </c>
      <c r="F1693" s="2">
        <v>71</v>
      </c>
      <c r="G1693" t="s">
        <v>11</v>
      </c>
      <c r="H1693" s="3">
        <v>14487</v>
      </c>
      <c r="I1693" s="3">
        <v>428435</v>
      </c>
      <c r="J1693" s="3">
        <v>342748</v>
      </c>
      <c r="K1693" s="3">
        <v>71200</v>
      </c>
      <c r="L1693" t="s">
        <v>17</v>
      </c>
      <c r="M1693">
        <v>3.7</v>
      </c>
    </row>
    <row r="1694" spans="1:13" x14ac:dyDescent="0.25">
      <c r="A1694">
        <v>1693</v>
      </c>
      <c r="B1694" s="1">
        <v>42977</v>
      </c>
      <c r="C1694" s="1">
        <v>43109</v>
      </c>
      <c r="D1694" t="s">
        <v>21</v>
      </c>
      <c r="E1694" t="s">
        <v>25</v>
      </c>
      <c r="F1694" s="2">
        <v>230</v>
      </c>
      <c r="G1694" t="s">
        <v>12</v>
      </c>
      <c r="H1694" s="3">
        <v>86089.08</v>
      </c>
      <c r="I1694" s="3">
        <v>2207812</v>
      </c>
      <c r="J1694" s="3">
        <v>1766249.6</v>
      </c>
      <c r="K1694" s="3">
        <v>355473.31999999989</v>
      </c>
      <c r="L1694" t="s">
        <v>17</v>
      </c>
      <c r="M1694">
        <v>4.7</v>
      </c>
    </row>
    <row r="1695" spans="1:13" x14ac:dyDescent="0.25">
      <c r="A1695">
        <v>1694</v>
      </c>
      <c r="B1695" s="1">
        <v>42978</v>
      </c>
      <c r="C1695" s="1">
        <v>43234</v>
      </c>
      <c r="D1695" t="s">
        <v>20</v>
      </c>
      <c r="E1695" t="s">
        <v>28</v>
      </c>
      <c r="F1695" s="2">
        <v>270</v>
      </c>
      <c r="G1695" t="s">
        <v>12</v>
      </c>
      <c r="H1695" s="3">
        <v>72075</v>
      </c>
      <c r="I1695" s="3">
        <v>1863310</v>
      </c>
      <c r="J1695" s="3">
        <v>1490648</v>
      </c>
      <c r="K1695" s="3">
        <v>300587</v>
      </c>
      <c r="L1695" t="s">
        <v>17</v>
      </c>
      <c r="M1695">
        <v>3.6</v>
      </c>
    </row>
    <row r="1696" spans="1:13" x14ac:dyDescent="0.25">
      <c r="A1696">
        <v>1695</v>
      </c>
      <c r="B1696" s="1">
        <v>42978</v>
      </c>
      <c r="C1696" s="1">
        <v>43159</v>
      </c>
      <c r="D1696" t="s">
        <v>20</v>
      </c>
      <c r="E1696" t="s">
        <v>13</v>
      </c>
      <c r="F1696" s="2">
        <v>242</v>
      </c>
      <c r="G1696" t="s">
        <v>12</v>
      </c>
      <c r="H1696" s="3">
        <v>48705.919999999998</v>
      </c>
      <c r="I1696" s="3">
        <v>1270533</v>
      </c>
      <c r="J1696" s="3">
        <v>1016426.4</v>
      </c>
      <c r="K1696" s="3">
        <v>205400.68</v>
      </c>
      <c r="L1696" t="s">
        <v>17</v>
      </c>
      <c r="M1696">
        <v>4.2</v>
      </c>
    </row>
    <row r="1697" spans="1:13" x14ac:dyDescent="0.25">
      <c r="A1697">
        <v>1696</v>
      </c>
      <c r="B1697" s="1">
        <v>42978</v>
      </c>
      <c r="C1697" s="1">
        <v>43341</v>
      </c>
      <c r="D1697" t="s">
        <v>21</v>
      </c>
      <c r="E1697" t="s">
        <v>24</v>
      </c>
      <c r="F1697" s="2">
        <v>154</v>
      </c>
      <c r="G1697" t="s">
        <v>12</v>
      </c>
      <c r="H1697" s="3">
        <v>58034.28</v>
      </c>
      <c r="I1697" s="3">
        <v>1510467</v>
      </c>
      <c r="J1697" s="3">
        <v>1208373.6000000001</v>
      </c>
      <c r="K1697" s="3">
        <v>244059.11999999991</v>
      </c>
      <c r="L1697" t="s">
        <v>14</v>
      </c>
      <c r="M1697">
        <v>4.8</v>
      </c>
    </row>
    <row r="1698" spans="1:13" x14ac:dyDescent="0.25">
      <c r="A1698">
        <v>1697</v>
      </c>
      <c r="B1698" s="1">
        <v>42979</v>
      </c>
      <c r="C1698" s="1">
        <v>43284</v>
      </c>
      <c r="D1698" t="s">
        <v>20</v>
      </c>
      <c r="E1698" t="s">
        <v>26</v>
      </c>
      <c r="F1698" s="2">
        <v>110</v>
      </c>
      <c r="G1698" t="s">
        <v>12</v>
      </c>
      <c r="H1698" s="3">
        <v>45094.48</v>
      </c>
      <c r="I1698" s="3">
        <v>1179897</v>
      </c>
      <c r="J1698" s="3">
        <v>943917.6</v>
      </c>
      <c r="K1698" s="3">
        <v>190884.92</v>
      </c>
      <c r="L1698" t="s">
        <v>18</v>
      </c>
      <c r="M1698">
        <v>4.2</v>
      </c>
    </row>
    <row r="1699" spans="1:13" x14ac:dyDescent="0.25">
      <c r="A1699">
        <v>1698</v>
      </c>
      <c r="B1699" s="1">
        <v>42980</v>
      </c>
      <c r="C1699" s="1">
        <v>43196</v>
      </c>
      <c r="D1699" t="s">
        <v>20</v>
      </c>
      <c r="E1699" t="s">
        <v>13</v>
      </c>
      <c r="F1699" s="2">
        <v>209</v>
      </c>
      <c r="G1699" t="s">
        <v>12</v>
      </c>
      <c r="H1699" s="3">
        <v>52211.72</v>
      </c>
      <c r="I1699" s="3">
        <v>1370078</v>
      </c>
      <c r="J1699" s="3">
        <v>1096062.3999999999</v>
      </c>
      <c r="K1699" s="3">
        <v>221803.88000000009</v>
      </c>
      <c r="L1699" t="s">
        <v>17</v>
      </c>
      <c r="M1699">
        <v>3.6</v>
      </c>
    </row>
    <row r="1700" spans="1:13" x14ac:dyDescent="0.25">
      <c r="A1700">
        <v>1699</v>
      </c>
      <c r="B1700" s="1">
        <v>42981</v>
      </c>
      <c r="C1700" s="1">
        <v>43126</v>
      </c>
      <c r="D1700" t="s">
        <v>23</v>
      </c>
      <c r="E1700" t="s">
        <v>28</v>
      </c>
      <c r="F1700" s="2">
        <v>198</v>
      </c>
      <c r="G1700" t="s">
        <v>12</v>
      </c>
      <c r="H1700" s="3">
        <v>61696.2</v>
      </c>
      <c r="I1700" s="3">
        <v>1594915</v>
      </c>
      <c r="J1700" s="3">
        <v>1275932</v>
      </c>
      <c r="K1700" s="3">
        <v>257286.8</v>
      </c>
      <c r="L1700" t="s">
        <v>17</v>
      </c>
      <c r="M1700">
        <v>4.5</v>
      </c>
    </row>
    <row r="1701" spans="1:13" x14ac:dyDescent="0.25">
      <c r="A1701">
        <v>1700</v>
      </c>
      <c r="B1701" s="1">
        <v>42981</v>
      </c>
      <c r="C1701" s="1">
        <v>43177</v>
      </c>
      <c r="D1701" t="s">
        <v>23</v>
      </c>
      <c r="E1701" t="s">
        <v>26</v>
      </c>
      <c r="F1701" s="2">
        <v>159</v>
      </c>
      <c r="G1701" t="s">
        <v>12</v>
      </c>
      <c r="H1701" s="3">
        <v>45038.12</v>
      </c>
      <c r="I1701" s="3">
        <v>1186613</v>
      </c>
      <c r="J1701" s="3">
        <v>949290.4</v>
      </c>
      <c r="K1701" s="3">
        <v>192284.47999999998</v>
      </c>
      <c r="L1701" t="s">
        <v>16</v>
      </c>
      <c r="M1701">
        <v>4.9000000000000004</v>
      </c>
    </row>
    <row r="1702" spans="1:13" x14ac:dyDescent="0.25">
      <c r="A1702">
        <v>1701</v>
      </c>
      <c r="B1702" s="1">
        <v>42981</v>
      </c>
      <c r="C1702" s="1">
        <v>43227</v>
      </c>
      <c r="D1702" t="s">
        <v>21</v>
      </c>
      <c r="E1702" t="s">
        <v>24</v>
      </c>
      <c r="F1702" s="2">
        <v>242</v>
      </c>
      <c r="G1702" t="s">
        <v>12</v>
      </c>
      <c r="H1702" s="3">
        <v>59908.4</v>
      </c>
      <c r="I1702" s="3">
        <v>1553770</v>
      </c>
      <c r="J1702" s="3">
        <v>1243016</v>
      </c>
      <c r="K1702" s="3">
        <v>250845.6</v>
      </c>
      <c r="L1702" t="s">
        <v>19</v>
      </c>
      <c r="M1702">
        <v>5</v>
      </c>
    </row>
    <row r="1703" spans="1:13" x14ac:dyDescent="0.25">
      <c r="A1703">
        <v>1702</v>
      </c>
      <c r="B1703" s="1">
        <v>42982</v>
      </c>
      <c r="C1703" s="1">
        <v>43247</v>
      </c>
      <c r="D1703" t="s">
        <v>21</v>
      </c>
      <c r="E1703" t="s">
        <v>27</v>
      </c>
      <c r="F1703" s="2">
        <v>191</v>
      </c>
      <c r="G1703" t="s">
        <v>12</v>
      </c>
      <c r="H1703" s="3">
        <v>32644.48</v>
      </c>
      <c r="I1703" s="3">
        <v>876797</v>
      </c>
      <c r="J1703" s="3">
        <v>701437.6</v>
      </c>
      <c r="K1703" s="3">
        <v>142714.92000000001</v>
      </c>
      <c r="L1703" t="s">
        <v>15</v>
      </c>
      <c r="M1703">
        <v>3.6</v>
      </c>
    </row>
    <row r="1704" spans="1:13" x14ac:dyDescent="0.25">
      <c r="A1704">
        <v>1703</v>
      </c>
      <c r="B1704" s="1">
        <v>42984</v>
      </c>
      <c r="C1704" s="1">
        <v>43340</v>
      </c>
      <c r="D1704" t="s">
        <v>20</v>
      </c>
      <c r="E1704" t="s">
        <v>24</v>
      </c>
      <c r="F1704" s="2">
        <v>283</v>
      </c>
      <c r="G1704" t="s">
        <v>12</v>
      </c>
      <c r="H1704" s="3">
        <v>85754.8</v>
      </c>
      <c r="I1704" s="3">
        <v>2208005</v>
      </c>
      <c r="J1704" s="3">
        <v>1766404</v>
      </c>
      <c r="K1704" s="3">
        <v>355846.2</v>
      </c>
      <c r="L1704" t="s">
        <v>14</v>
      </c>
      <c r="M1704">
        <v>4.9000000000000004</v>
      </c>
    </row>
    <row r="1705" spans="1:13" x14ac:dyDescent="0.25">
      <c r="A1705">
        <v>1704</v>
      </c>
      <c r="B1705" s="1">
        <v>42984</v>
      </c>
      <c r="C1705" s="1">
        <v>43225</v>
      </c>
      <c r="D1705" t="s">
        <v>21</v>
      </c>
      <c r="E1705" t="s">
        <v>24</v>
      </c>
      <c r="F1705" s="2">
        <v>154</v>
      </c>
      <c r="G1705" t="s">
        <v>12</v>
      </c>
      <c r="H1705" s="3">
        <v>32058.28</v>
      </c>
      <c r="I1705" s="3">
        <v>863542</v>
      </c>
      <c r="J1705" s="3">
        <v>690833.6</v>
      </c>
      <c r="K1705" s="3">
        <v>140650.12000000002</v>
      </c>
      <c r="L1705" t="s">
        <v>18</v>
      </c>
      <c r="M1705">
        <v>4.8</v>
      </c>
    </row>
    <row r="1706" spans="1:13" x14ac:dyDescent="0.25">
      <c r="A1706">
        <v>1705</v>
      </c>
      <c r="B1706" s="1">
        <v>42984</v>
      </c>
      <c r="C1706" s="1">
        <v>43083</v>
      </c>
      <c r="D1706" t="s">
        <v>20</v>
      </c>
      <c r="E1706" t="s">
        <v>25</v>
      </c>
      <c r="F1706" s="2">
        <v>164</v>
      </c>
      <c r="G1706" t="s">
        <v>12</v>
      </c>
      <c r="H1706" s="3">
        <v>56024.800000000003</v>
      </c>
      <c r="I1706" s="3">
        <v>1465505</v>
      </c>
      <c r="J1706" s="3">
        <v>1172404</v>
      </c>
      <c r="K1706" s="3">
        <v>237076.2</v>
      </c>
      <c r="L1706" t="s">
        <v>15</v>
      </c>
      <c r="M1706">
        <v>4.5</v>
      </c>
    </row>
    <row r="1707" spans="1:13" x14ac:dyDescent="0.25">
      <c r="A1707">
        <v>1706</v>
      </c>
      <c r="B1707" s="1">
        <v>42984</v>
      </c>
      <c r="C1707" s="1">
        <v>43136</v>
      </c>
      <c r="D1707" t="s">
        <v>20</v>
      </c>
      <c r="E1707" t="s">
        <v>27</v>
      </c>
      <c r="F1707" s="2">
        <v>255</v>
      </c>
      <c r="G1707" t="s">
        <v>12</v>
      </c>
      <c r="H1707" s="3">
        <v>80219.16</v>
      </c>
      <c r="I1707" s="3">
        <v>2062889</v>
      </c>
      <c r="J1707" s="3">
        <v>1650311.2</v>
      </c>
      <c r="K1707" s="3">
        <v>332358.64</v>
      </c>
      <c r="L1707" t="s">
        <v>14</v>
      </c>
      <c r="M1707">
        <v>4.0999999999999996</v>
      </c>
    </row>
    <row r="1708" spans="1:13" x14ac:dyDescent="0.25">
      <c r="A1708">
        <v>1707</v>
      </c>
      <c r="B1708" s="1">
        <v>42985</v>
      </c>
      <c r="C1708" s="1">
        <v>43347</v>
      </c>
      <c r="D1708" t="s">
        <v>20</v>
      </c>
      <c r="E1708" t="s">
        <v>29</v>
      </c>
      <c r="F1708" s="2">
        <v>95</v>
      </c>
      <c r="G1708" t="s">
        <v>12</v>
      </c>
      <c r="H1708" s="3">
        <v>36426.639999999999</v>
      </c>
      <c r="I1708" s="3">
        <v>975401</v>
      </c>
      <c r="J1708" s="3">
        <v>780320.8</v>
      </c>
      <c r="K1708" s="3">
        <v>158653.55999999994</v>
      </c>
      <c r="L1708" t="s">
        <v>15</v>
      </c>
      <c r="M1708">
        <v>3.7</v>
      </c>
    </row>
    <row r="1709" spans="1:13" x14ac:dyDescent="0.25">
      <c r="A1709">
        <v>1708</v>
      </c>
      <c r="B1709" s="1">
        <v>42985</v>
      </c>
      <c r="C1709" s="1">
        <v>43234</v>
      </c>
      <c r="D1709" t="s">
        <v>22</v>
      </c>
      <c r="E1709" t="s">
        <v>29</v>
      </c>
      <c r="F1709" s="2">
        <v>199</v>
      </c>
      <c r="G1709" t="s">
        <v>12</v>
      </c>
      <c r="H1709" s="3">
        <v>69398.2</v>
      </c>
      <c r="I1709" s="3">
        <v>1798665</v>
      </c>
      <c r="J1709" s="3">
        <v>1438932</v>
      </c>
      <c r="K1709" s="3">
        <v>290334.8</v>
      </c>
      <c r="L1709" t="s">
        <v>17</v>
      </c>
      <c r="M1709">
        <v>3.9</v>
      </c>
    </row>
    <row r="1710" spans="1:13" x14ac:dyDescent="0.25">
      <c r="A1710">
        <v>1709</v>
      </c>
      <c r="B1710" s="1">
        <v>42985</v>
      </c>
      <c r="C1710" s="1">
        <v>43130</v>
      </c>
      <c r="D1710" t="s">
        <v>23</v>
      </c>
      <c r="E1710" t="s">
        <v>25</v>
      </c>
      <c r="F1710" s="2">
        <v>168</v>
      </c>
      <c r="G1710" t="s">
        <v>12</v>
      </c>
      <c r="H1710" s="3">
        <v>32981.32</v>
      </c>
      <c r="I1710" s="3">
        <v>879168</v>
      </c>
      <c r="J1710" s="3">
        <v>703334.40000000002</v>
      </c>
      <c r="K1710" s="3">
        <v>142852.27999999997</v>
      </c>
      <c r="L1710" t="s">
        <v>16</v>
      </c>
      <c r="M1710">
        <v>4.5999999999999996</v>
      </c>
    </row>
    <row r="1711" spans="1:13" x14ac:dyDescent="0.25">
      <c r="A1711">
        <v>1710</v>
      </c>
      <c r="B1711" s="1">
        <v>42985</v>
      </c>
      <c r="C1711" s="1">
        <v>43326</v>
      </c>
      <c r="D1711" t="s">
        <v>20</v>
      </c>
      <c r="E1711" t="s">
        <v>26</v>
      </c>
      <c r="F1711" s="2">
        <v>267</v>
      </c>
      <c r="G1711" t="s">
        <v>12</v>
      </c>
      <c r="H1711" s="3">
        <v>82313</v>
      </c>
      <c r="I1711" s="3">
        <v>2110485</v>
      </c>
      <c r="J1711" s="3">
        <v>1688388</v>
      </c>
      <c r="K1711" s="3">
        <v>339784</v>
      </c>
      <c r="L1711" t="s">
        <v>16</v>
      </c>
      <c r="M1711">
        <v>4.5</v>
      </c>
    </row>
    <row r="1712" spans="1:13" x14ac:dyDescent="0.25">
      <c r="A1712">
        <v>1711</v>
      </c>
      <c r="B1712" s="1">
        <v>42986</v>
      </c>
      <c r="C1712" s="1">
        <v>43117</v>
      </c>
      <c r="D1712" t="s">
        <v>20</v>
      </c>
      <c r="E1712" t="s">
        <v>27</v>
      </c>
      <c r="F1712" s="2">
        <v>292</v>
      </c>
      <c r="G1712" t="s">
        <v>12</v>
      </c>
      <c r="H1712" s="3">
        <v>56211.44</v>
      </c>
      <c r="I1712" s="3">
        <v>1460921</v>
      </c>
      <c r="J1712" s="3">
        <v>1168736.8</v>
      </c>
      <c r="K1712" s="3">
        <v>235972.75999999995</v>
      </c>
      <c r="L1712" t="s">
        <v>14</v>
      </c>
      <c r="M1712">
        <v>5</v>
      </c>
    </row>
    <row r="1713" spans="1:13" x14ac:dyDescent="0.25">
      <c r="A1713">
        <v>1712</v>
      </c>
      <c r="B1713" s="1">
        <v>42986</v>
      </c>
      <c r="C1713" s="1">
        <v>43292</v>
      </c>
      <c r="D1713" t="s">
        <v>23</v>
      </c>
      <c r="E1713" t="s">
        <v>24</v>
      </c>
      <c r="F1713" s="2">
        <v>109</v>
      </c>
      <c r="G1713" t="s">
        <v>12</v>
      </c>
      <c r="H1713" s="3">
        <v>35503.199999999997</v>
      </c>
      <c r="I1713" s="3">
        <v>944065</v>
      </c>
      <c r="J1713" s="3">
        <v>755252</v>
      </c>
      <c r="K1713" s="3">
        <v>153309.79999999999</v>
      </c>
      <c r="L1713" t="s">
        <v>14</v>
      </c>
      <c r="M1713">
        <v>3.7</v>
      </c>
    </row>
    <row r="1714" spans="1:13" x14ac:dyDescent="0.25">
      <c r="A1714">
        <v>1713</v>
      </c>
      <c r="B1714" s="1">
        <v>42987</v>
      </c>
      <c r="C1714" s="1">
        <v>43148</v>
      </c>
      <c r="D1714" t="s">
        <v>23</v>
      </c>
      <c r="E1714" t="s">
        <v>28</v>
      </c>
      <c r="F1714" s="2">
        <v>197</v>
      </c>
      <c r="G1714" t="s">
        <v>12</v>
      </c>
      <c r="H1714" s="3">
        <v>52330.36</v>
      </c>
      <c r="I1714" s="3">
        <v>1369919</v>
      </c>
      <c r="J1714" s="3">
        <v>1095935.2</v>
      </c>
      <c r="K1714" s="3">
        <v>221653.44000000006</v>
      </c>
      <c r="L1714" t="s">
        <v>18</v>
      </c>
      <c r="M1714">
        <v>4.3</v>
      </c>
    </row>
    <row r="1715" spans="1:13" x14ac:dyDescent="0.25">
      <c r="A1715">
        <v>1714</v>
      </c>
      <c r="B1715" s="1">
        <v>42987</v>
      </c>
      <c r="C1715" s="1">
        <v>43346</v>
      </c>
      <c r="D1715" t="s">
        <v>20</v>
      </c>
      <c r="E1715" t="s">
        <v>25</v>
      </c>
      <c r="F1715" s="2">
        <v>125</v>
      </c>
      <c r="G1715" t="s">
        <v>11</v>
      </c>
      <c r="H1715" s="3">
        <v>23482.080000000002</v>
      </c>
      <c r="I1715" s="3">
        <v>654137</v>
      </c>
      <c r="J1715" s="3">
        <v>523309.6</v>
      </c>
      <c r="K1715" s="3">
        <v>107345.32000000002</v>
      </c>
      <c r="L1715" t="s">
        <v>16</v>
      </c>
      <c r="M1715">
        <v>4.3</v>
      </c>
    </row>
    <row r="1716" spans="1:13" x14ac:dyDescent="0.25">
      <c r="A1716">
        <v>1715</v>
      </c>
      <c r="B1716" s="1">
        <v>42987</v>
      </c>
      <c r="C1716" s="1">
        <v>43219</v>
      </c>
      <c r="D1716" t="s">
        <v>21</v>
      </c>
      <c r="E1716" t="s">
        <v>28</v>
      </c>
      <c r="F1716" s="2">
        <v>93</v>
      </c>
      <c r="G1716" t="s">
        <v>11</v>
      </c>
      <c r="H1716" s="3">
        <v>19846</v>
      </c>
      <c r="I1716" s="3">
        <v>563285</v>
      </c>
      <c r="J1716" s="3">
        <v>450628</v>
      </c>
      <c r="K1716" s="3">
        <v>92811</v>
      </c>
      <c r="L1716" t="s">
        <v>16</v>
      </c>
      <c r="M1716">
        <v>4.7</v>
      </c>
    </row>
    <row r="1717" spans="1:13" x14ac:dyDescent="0.25">
      <c r="A1717">
        <v>1716</v>
      </c>
      <c r="B1717" s="1">
        <v>42987</v>
      </c>
      <c r="C1717" s="1">
        <v>43148</v>
      </c>
      <c r="D1717" t="s">
        <v>20</v>
      </c>
      <c r="E1717" t="s">
        <v>13</v>
      </c>
      <c r="F1717" s="2">
        <v>181</v>
      </c>
      <c r="G1717" t="s">
        <v>12</v>
      </c>
      <c r="H1717" s="3">
        <v>40034.199999999997</v>
      </c>
      <c r="I1717" s="3">
        <v>1067790</v>
      </c>
      <c r="J1717" s="3">
        <v>854232</v>
      </c>
      <c r="K1717" s="3">
        <v>173523.8</v>
      </c>
      <c r="L1717" t="s">
        <v>16</v>
      </c>
      <c r="M1717">
        <v>4.9000000000000004</v>
      </c>
    </row>
    <row r="1718" spans="1:13" x14ac:dyDescent="0.25">
      <c r="A1718">
        <v>1717</v>
      </c>
      <c r="B1718" s="1">
        <v>42987</v>
      </c>
      <c r="C1718" s="1">
        <v>43251</v>
      </c>
      <c r="D1718" t="s">
        <v>20</v>
      </c>
      <c r="E1718" t="s">
        <v>24</v>
      </c>
      <c r="F1718" s="2">
        <v>146</v>
      </c>
      <c r="G1718" t="s">
        <v>12</v>
      </c>
      <c r="H1718" s="3">
        <v>31989.68</v>
      </c>
      <c r="I1718" s="3">
        <v>861002</v>
      </c>
      <c r="J1718" s="3">
        <v>688801.6</v>
      </c>
      <c r="K1718" s="3">
        <v>140210.72000000003</v>
      </c>
      <c r="L1718" t="s">
        <v>18</v>
      </c>
      <c r="M1718">
        <v>3.6</v>
      </c>
    </row>
    <row r="1719" spans="1:13" x14ac:dyDescent="0.25">
      <c r="A1719">
        <v>1718</v>
      </c>
      <c r="B1719" s="1">
        <v>42987</v>
      </c>
      <c r="C1719" s="1">
        <v>43303</v>
      </c>
      <c r="D1719" t="s">
        <v>23</v>
      </c>
      <c r="E1719" t="s">
        <v>13</v>
      </c>
      <c r="F1719" s="2">
        <v>215</v>
      </c>
      <c r="G1719" t="s">
        <v>12</v>
      </c>
      <c r="H1719" s="3">
        <v>75302.960000000006</v>
      </c>
      <c r="I1719" s="3">
        <v>1947909</v>
      </c>
      <c r="J1719" s="3">
        <v>1558327.2</v>
      </c>
      <c r="K1719" s="3">
        <v>314278.84000000003</v>
      </c>
      <c r="L1719" t="s">
        <v>14</v>
      </c>
      <c r="M1719">
        <v>4.2</v>
      </c>
    </row>
    <row r="1720" spans="1:13" x14ac:dyDescent="0.25">
      <c r="A1720">
        <v>1719</v>
      </c>
      <c r="B1720" s="1">
        <v>42988</v>
      </c>
      <c r="C1720" s="1">
        <v>43167</v>
      </c>
      <c r="D1720" t="s">
        <v>22</v>
      </c>
      <c r="E1720" t="s">
        <v>25</v>
      </c>
      <c r="F1720" s="2">
        <v>114</v>
      </c>
      <c r="G1720" t="s">
        <v>11</v>
      </c>
      <c r="H1720" s="3">
        <v>29224.36</v>
      </c>
      <c r="I1720" s="3">
        <v>784144</v>
      </c>
      <c r="J1720" s="3">
        <v>627315.19999999995</v>
      </c>
      <c r="K1720" s="3">
        <v>127604.44000000005</v>
      </c>
      <c r="L1720" t="s">
        <v>15</v>
      </c>
      <c r="M1720">
        <v>3.8</v>
      </c>
    </row>
    <row r="1721" spans="1:13" x14ac:dyDescent="0.25">
      <c r="A1721">
        <v>1720</v>
      </c>
      <c r="B1721" s="1">
        <v>42988</v>
      </c>
      <c r="C1721" s="1">
        <v>43098</v>
      </c>
      <c r="D1721" t="s">
        <v>21</v>
      </c>
      <c r="E1721" t="s">
        <v>29</v>
      </c>
      <c r="F1721" s="2">
        <v>247</v>
      </c>
      <c r="G1721" t="s">
        <v>12</v>
      </c>
      <c r="H1721" s="3">
        <v>65668.039999999994</v>
      </c>
      <c r="I1721" s="3">
        <v>1705011</v>
      </c>
      <c r="J1721" s="3">
        <v>1364008.8</v>
      </c>
      <c r="K1721" s="3">
        <v>275334.15999999997</v>
      </c>
      <c r="L1721" t="s">
        <v>14</v>
      </c>
      <c r="M1721">
        <v>5</v>
      </c>
    </row>
    <row r="1722" spans="1:13" x14ac:dyDescent="0.25">
      <c r="A1722">
        <v>1721</v>
      </c>
      <c r="B1722" s="1">
        <v>42988</v>
      </c>
      <c r="C1722" s="1">
        <v>43345</v>
      </c>
      <c r="D1722" t="s">
        <v>20</v>
      </c>
      <c r="E1722" t="s">
        <v>24</v>
      </c>
      <c r="F1722" s="2">
        <v>167</v>
      </c>
      <c r="G1722" t="s">
        <v>12</v>
      </c>
      <c r="H1722" s="3">
        <v>38953</v>
      </c>
      <c r="I1722" s="3">
        <v>1031235</v>
      </c>
      <c r="J1722" s="3">
        <v>824988</v>
      </c>
      <c r="K1722" s="3">
        <v>167294</v>
      </c>
      <c r="L1722" t="s">
        <v>16</v>
      </c>
      <c r="M1722">
        <v>4</v>
      </c>
    </row>
    <row r="1723" spans="1:13" x14ac:dyDescent="0.25">
      <c r="A1723">
        <v>1722</v>
      </c>
      <c r="B1723" s="1">
        <v>42988</v>
      </c>
      <c r="C1723" s="1">
        <v>43217</v>
      </c>
      <c r="D1723" t="s">
        <v>23</v>
      </c>
      <c r="E1723" t="s">
        <v>29</v>
      </c>
      <c r="F1723" s="2">
        <v>244</v>
      </c>
      <c r="G1723" t="s">
        <v>12</v>
      </c>
      <c r="H1723" s="3">
        <v>97985</v>
      </c>
      <c r="I1723" s="3">
        <v>2514485</v>
      </c>
      <c r="J1723" s="3">
        <v>2011588</v>
      </c>
      <c r="K1723" s="3">
        <v>404912</v>
      </c>
      <c r="L1723" t="s">
        <v>14</v>
      </c>
      <c r="M1723">
        <v>4.9000000000000004</v>
      </c>
    </row>
    <row r="1724" spans="1:13" x14ac:dyDescent="0.25">
      <c r="A1724">
        <v>1723</v>
      </c>
      <c r="B1724" s="1">
        <v>42988</v>
      </c>
      <c r="C1724" s="1">
        <v>43318</v>
      </c>
      <c r="D1724" t="s">
        <v>22</v>
      </c>
      <c r="E1724" t="s">
        <v>13</v>
      </c>
      <c r="F1724" s="2">
        <v>135</v>
      </c>
      <c r="G1724" t="s">
        <v>12</v>
      </c>
      <c r="H1724" s="3">
        <v>47393.48</v>
      </c>
      <c r="I1724" s="3">
        <v>1237947</v>
      </c>
      <c r="J1724" s="3">
        <v>990357.6</v>
      </c>
      <c r="K1724" s="3">
        <v>200195.92</v>
      </c>
      <c r="L1724" t="s">
        <v>17</v>
      </c>
      <c r="M1724">
        <v>4.5999999999999996</v>
      </c>
    </row>
    <row r="1725" spans="1:13" x14ac:dyDescent="0.25">
      <c r="A1725">
        <v>1724</v>
      </c>
      <c r="B1725" s="1">
        <v>42988</v>
      </c>
      <c r="C1725" s="1">
        <v>43161</v>
      </c>
      <c r="D1725" t="s">
        <v>20</v>
      </c>
      <c r="E1725" t="s">
        <v>28</v>
      </c>
      <c r="F1725" s="2">
        <v>267</v>
      </c>
      <c r="G1725" t="s">
        <v>12</v>
      </c>
      <c r="H1725" s="3">
        <v>71178.8</v>
      </c>
      <c r="I1725" s="3">
        <v>1834955</v>
      </c>
      <c r="J1725" s="3">
        <v>1467964</v>
      </c>
      <c r="K1725" s="3">
        <v>295812.2</v>
      </c>
      <c r="L1725" t="s">
        <v>16</v>
      </c>
      <c r="M1725">
        <v>3.7</v>
      </c>
    </row>
    <row r="1726" spans="1:13" x14ac:dyDescent="0.25">
      <c r="A1726">
        <v>1725</v>
      </c>
      <c r="B1726" s="1">
        <v>42989</v>
      </c>
      <c r="C1726" s="1">
        <v>43237</v>
      </c>
      <c r="D1726" t="s">
        <v>21</v>
      </c>
      <c r="E1726" t="s">
        <v>29</v>
      </c>
      <c r="F1726" s="2">
        <v>140</v>
      </c>
      <c r="G1726" t="s">
        <v>12</v>
      </c>
      <c r="H1726" s="3">
        <v>37046.199999999997</v>
      </c>
      <c r="I1726" s="3">
        <v>980290</v>
      </c>
      <c r="J1726" s="3">
        <v>784232</v>
      </c>
      <c r="K1726" s="3">
        <v>159011.79999999999</v>
      </c>
      <c r="L1726" t="s">
        <v>19</v>
      </c>
      <c r="M1726">
        <v>4.0999999999999996</v>
      </c>
    </row>
    <row r="1727" spans="1:13" x14ac:dyDescent="0.25">
      <c r="A1727">
        <v>1726</v>
      </c>
      <c r="B1727" s="1">
        <v>42989</v>
      </c>
      <c r="C1727" s="1">
        <v>43083</v>
      </c>
      <c r="D1727" t="s">
        <v>23</v>
      </c>
      <c r="E1727" t="s">
        <v>25</v>
      </c>
      <c r="F1727" s="2">
        <v>189</v>
      </c>
      <c r="G1727" t="s">
        <v>12</v>
      </c>
      <c r="H1727" s="3">
        <v>76292.320000000007</v>
      </c>
      <c r="I1727" s="3">
        <v>1968143</v>
      </c>
      <c r="J1727" s="3">
        <v>1574514.4</v>
      </c>
      <c r="K1727" s="3">
        <v>317336.28000000009</v>
      </c>
      <c r="L1727" t="s">
        <v>17</v>
      </c>
      <c r="M1727">
        <v>4.5</v>
      </c>
    </row>
    <row r="1728" spans="1:13" x14ac:dyDescent="0.25">
      <c r="A1728">
        <v>1727</v>
      </c>
      <c r="B1728" s="1">
        <v>42989</v>
      </c>
      <c r="C1728" s="1">
        <v>43107</v>
      </c>
      <c r="D1728" t="s">
        <v>20</v>
      </c>
      <c r="E1728" t="s">
        <v>29</v>
      </c>
      <c r="F1728" s="2">
        <v>266</v>
      </c>
      <c r="G1728" t="s">
        <v>12</v>
      </c>
      <c r="H1728" s="3">
        <v>80486.559999999998</v>
      </c>
      <c r="I1728" s="3">
        <v>2064649</v>
      </c>
      <c r="J1728" s="3">
        <v>1651719.2</v>
      </c>
      <c r="K1728" s="3">
        <v>332443.24000000005</v>
      </c>
      <c r="L1728" t="s">
        <v>18</v>
      </c>
      <c r="M1728">
        <v>3.6</v>
      </c>
    </row>
    <row r="1729" spans="1:13" x14ac:dyDescent="0.25">
      <c r="A1729">
        <v>1728</v>
      </c>
      <c r="B1729" s="1">
        <v>42989</v>
      </c>
      <c r="C1729" s="1">
        <v>43254</v>
      </c>
      <c r="D1729" t="s">
        <v>20</v>
      </c>
      <c r="E1729" t="s">
        <v>27</v>
      </c>
      <c r="F1729" s="2">
        <v>233</v>
      </c>
      <c r="G1729" t="s">
        <v>12</v>
      </c>
      <c r="H1729" s="3">
        <v>63518.8</v>
      </c>
      <c r="I1729" s="3">
        <v>1639205</v>
      </c>
      <c r="J1729" s="3">
        <v>1311364</v>
      </c>
      <c r="K1729" s="3">
        <v>264322.2</v>
      </c>
      <c r="L1729" t="s">
        <v>16</v>
      </c>
      <c r="M1729">
        <v>3.8</v>
      </c>
    </row>
    <row r="1730" spans="1:13" x14ac:dyDescent="0.25">
      <c r="A1730">
        <v>1729</v>
      </c>
      <c r="B1730" s="1">
        <v>42989</v>
      </c>
      <c r="C1730" s="1">
        <v>43239</v>
      </c>
      <c r="D1730" t="s">
        <v>23</v>
      </c>
      <c r="E1730" t="s">
        <v>29</v>
      </c>
      <c r="F1730" s="2">
        <v>180</v>
      </c>
      <c r="G1730" t="s">
        <v>12</v>
      </c>
      <c r="H1730" s="3">
        <v>48513.599999999999</v>
      </c>
      <c r="I1730" s="3">
        <v>1267475</v>
      </c>
      <c r="J1730" s="3">
        <v>1013980</v>
      </c>
      <c r="K1730" s="3">
        <v>204981.4</v>
      </c>
      <c r="L1730" t="s">
        <v>17</v>
      </c>
      <c r="M1730">
        <v>4.3</v>
      </c>
    </row>
    <row r="1731" spans="1:13" x14ac:dyDescent="0.25">
      <c r="A1731">
        <v>1730</v>
      </c>
      <c r="B1731" s="1">
        <v>42990</v>
      </c>
      <c r="C1731" s="1">
        <v>43087</v>
      </c>
      <c r="D1731" t="s">
        <v>20</v>
      </c>
      <c r="E1731" t="s">
        <v>28</v>
      </c>
      <c r="F1731" s="2">
        <v>191</v>
      </c>
      <c r="G1731" t="s">
        <v>12</v>
      </c>
      <c r="H1731" s="3">
        <v>58736.56</v>
      </c>
      <c r="I1731" s="3">
        <v>1526599</v>
      </c>
      <c r="J1731" s="3">
        <v>1221279.2</v>
      </c>
      <c r="K1731" s="3">
        <v>246583.24000000005</v>
      </c>
      <c r="L1731" t="s">
        <v>19</v>
      </c>
      <c r="M1731">
        <v>3.6</v>
      </c>
    </row>
    <row r="1732" spans="1:13" x14ac:dyDescent="0.25">
      <c r="A1732">
        <v>1731</v>
      </c>
      <c r="B1732" s="1">
        <v>42990</v>
      </c>
      <c r="C1732" s="1">
        <v>43210</v>
      </c>
      <c r="D1732" t="s">
        <v>21</v>
      </c>
      <c r="E1732" t="s">
        <v>27</v>
      </c>
      <c r="F1732" s="2">
        <v>216</v>
      </c>
      <c r="G1732" t="s">
        <v>12</v>
      </c>
      <c r="H1732" s="3">
        <v>84738.880000000005</v>
      </c>
      <c r="I1732" s="3">
        <v>2180407</v>
      </c>
      <c r="J1732" s="3">
        <v>1744325.6</v>
      </c>
      <c r="K1732" s="3">
        <v>351342.5199999999</v>
      </c>
      <c r="L1732" t="s">
        <v>17</v>
      </c>
      <c r="M1732">
        <v>4.3</v>
      </c>
    </row>
    <row r="1733" spans="1:13" x14ac:dyDescent="0.25">
      <c r="A1733">
        <v>1732</v>
      </c>
      <c r="B1733" s="1">
        <v>42990</v>
      </c>
      <c r="C1733" s="1">
        <v>43300</v>
      </c>
      <c r="D1733" t="s">
        <v>21</v>
      </c>
      <c r="E1733" t="s">
        <v>28</v>
      </c>
      <c r="F1733" s="2">
        <v>62</v>
      </c>
      <c r="G1733" t="s">
        <v>11</v>
      </c>
      <c r="H1733" s="3">
        <v>15997.64</v>
      </c>
      <c r="I1733" s="3">
        <v>452351</v>
      </c>
      <c r="J1733" s="3">
        <v>361880.8</v>
      </c>
      <c r="K1733" s="3">
        <v>74472.560000000012</v>
      </c>
      <c r="L1733" t="s">
        <v>18</v>
      </c>
      <c r="M1733">
        <v>4.5</v>
      </c>
    </row>
    <row r="1734" spans="1:13" x14ac:dyDescent="0.25">
      <c r="A1734">
        <v>1733</v>
      </c>
      <c r="B1734" s="1">
        <v>42991</v>
      </c>
      <c r="C1734" s="1">
        <v>43139</v>
      </c>
      <c r="D1734" t="s">
        <v>23</v>
      </c>
      <c r="E1734" t="s">
        <v>25</v>
      </c>
      <c r="F1734" s="2">
        <v>137</v>
      </c>
      <c r="G1734" t="s">
        <v>12</v>
      </c>
      <c r="H1734" s="3">
        <v>33471.199999999997</v>
      </c>
      <c r="I1734" s="3">
        <v>900565</v>
      </c>
      <c r="J1734" s="3">
        <v>720452</v>
      </c>
      <c r="K1734" s="3">
        <v>146641.79999999999</v>
      </c>
      <c r="L1734" t="s">
        <v>14</v>
      </c>
      <c r="M1734">
        <v>3.7</v>
      </c>
    </row>
    <row r="1735" spans="1:13" x14ac:dyDescent="0.25">
      <c r="A1735">
        <v>1734</v>
      </c>
      <c r="B1735" s="1">
        <v>42991</v>
      </c>
      <c r="C1735" s="1">
        <v>43304</v>
      </c>
      <c r="D1735" t="s">
        <v>23</v>
      </c>
      <c r="E1735" t="s">
        <v>25</v>
      </c>
      <c r="F1735" s="2">
        <v>220</v>
      </c>
      <c r="G1735" t="s">
        <v>12</v>
      </c>
      <c r="H1735" s="3">
        <v>37808.239999999998</v>
      </c>
      <c r="I1735" s="3">
        <v>1011441</v>
      </c>
      <c r="J1735" s="3">
        <v>809152.8</v>
      </c>
      <c r="K1735" s="3">
        <v>164479.95999999996</v>
      </c>
      <c r="L1735" t="s">
        <v>19</v>
      </c>
      <c r="M1735">
        <v>4.4000000000000004</v>
      </c>
    </row>
    <row r="1736" spans="1:13" x14ac:dyDescent="0.25">
      <c r="A1736">
        <v>1735</v>
      </c>
      <c r="B1736" s="1">
        <v>42992</v>
      </c>
      <c r="C1736" s="1">
        <v>43114</v>
      </c>
      <c r="D1736" t="s">
        <v>21</v>
      </c>
      <c r="E1736" t="s">
        <v>26</v>
      </c>
      <c r="F1736" s="2">
        <v>252</v>
      </c>
      <c r="G1736" t="s">
        <v>12</v>
      </c>
      <c r="H1736" s="3">
        <v>56529.08</v>
      </c>
      <c r="I1736" s="3">
        <v>1466837</v>
      </c>
      <c r="J1736" s="3">
        <v>1173469.6000000001</v>
      </c>
      <c r="K1736" s="3">
        <v>236838.31999999989</v>
      </c>
      <c r="L1736" t="s">
        <v>18</v>
      </c>
      <c r="M1736">
        <v>3.8</v>
      </c>
    </row>
    <row r="1737" spans="1:13" x14ac:dyDescent="0.25">
      <c r="A1737">
        <v>1736</v>
      </c>
      <c r="B1737" s="1">
        <v>42992</v>
      </c>
      <c r="C1737" s="1">
        <v>43245</v>
      </c>
      <c r="D1737" t="s">
        <v>20</v>
      </c>
      <c r="E1737" t="s">
        <v>24</v>
      </c>
      <c r="F1737" s="2">
        <v>173</v>
      </c>
      <c r="G1737" t="s">
        <v>12</v>
      </c>
      <c r="H1737" s="3">
        <v>40863.24</v>
      </c>
      <c r="I1737" s="3">
        <v>1080341</v>
      </c>
      <c r="J1737" s="3">
        <v>864272.8</v>
      </c>
      <c r="K1737" s="3">
        <v>175204.95999999996</v>
      </c>
      <c r="L1737" t="s">
        <v>17</v>
      </c>
      <c r="M1737">
        <v>5</v>
      </c>
    </row>
    <row r="1738" spans="1:13" x14ac:dyDescent="0.25">
      <c r="A1738">
        <v>1737</v>
      </c>
      <c r="B1738" s="1">
        <v>42992</v>
      </c>
      <c r="C1738" s="1">
        <v>43227</v>
      </c>
      <c r="D1738" t="s">
        <v>20</v>
      </c>
      <c r="E1738" t="s">
        <v>29</v>
      </c>
      <c r="F1738" s="2">
        <v>91</v>
      </c>
      <c r="G1738" t="s">
        <v>11</v>
      </c>
      <c r="H1738" s="3">
        <v>27543.56</v>
      </c>
      <c r="I1738" s="3">
        <v>744399</v>
      </c>
      <c r="J1738" s="3">
        <v>595519.19999999995</v>
      </c>
      <c r="K1738" s="3">
        <v>121336.24000000005</v>
      </c>
      <c r="L1738" t="s">
        <v>17</v>
      </c>
      <c r="M1738">
        <v>3.9</v>
      </c>
    </row>
    <row r="1739" spans="1:13" x14ac:dyDescent="0.25">
      <c r="A1739">
        <v>1738</v>
      </c>
      <c r="B1739" s="1">
        <v>42992</v>
      </c>
      <c r="C1739" s="1">
        <v>43189</v>
      </c>
      <c r="D1739" t="s">
        <v>23</v>
      </c>
      <c r="E1739" t="s">
        <v>25</v>
      </c>
      <c r="F1739" s="2">
        <v>147</v>
      </c>
      <c r="G1739" t="s">
        <v>12</v>
      </c>
      <c r="H1739" s="3">
        <v>36823</v>
      </c>
      <c r="I1739" s="3">
        <v>985085</v>
      </c>
      <c r="J1739" s="3">
        <v>788068</v>
      </c>
      <c r="K1739" s="3">
        <v>160194</v>
      </c>
      <c r="L1739" t="s">
        <v>17</v>
      </c>
      <c r="M1739">
        <v>3.6</v>
      </c>
    </row>
    <row r="1740" spans="1:13" x14ac:dyDescent="0.25">
      <c r="A1740">
        <v>1739</v>
      </c>
      <c r="B1740" s="1">
        <v>42994</v>
      </c>
      <c r="C1740" s="1">
        <v>43206</v>
      </c>
      <c r="D1740" t="s">
        <v>21</v>
      </c>
      <c r="E1740" t="s">
        <v>27</v>
      </c>
      <c r="F1740" s="2">
        <v>87</v>
      </c>
      <c r="G1740" t="s">
        <v>12</v>
      </c>
      <c r="H1740" s="3">
        <v>32545.68</v>
      </c>
      <c r="I1740" s="3">
        <v>874777</v>
      </c>
      <c r="J1740" s="3">
        <v>699821.6</v>
      </c>
      <c r="K1740" s="3">
        <v>142409.72000000003</v>
      </c>
      <c r="L1740" t="s">
        <v>15</v>
      </c>
      <c r="M1740">
        <v>4.8</v>
      </c>
    </row>
    <row r="1741" spans="1:13" x14ac:dyDescent="0.25">
      <c r="A1741">
        <v>1740</v>
      </c>
      <c r="B1741" s="1">
        <v>42994</v>
      </c>
      <c r="C1741" s="1">
        <v>43086</v>
      </c>
      <c r="D1741" t="s">
        <v>20</v>
      </c>
      <c r="E1741" t="s">
        <v>29</v>
      </c>
      <c r="F1741" s="2">
        <v>141</v>
      </c>
      <c r="G1741" t="s">
        <v>11</v>
      </c>
      <c r="H1741" s="3">
        <v>23253.200000000001</v>
      </c>
      <c r="I1741" s="3">
        <v>635190</v>
      </c>
      <c r="J1741" s="3">
        <v>508152</v>
      </c>
      <c r="K1741" s="3">
        <v>103784.8</v>
      </c>
      <c r="L1741" t="s">
        <v>18</v>
      </c>
      <c r="M1741">
        <v>4</v>
      </c>
    </row>
    <row r="1742" spans="1:13" x14ac:dyDescent="0.25">
      <c r="A1742">
        <v>1741</v>
      </c>
      <c r="B1742" s="1">
        <v>42994</v>
      </c>
      <c r="C1742" s="1">
        <v>43133</v>
      </c>
      <c r="D1742" t="s">
        <v>21</v>
      </c>
      <c r="E1742" t="s">
        <v>13</v>
      </c>
      <c r="F1742" s="2">
        <v>73</v>
      </c>
      <c r="G1742" t="s">
        <v>11</v>
      </c>
      <c r="H1742" s="3">
        <v>16678.919999999998</v>
      </c>
      <c r="I1742" s="3">
        <v>477858</v>
      </c>
      <c r="J1742" s="3">
        <v>382286.4</v>
      </c>
      <c r="K1742" s="3">
        <v>78892.679999999978</v>
      </c>
      <c r="L1742" t="s">
        <v>14</v>
      </c>
      <c r="M1742">
        <v>4.4000000000000004</v>
      </c>
    </row>
    <row r="1743" spans="1:13" x14ac:dyDescent="0.25">
      <c r="A1743">
        <v>1742</v>
      </c>
      <c r="B1743" s="1">
        <v>42995</v>
      </c>
      <c r="C1743" s="1">
        <v>43151</v>
      </c>
      <c r="D1743" t="s">
        <v>20</v>
      </c>
      <c r="E1743" t="s">
        <v>24</v>
      </c>
      <c r="F1743" s="2">
        <v>66</v>
      </c>
      <c r="G1743" t="s">
        <v>11</v>
      </c>
      <c r="H1743" s="3">
        <v>16296.6</v>
      </c>
      <c r="I1743" s="3">
        <v>464675</v>
      </c>
      <c r="J1743" s="3">
        <v>371740</v>
      </c>
      <c r="K1743" s="3">
        <v>76638.399999999994</v>
      </c>
      <c r="L1743" t="s">
        <v>17</v>
      </c>
      <c r="M1743">
        <v>4.0999999999999996</v>
      </c>
    </row>
    <row r="1744" spans="1:13" x14ac:dyDescent="0.25">
      <c r="A1744">
        <v>1743</v>
      </c>
      <c r="B1744" s="1">
        <v>42995</v>
      </c>
      <c r="C1744" s="1">
        <v>43108</v>
      </c>
      <c r="D1744" t="s">
        <v>20</v>
      </c>
      <c r="E1744" t="s">
        <v>27</v>
      </c>
      <c r="F1744" s="2">
        <v>287</v>
      </c>
      <c r="G1744" t="s">
        <v>12</v>
      </c>
      <c r="H1744" s="3">
        <v>104311.44</v>
      </c>
      <c r="I1744" s="3">
        <v>2666821</v>
      </c>
      <c r="J1744" s="3">
        <v>2133456.7999999998</v>
      </c>
      <c r="K1744" s="3">
        <v>429052.76000000018</v>
      </c>
      <c r="L1744" t="s">
        <v>16</v>
      </c>
      <c r="M1744">
        <v>4.7</v>
      </c>
    </row>
    <row r="1745" spans="1:13" x14ac:dyDescent="0.25">
      <c r="A1745">
        <v>1744</v>
      </c>
      <c r="B1745" s="1">
        <v>42995</v>
      </c>
      <c r="C1745" s="1">
        <v>43087</v>
      </c>
      <c r="D1745" t="s">
        <v>22</v>
      </c>
      <c r="E1745" t="s">
        <v>26</v>
      </c>
      <c r="F1745" s="2">
        <v>45</v>
      </c>
      <c r="G1745" t="s">
        <v>11</v>
      </c>
      <c r="H1745" s="3">
        <v>15893.84</v>
      </c>
      <c r="I1745" s="3">
        <v>462131</v>
      </c>
      <c r="J1745" s="3">
        <v>369704.8</v>
      </c>
      <c r="K1745" s="3">
        <v>76532.360000000015</v>
      </c>
      <c r="L1745" t="s">
        <v>19</v>
      </c>
      <c r="M1745">
        <v>4.5</v>
      </c>
    </row>
    <row r="1746" spans="1:13" x14ac:dyDescent="0.25">
      <c r="A1746">
        <v>1745</v>
      </c>
      <c r="B1746" s="1">
        <v>42995</v>
      </c>
      <c r="C1746" s="1">
        <v>43194</v>
      </c>
      <c r="D1746" t="s">
        <v>23</v>
      </c>
      <c r="E1746" t="s">
        <v>25</v>
      </c>
      <c r="F1746" s="2">
        <v>125</v>
      </c>
      <c r="G1746" t="s">
        <v>11</v>
      </c>
      <c r="H1746" s="3">
        <v>24765.8</v>
      </c>
      <c r="I1746" s="3">
        <v>678005</v>
      </c>
      <c r="J1746" s="3">
        <v>542404</v>
      </c>
      <c r="K1746" s="3">
        <v>110835.2</v>
      </c>
      <c r="L1746" t="s">
        <v>16</v>
      </c>
      <c r="M1746">
        <v>5</v>
      </c>
    </row>
    <row r="1747" spans="1:13" x14ac:dyDescent="0.25">
      <c r="A1747">
        <v>1746</v>
      </c>
      <c r="B1747" s="1">
        <v>42997</v>
      </c>
      <c r="C1747" s="1">
        <v>43320</v>
      </c>
      <c r="D1747" t="s">
        <v>20</v>
      </c>
      <c r="E1747" t="s">
        <v>25</v>
      </c>
      <c r="F1747" s="2">
        <v>189</v>
      </c>
      <c r="G1747" t="s">
        <v>12</v>
      </c>
      <c r="H1747" s="3">
        <v>60412.6</v>
      </c>
      <c r="I1747" s="3">
        <v>1576625</v>
      </c>
      <c r="J1747" s="3">
        <v>1261300</v>
      </c>
      <c r="K1747" s="3">
        <v>254912.4</v>
      </c>
      <c r="L1747" t="s">
        <v>17</v>
      </c>
      <c r="M1747">
        <v>4.4000000000000004</v>
      </c>
    </row>
    <row r="1748" spans="1:13" x14ac:dyDescent="0.25">
      <c r="A1748">
        <v>1747</v>
      </c>
      <c r="B1748" s="1">
        <v>42998</v>
      </c>
      <c r="C1748" s="1">
        <v>43127</v>
      </c>
      <c r="D1748" t="s">
        <v>21</v>
      </c>
      <c r="E1748" t="s">
        <v>29</v>
      </c>
      <c r="F1748" s="2">
        <v>237</v>
      </c>
      <c r="G1748" t="s">
        <v>12</v>
      </c>
      <c r="H1748" s="3">
        <v>86677.4</v>
      </c>
      <c r="I1748" s="3">
        <v>2220245</v>
      </c>
      <c r="J1748" s="3">
        <v>1776196</v>
      </c>
      <c r="K1748" s="3">
        <v>357371.6</v>
      </c>
      <c r="L1748" t="s">
        <v>17</v>
      </c>
      <c r="M1748">
        <v>3.8</v>
      </c>
    </row>
    <row r="1749" spans="1:13" x14ac:dyDescent="0.25">
      <c r="A1749">
        <v>1748</v>
      </c>
      <c r="B1749" s="1">
        <v>42999</v>
      </c>
      <c r="C1749" s="1">
        <v>43136</v>
      </c>
      <c r="D1749" t="s">
        <v>21</v>
      </c>
      <c r="E1749" t="s">
        <v>24</v>
      </c>
      <c r="F1749" s="2">
        <v>107</v>
      </c>
      <c r="G1749" t="s">
        <v>11</v>
      </c>
      <c r="H1749" s="3">
        <v>25186.04</v>
      </c>
      <c r="I1749" s="3">
        <v>693161</v>
      </c>
      <c r="J1749" s="3">
        <v>554528.80000000005</v>
      </c>
      <c r="K1749" s="3">
        <v>113446.15999999995</v>
      </c>
      <c r="L1749" t="s">
        <v>16</v>
      </c>
      <c r="M1749">
        <v>5</v>
      </c>
    </row>
    <row r="1750" spans="1:13" x14ac:dyDescent="0.25">
      <c r="A1750">
        <v>1749</v>
      </c>
      <c r="B1750" s="1">
        <v>42999</v>
      </c>
      <c r="C1750" s="1">
        <v>43133</v>
      </c>
      <c r="D1750" t="s">
        <v>23</v>
      </c>
      <c r="E1750" t="s">
        <v>29</v>
      </c>
      <c r="F1750" s="2">
        <v>117</v>
      </c>
      <c r="G1750" t="s">
        <v>12</v>
      </c>
      <c r="H1750" s="3">
        <v>34256.839999999997</v>
      </c>
      <c r="I1750" s="3">
        <v>910031</v>
      </c>
      <c r="J1750" s="3">
        <v>728024.8</v>
      </c>
      <c r="K1750" s="3">
        <v>147749.35999999996</v>
      </c>
      <c r="L1750" t="s">
        <v>16</v>
      </c>
      <c r="M1750">
        <v>4.0999999999999996</v>
      </c>
    </row>
    <row r="1751" spans="1:13" x14ac:dyDescent="0.25">
      <c r="A1751">
        <v>1750</v>
      </c>
      <c r="B1751" s="1">
        <v>42999</v>
      </c>
      <c r="C1751" s="1">
        <v>43302</v>
      </c>
      <c r="D1751" t="s">
        <v>23</v>
      </c>
      <c r="E1751" t="s">
        <v>13</v>
      </c>
      <c r="F1751" s="2">
        <v>112</v>
      </c>
      <c r="G1751" t="s">
        <v>11</v>
      </c>
      <c r="H1751" s="3">
        <v>18253.36</v>
      </c>
      <c r="I1751" s="3">
        <v>510569</v>
      </c>
      <c r="J1751" s="3">
        <v>408455.2</v>
      </c>
      <c r="K1751" s="3">
        <v>83860.439999999988</v>
      </c>
      <c r="L1751" t="s">
        <v>19</v>
      </c>
      <c r="M1751">
        <v>4.9000000000000004</v>
      </c>
    </row>
    <row r="1752" spans="1:13" x14ac:dyDescent="0.25">
      <c r="A1752">
        <v>1751</v>
      </c>
      <c r="B1752" s="1">
        <v>42999</v>
      </c>
      <c r="C1752" s="1">
        <v>43155</v>
      </c>
      <c r="D1752" t="s">
        <v>21</v>
      </c>
      <c r="E1752" t="s">
        <v>27</v>
      </c>
      <c r="F1752" s="2">
        <v>255</v>
      </c>
      <c r="G1752" t="s">
        <v>12</v>
      </c>
      <c r="H1752" s="3">
        <v>69560.44</v>
      </c>
      <c r="I1752" s="3">
        <v>1795271</v>
      </c>
      <c r="J1752" s="3">
        <v>1436216.8</v>
      </c>
      <c r="K1752" s="3">
        <v>289493.75999999995</v>
      </c>
      <c r="L1752" t="s">
        <v>17</v>
      </c>
      <c r="M1752">
        <v>3.9</v>
      </c>
    </row>
    <row r="1753" spans="1:13" x14ac:dyDescent="0.25">
      <c r="A1753">
        <v>1752</v>
      </c>
      <c r="B1753" s="1">
        <v>42999</v>
      </c>
      <c r="C1753" s="1">
        <v>43356</v>
      </c>
      <c r="D1753" t="s">
        <v>23</v>
      </c>
      <c r="E1753" t="s">
        <v>27</v>
      </c>
      <c r="F1753" s="2">
        <v>110</v>
      </c>
      <c r="G1753" t="s">
        <v>12</v>
      </c>
      <c r="H1753" s="3">
        <v>31164</v>
      </c>
      <c r="I1753" s="3">
        <v>839785</v>
      </c>
      <c r="J1753" s="3">
        <v>671828</v>
      </c>
      <c r="K1753" s="3">
        <v>136793</v>
      </c>
      <c r="L1753" t="s">
        <v>18</v>
      </c>
      <c r="M1753">
        <v>4.9000000000000004</v>
      </c>
    </row>
    <row r="1754" spans="1:13" x14ac:dyDescent="0.25">
      <c r="A1754">
        <v>1753</v>
      </c>
      <c r="B1754" s="1">
        <v>42999</v>
      </c>
      <c r="C1754" s="1">
        <v>43200</v>
      </c>
      <c r="D1754" t="s">
        <v>23</v>
      </c>
      <c r="E1754" t="s">
        <v>27</v>
      </c>
      <c r="F1754" s="2">
        <v>178</v>
      </c>
      <c r="G1754" t="s">
        <v>12</v>
      </c>
      <c r="H1754" s="3">
        <v>44496.2</v>
      </c>
      <c r="I1754" s="3">
        <v>1166465</v>
      </c>
      <c r="J1754" s="3">
        <v>933172</v>
      </c>
      <c r="K1754" s="3">
        <v>188796.79999999999</v>
      </c>
      <c r="L1754" t="s">
        <v>15</v>
      </c>
      <c r="M1754">
        <v>4</v>
      </c>
    </row>
    <row r="1755" spans="1:13" x14ac:dyDescent="0.25">
      <c r="A1755">
        <v>1754</v>
      </c>
      <c r="B1755" s="1">
        <v>42999</v>
      </c>
      <c r="C1755" s="1">
        <v>43182</v>
      </c>
      <c r="D1755" t="s">
        <v>21</v>
      </c>
      <c r="E1755" t="s">
        <v>28</v>
      </c>
      <c r="F1755" s="2">
        <v>50</v>
      </c>
      <c r="G1755" t="s">
        <v>11</v>
      </c>
      <c r="H1755" s="3">
        <v>16557.400000000001</v>
      </c>
      <c r="I1755" s="3">
        <v>469720</v>
      </c>
      <c r="J1755" s="3">
        <v>375776</v>
      </c>
      <c r="K1755" s="3">
        <v>77386.600000000006</v>
      </c>
      <c r="L1755" t="s">
        <v>14</v>
      </c>
      <c r="M1755">
        <v>4.0999999999999996</v>
      </c>
    </row>
    <row r="1756" spans="1:13" x14ac:dyDescent="0.25">
      <c r="A1756">
        <v>1755</v>
      </c>
      <c r="B1756" s="1">
        <v>43000</v>
      </c>
      <c r="C1756" s="1">
        <v>43257</v>
      </c>
      <c r="D1756" t="s">
        <v>21</v>
      </c>
      <c r="E1756" t="s">
        <v>29</v>
      </c>
      <c r="F1756" s="2">
        <v>179</v>
      </c>
      <c r="G1756" t="s">
        <v>12</v>
      </c>
      <c r="H1756" s="3">
        <v>51096.160000000003</v>
      </c>
      <c r="I1756" s="3">
        <v>1341789</v>
      </c>
      <c r="J1756" s="3">
        <v>1073431.2</v>
      </c>
      <c r="K1756" s="3">
        <v>217261.64000000004</v>
      </c>
      <c r="L1756" t="s">
        <v>19</v>
      </c>
      <c r="M1756">
        <v>3.7</v>
      </c>
    </row>
    <row r="1757" spans="1:13" x14ac:dyDescent="0.25">
      <c r="A1757">
        <v>1756</v>
      </c>
      <c r="B1757" s="1">
        <v>43002</v>
      </c>
      <c r="C1757" s="1">
        <v>43143</v>
      </c>
      <c r="D1757" t="s">
        <v>20</v>
      </c>
      <c r="E1757" t="s">
        <v>29</v>
      </c>
      <c r="F1757" s="2">
        <v>81</v>
      </c>
      <c r="G1757" t="s">
        <v>11</v>
      </c>
      <c r="H1757" s="3">
        <v>23758</v>
      </c>
      <c r="I1757" s="3">
        <v>649760</v>
      </c>
      <c r="J1757" s="3">
        <v>519808</v>
      </c>
      <c r="K1757" s="3">
        <v>106194</v>
      </c>
      <c r="L1757" t="s">
        <v>15</v>
      </c>
      <c r="M1757">
        <v>4.5999999999999996</v>
      </c>
    </row>
    <row r="1758" spans="1:13" x14ac:dyDescent="0.25">
      <c r="A1758">
        <v>1757</v>
      </c>
      <c r="B1758" s="1">
        <v>43002</v>
      </c>
      <c r="C1758" s="1">
        <v>43304</v>
      </c>
      <c r="D1758" t="s">
        <v>22</v>
      </c>
      <c r="E1758" t="s">
        <v>24</v>
      </c>
      <c r="F1758" s="2">
        <v>199</v>
      </c>
      <c r="G1758" t="s">
        <v>12</v>
      </c>
      <c r="H1758" s="3">
        <v>34433.96</v>
      </c>
      <c r="I1758" s="3">
        <v>914909</v>
      </c>
      <c r="J1758" s="3">
        <v>731927.2</v>
      </c>
      <c r="K1758" s="3">
        <v>148547.84000000005</v>
      </c>
      <c r="L1758" t="s">
        <v>14</v>
      </c>
      <c r="M1758">
        <v>4.2</v>
      </c>
    </row>
    <row r="1759" spans="1:13" x14ac:dyDescent="0.25">
      <c r="A1759">
        <v>1758</v>
      </c>
      <c r="B1759" s="1">
        <v>43002</v>
      </c>
      <c r="C1759" s="1">
        <v>43124</v>
      </c>
      <c r="D1759" t="s">
        <v>20</v>
      </c>
      <c r="E1759" t="s">
        <v>26</v>
      </c>
      <c r="F1759" s="2">
        <v>40</v>
      </c>
      <c r="G1759" t="s">
        <v>11</v>
      </c>
      <c r="H1759" s="3">
        <v>15179.04</v>
      </c>
      <c r="I1759" s="3">
        <v>439886</v>
      </c>
      <c r="J1759" s="3">
        <v>351908.8</v>
      </c>
      <c r="K1759" s="3">
        <v>72798.16</v>
      </c>
      <c r="L1759" t="s">
        <v>18</v>
      </c>
      <c r="M1759">
        <v>4.5999999999999996</v>
      </c>
    </row>
    <row r="1760" spans="1:13" x14ac:dyDescent="0.25">
      <c r="A1760">
        <v>1759</v>
      </c>
      <c r="B1760" s="1">
        <v>43003</v>
      </c>
      <c r="C1760" s="1">
        <v>43238</v>
      </c>
      <c r="D1760" t="s">
        <v>22</v>
      </c>
      <c r="E1760" t="s">
        <v>29</v>
      </c>
      <c r="F1760" s="2">
        <v>227</v>
      </c>
      <c r="G1760" t="s">
        <v>12</v>
      </c>
      <c r="H1760" s="3">
        <v>84616.88</v>
      </c>
      <c r="I1760" s="3">
        <v>2169957</v>
      </c>
      <c r="J1760" s="3">
        <v>1735965.6</v>
      </c>
      <c r="K1760" s="3">
        <v>349374.5199999999</v>
      </c>
      <c r="L1760" t="s">
        <v>14</v>
      </c>
      <c r="M1760">
        <v>4.3</v>
      </c>
    </row>
    <row r="1761" spans="1:13" x14ac:dyDescent="0.25">
      <c r="A1761">
        <v>1760</v>
      </c>
      <c r="B1761" s="1">
        <v>43003</v>
      </c>
      <c r="C1761" s="1">
        <v>43121</v>
      </c>
      <c r="D1761" t="s">
        <v>20</v>
      </c>
      <c r="E1761" t="s">
        <v>28</v>
      </c>
      <c r="F1761" s="2">
        <v>91</v>
      </c>
      <c r="G1761" t="s">
        <v>11</v>
      </c>
      <c r="H1761" s="3">
        <v>26683.759999999998</v>
      </c>
      <c r="I1761" s="3">
        <v>720329</v>
      </c>
      <c r="J1761" s="3">
        <v>576263.19999999995</v>
      </c>
      <c r="K1761" s="3">
        <v>117382.04000000005</v>
      </c>
      <c r="L1761" t="s">
        <v>16</v>
      </c>
      <c r="M1761">
        <v>4.8</v>
      </c>
    </row>
    <row r="1762" spans="1:13" x14ac:dyDescent="0.25">
      <c r="A1762">
        <v>1761</v>
      </c>
      <c r="B1762" s="1">
        <v>43004</v>
      </c>
      <c r="C1762" s="1">
        <v>43117</v>
      </c>
      <c r="D1762" t="s">
        <v>22</v>
      </c>
      <c r="E1762" t="s">
        <v>26</v>
      </c>
      <c r="F1762" s="2">
        <v>210</v>
      </c>
      <c r="G1762" t="s">
        <v>12</v>
      </c>
      <c r="H1762" s="3">
        <v>66610.64</v>
      </c>
      <c r="I1762" s="3">
        <v>1725801</v>
      </c>
      <c r="J1762" s="3">
        <v>1380640.8</v>
      </c>
      <c r="K1762" s="3">
        <v>278549.55999999994</v>
      </c>
      <c r="L1762" t="s">
        <v>14</v>
      </c>
      <c r="M1762">
        <v>4.3</v>
      </c>
    </row>
    <row r="1763" spans="1:13" x14ac:dyDescent="0.25">
      <c r="A1763">
        <v>1762</v>
      </c>
      <c r="B1763" s="1">
        <v>43004</v>
      </c>
      <c r="C1763" s="1">
        <v>43363</v>
      </c>
      <c r="D1763" t="s">
        <v>22</v>
      </c>
      <c r="E1763" t="s">
        <v>27</v>
      </c>
      <c r="F1763" s="2">
        <v>186</v>
      </c>
      <c r="G1763" t="s">
        <v>12</v>
      </c>
      <c r="H1763" s="3">
        <v>59497.279999999999</v>
      </c>
      <c r="I1763" s="3">
        <v>1550542</v>
      </c>
      <c r="J1763" s="3">
        <v>1240433.6000000001</v>
      </c>
      <c r="K1763" s="3">
        <v>250611.11999999991</v>
      </c>
      <c r="L1763" t="s">
        <v>19</v>
      </c>
      <c r="M1763">
        <v>4.5</v>
      </c>
    </row>
    <row r="1764" spans="1:13" x14ac:dyDescent="0.25">
      <c r="A1764">
        <v>1763</v>
      </c>
      <c r="B1764" s="1">
        <v>43005</v>
      </c>
      <c r="C1764" s="1">
        <v>43213</v>
      </c>
      <c r="D1764" t="s">
        <v>22</v>
      </c>
      <c r="E1764" t="s">
        <v>28</v>
      </c>
      <c r="F1764" s="2">
        <v>73</v>
      </c>
      <c r="G1764" t="s">
        <v>11</v>
      </c>
      <c r="H1764" s="3">
        <v>26193.279999999999</v>
      </c>
      <c r="I1764" s="3">
        <v>714617</v>
      </c>
      <c r="J1764" s="3">
        <v>571693.6</v>
      </c>
      <c r="K1764" s="3">
        <v>116730.12000000002</v>
      </c>
      <c r="L1764" t="s">
        <v>18</v>
      </c>
      <c r="M1764">
        <v>4.8</v>
      </c>
    </row>
    <row r="1765" spans="1:13" x14ac:dyDescent="0.25">
      <c r="A1765">
        <v>1764</v>
      </c>
      <c r="B1765" s="1">
        <v>43005</v>
      </c>
      <c r="C1765" s="1">
        <v>43155</v>
      </c>
      <c r="D1765" t="s">
        <v>23</v>
      </c>
      <c r="E1765" t="s">
        <v>29</v>
      </c>
      <c r="F1765" s="2">
        <v>184</v>
      </c>
      <c r="G1765" t="s">
        <v>12</v>
      </c>
      <c r="H1765" s="3">
        <v>35724.559999999998</v>
      </c>
      <c r="I1765" s="3">
        <v>947549</v>
      </c>
      <c r="J1765" s="3">
        <v>758039.2</v>
      </c>
      <c r="K1765" s="3">
        <v>153785.24000000005</v>
      </c>
      <c r="L1765" t="s">
        <v>18</v>
      </c>
      <c r="M1765">
        <v>3.9</v>
      </c>
    </row>
    <row r="1766" spans="1:13" x14ac:dyDescent="0.25">
      <c r="A1766">
        <v>1765</v>
      </c>
      <c r="B1766" s="1">
        <v>43007</v>
      </c>
      <c r="C1766" s="1">
        <v>43370</v>
      </c>
      <c r="D1766" t="s">
        <v>21</v>
      </c>
      <c r="E1766" t="s">
        <v>26</v>
      </c>
      <c r="F1766" s="2">
        <v>115</v>
      </c>
      <c r="G1766" t="s">
        <v>11</v>
      </c>
      <c r="H1766" s="3">
        <v>18444.88</v>
      </c>
      <c r="I1766" s="3">
        <v>527382</v>
      </c>
      <c r="J1766" s="3">
        <v>421905.6</v>
      </c>
      <c r="K1766" s="3">
        <v>87031.520000000019</v>
      </c>
      <c r="L1766" t="s">
        <v>18</v>
      </c>
      <c r="M1766">
        <v>4.9000000000000004</v>
      </c>
    </row>
    <row r="1767" spans="1:13" x14ac:dyDescent="0.25">
      <c r="A1767">
        <v>1766</v>
      </c>
      <c r="B1767" s="1">
        <v>43007</v>
      </c>
      <c r="C1767" s="1">
        <v>43235</v>
      </c>
      <c r="D1767" t="s">
        <v>22</v>
      </c>
      <c r="E1767" t="s">
        <v>24</v>
      </c>
      <c r="F1767" s="2">
        <v>227</v>
      </c>
      <c r="G1767" t="s">
        <v>12</v>
      </c>
      <c r="H1767" s="3">
        <v>91273.96</v>
      </c>
      <c r="I1767" s="3">
        <v>2335859</v>
      </c>
      <c r="J1767" s="3">
        <v>1868687.2</v>
      </c>
      <c r="K1767" s="3">
        <v>375897.84</v>
      </c>
      <c r="L1767" t="s">
        <v>17</v>
      </c>
      <c r="M1767">
        <v>3.9</v>
      </c>
    </row>
    <row r="1768" spans="1:13" x14ac:dyDescent="0.25">
      <c r="A1768">
        <v>1767</v>
      </c>
      <c r="B1768" s="1">
        <v>43007</v>
      </c>
      <c r="C1768" s="1">
        <v>43115</v>
      </c>
      <c r="D1768" t="s">
        <v>21</v>
      </c>
      <c r="E1768" t="s">
        <v>13</v>
      </c>
      <c r="F1768" s="2">
        <v>77</v>
      </c>
      <c r="G1768" t="s">
        <v>12</v>
      </c>
      <c r="H1768" s="3">
        <v>29493.599999999999</v>
      </c>
      <c r="I1768" s="3">
        <v>800725</v>
      </c>
      <c r="J1768" s="3">
        <v>640580</v>
      </c>
      <c r="K1768" s="3">
        <v>130651.4</v>
      </c>
      <c r="L1768" t="s">
        <v>15</v>
      </c>
      <c r="M1768">
        <v>4.5999999999999996</v>
      </c>
    </row>
    <row r="1769" spans="1:13" x14ac:dyDescent="0.25">
      <c r="A1769">
        <v>1768</v>
      </c>
      <c r="B1769" s="1">
        <v>43008</v>
      </c>
      <c r="C1769" s="1">
        <v>43327</v>
      </c>
      <c r="D1769" t="s">
        <v>20</v>
      </c>
      <c r="E1769" t="s">
        <v>27</v>
      </c>
      <c r="F1769" s="2">
        <v>72</v>
      </c>
      <c r="G1769" t="s">
        <v>11</v>
      </c>
      <c r="H1769" s="3">
        <v>15473.12</v>
      </c>
      <c r="I1769" s="3">
        <v>445863</v>
      </c>
      <c r="J1769" s="3">
        <v>356690.4</v>
      </c>
      <c r="K1769" s="3">
        <v>73699.479999999981</v>
      </c>
      <c r="L1769" t="s">
        <v>19</v>
      </c>
      <c r="M1769">
        <v>4.3</v>
      </c>
    </row>
    <row r="1770" spans="1:13" x14ac:dyDescent="0.25">
      <c r="A1770">
        <v>1769</v>
      </c>
      <c r="B1770" s="1">
        <v>43009</v>
      </c>
      <c r="C1770" s="1">
        <v>43322</v>
      </c>
      <c r="D1770" t="s">
        <v>23</v>
      </c>
      <c r="E1770" t="s">
        <v>27</v>
      </c>
      <c r="F1770" s="2">
        <v>130</v>
      </c>
      <c r="G1770" t="s">
        <v>11</v>
      </c>
      <c r="H1770" s="3">
        <v>20878.72</v>
      </c>
      <c r="I1770" s="3">
        <v>586153</v>
      </c>
      <c r="J1770" s="3">
        <v>468922.4</v>
      </c>
      <c r="K1770" s="3">
        <v>96351.879999999976</v>
      </c>
      <c r="L1770" t="s">
        <v>15</v>
      </c>
      <c r="M1770">
        <v>4.9000000000000004</v>
      </c>
    </row>
    <row r="1771" spans="1:13" x14ac:dyDescent="0.25">
      <c r="A1771">
        <v>1770</v>
      </c>
      <c r="B1771" s="1">
        <v>43009</v>
      </c>
      <c r="C1771" s="1">
        <v>43121</v>
      </c>
      <c r="D1771" t="s">
        <v>22</v>
      </c>
      <c r="E1771" t="s">
        <v>27</v>
      </c>
      <c r="F1771" s="2">
        <v>161</v>
      </c>
      <c r="G1771" t="s">
        <v>12</v>
      </c>
      <c r="H1771" s="3">
        <v>34070.480000000003</v>
      </c>
      <c r="I1771" s="3">
        <v>915197</v>
      </c>
      <c r="J1771" s="3">
        <v>732157.6</v>
      </c>
      <c r="K1771" s="3">
        <v>148968.92000000001</v>
      </c>
      <c r="L1771" t="s">
        <v>18</v>
      </c>
      <c r="M1771">
        <v>3.8</v>
      </c>
    </row>
    <row r="1772" spans="1:13" x14ac:dyDescent="0.25">
      <c r="A1772">
        <v>1771</v>
      </c>
      <c r="B1772" s="1">
        <v>43009</v>
      </c>
      <c r="C1772" s="1">
        <v>43159</v>
      </c>
      <c r="D1772" t="s">
        <v>21</v>
      </c>
      <c r="E1772" t="s">
        <v>26</v>
      </c>
      <c r="F1772" s="2">
        <v>279</v>
      </c>
      <c r="G1772" t="s">
        <v>12</v>
      </c>
      <c r="H1772" s="3">
        <v>70085</v>
      </c>
      <c r="I1772" s="3">
        <v>1816310</v>
      </c>
      <c r="J1772" s="3">
        <v>1453048</v>
      </c>
      <c r="K1772" s="3">
        <v>293177</v>
      </c>
      <c r="L1772" t="s">
        <v>18</v>
      </c>
      <c r="M1772">
        <v>4.2</v>
      </c>
    </row>
    <row r="1773" spans="1:13" x14ac:dyDescent="0.25">
      <c r="A1773">
        <v>1772</v>
      </c>
      <c r="B1773" s="1">
        <v>43009</v>
      </c>
      <c r="C1773" s="1">
        <v>43242</v>
      </c>
      <c r="D1773" t="s">
        <v>22</v>
      </c>
      <c r="E1773" t="s">
        <v>29</v>
      </c>
      <c r="F1773" s="2">
        <v>143</v>
      </c>
      <c r="G1773" t="s">
        <v>11</v>
      </c>
      <c r="H1773" s="3">
        <v>25164.52</v>
      </c>
      <c r="I1773" s="3">
        <v>681173</v>
      </c>
      <c r="J1773" s="3">
        <v>544938.4</v>
      </c>
      <c r="K1773" s="3">
        <v>111070.07999999997</v>
      </c>
      <c r="L1773" t="s">
        <v>17</v>
      </c>
      <c r="M1773">
        <v>4</v>
      </c>
    </row>
    <row r="1774" spans="1:13" x14ac:dyDescent="0.25">
      <c r="A1774">
        <v>1773</v>
      </c>
      <c r="B1774" s="1">
        <v>43009</v>
      </c>
      <c r="C1774" s="1">
        <v>43240</v>
      </c>
      <c r="D1774" t="s">
        <v>22</v>
      </c>
      <c r="E1774" t="s">
        <v>27</v>
      </c>
      <c r="F1774" s="2">
        <v>126</v>
      </c>
      <c r="G1774" t="s">
        <v>12</v>
      </c>
      <c r="H1774" s="3">
        <v>32927.040000000001</v>
      </c>
      <c r="I1774" s="3">
        <v>886961</v>
      </c>
      <c r="J1774" s="3">
        <v>709568.8</v>
      </c>
      <c r="K1774" s="3">
        <v>144465.15999999995</v>
      </c>
      <c r="L1774" t="s">
        <v>17</v>
      </c>
      <c r="M1774">
        <v>4.5</v>
      </c>
    </row>
    <row r="1775" spans="1:13" x14ac:dyDescent="0.25">
      <c r="A1775">
        <v>1774</v>
      </c>
      <c r="B1775" s="1">
        <v>43009</v>
      </c>
      <c r="C1775" s="1">
        <v>43099</v>
      </c>
      <c r="D1775" t="s">
        <v>22</v>
      </c>
      <c r="E1775" t="s">
        <v>27</v>
      </c>
      <c r="F1775" s="2">
        <v>189</v>
      </c>
      <c r="G1775" t="s">
        <v>12</v>
      </c>
      <c r="H1775" s="3">
        <v>40710.6</v>
      </c>
      <c r="I1775" s="3">
        <v>1070000</v>
      </c>
      <c r="J1775" s="3">
        <v>856000</v>
      </c>
      <c r="K1775" s="3">
        <v>173289.4</v>
      </c>
      <c r="L1775" t="s">
        <v>15</v>
      </c>
      <c r="M1775">
        <v>4.0999999999999996</v>
      </c>
    </row>
    <row r="1776" spans="1:13" x14ac:dyDescent="0.25">
      <c r="A1776">
        <v>1775</v>
      </c>
      <c r="B1776" s="1">
        <v>43009</v>
      </c>
      <c r="C1776" s="1">
        <v>43328</v>
      </c>
      <c r="D1776" t="s">
        <v>20</v>
      </c>
      <c r="E1776" t="s">
        <v>25</v>
      </c>
      <c r="F1776" s="2">
        <v>47</v>
      </c>
      <c r="G1776" t="s">
        <v>11</v>
      </c>
      <c r="H1776" s="3">
        <v>17206.52</v>
      </c>
      <c r="I1776" s="3">
        <v>482798</v>
      </c>
      <c r="J1776" s="3">
        <v>386238.4</v>
      </c>
      <c r="K1776" s="3">
        <v>79353.079999999973</v>
      </c>
      <c r="L1776" t="s">
        <v>15</v>
      </c>
      <c r="M1776">
        <v>4.8</v>
      </c>
    </row>
    <row r="1777" spans="1:13" x14ac:dyDescent="0.25">
      <c r="A1777">
        <v>1776</v>
      </c>
      <c r="B1777" s="1">
        <v>43009</v>
      </c>
      <c r="C1777" s="1">
        <v>43313</v>
      </c>
      <c r="D1777" t="s">
        <v>21</v>
      </c>
      <c r="E1777" t="s">
        <v>27</v>
      </c>
      <c r="F1777" s="2">
        <v>224</v>
      </c>
      <c r="G1777" t="s">
        <v>12</v>
      </c>
      <c r="H1777" s="3">
        <v>87515.68</v>
      </c>
      <c r="I1777" s="3">
        <v>2251602</v>
      </c>
      <c r="J1777" s="3">
        <v>1801281.6</v>
      </c>
      <c r="K1777" s="3">
        <v>362804.71999999991</v>
      </c>
      <c r="L1777" t="s">
        <v>17</v>
      </c>
      <c r="M1777">
        <v>4.4000000000000004</v>
      </c>
    </row>
    <row r="1778" spans="1:13" x14ac:dyDescent="0.25">
      <c r="A1778">
        <v>1777</v>
      </c>
      <c r="B1778" s="1">
        <v>43010</v>
      </c>
      <c r="C1778" s="1">
        <v>43289</v>
      </c>
      <c r="D1778" t="s">
        <v>22</v>
      </c>
      <c r="E1778" t="s">
        <v>25</v>
      </c>
      <c r="F1778" s="2">
        <v>275</v>
      </c>
      <c r="G1778" t="s">
        <v>12</v>
      </c>
      <c r="H1778" s="3">
        <v>59672.52</v>
      </c>
      <c r="I1778" s="3">
        <v>1549223</v>
      </c>
      <c r="J1778" s="3">
        <v>1239378.3999999999</v>
      </c>
      <c r="K1778" s="3">
        <v>250172.0800000001</v>
      </c>
      <c r="L1778" t="s">
        <v>19</v>
      </c>
      <c r="M1778">
        <v>4.7</v>
      </c>
    </row>
    <row r="1779" spans="1:13" x14ac:dyDescent="0.25">
      <c r="A1779">
        <v>1778</v>
      </c>
      <c r="B1779" s="1">
        <v>43010</v>
      </c>
      <c r="C1779" s="1">
        <v>43234</v>
      </c>
      <c r="D1779" t="s">
        <v>20</v>
      </c>
      <c r="E1779" t="s">
        <v>13</v>
      </c>
      <c r="F1779" s="2">
        <v>197</v>
      </c>
      <c r="G1779" t="s">
        <v>12</v>
      </c>
      <c r="H1779" s="3">
        <v>76576.12</v>
      </c>
      <c r="I1779" s="3">
        <v>1965713</v>
      </c>
      <c r="J1779" s="3">
        <v>1572570.4</v>
      </c>
      <c r="K1779" s="3">
        <v>316566.4800000001</v>
      </c>
      <c r="L1779" t="s">
        <v>15</v>
      </c>
      <c r="M1779">
        <v>3.9</v>
      </c>
    </row>
    <row r="1780" spans="1:13" x14ac:dyDescent="0.25">
      <c r="A1780">
        <v>1779</v>
      </c>
      <c r="B1780" s="1">
        <v>43010</v>
      </c>
      <c r="C1780" s="1">
        <v>43118</v>
      </c>
      <c r="D1780" t="s">
        <v>23</v>
      </c>
      <c r="E1780" t="s">
        <v>26</v>
      </c>
      <c r="F1780" s="2">
        <v>62</v>
      </c>
      <c r="G1780" t="s">
        <v>11</v>
      </c>
      <c r="H1780" s="3">
        <v>23577.84</v>
      </c>
      <c r="I1780" s="3">
        <v>649981</v>
      </c>
      <c r="J1780" s="3">
        <v>519984.8</v>
      </c>
      <c r="K1780" s="3">
        <v>106418.36000000002</v>
      </c>
      <c r="L1780" t="s">
        <v>17</v>
      </c>
      <c r="M1780">
        <v>4.8</v>
      </c>
    </row>
    <row r="1781" spans="1:13" x14ac:dyDescent="0.25">
      <c r="A1781">
        <v>1780</v>
      </c>
      <c r="B1781" s="1">
        <v>43010</v>
      </c>
      <c r="C1781" s="1">
        <v>43260</v>
      </c>
      <c r="D1781" t="s">
        <v>21</v>
      </c>
      <c r="E1781" t="s">
        <v>28</v>
      </c>
      <c r="F1781" s="2">
        <v>174</v>
      </c>
      <c r="G1781" t="s">
        <v>12</v>
      </c>
      <c r="H1781" s="3">
        <v>37964.400000000001</v>
      </c>
      <c r="I1781" s="3">
        <v>1016045</v>
      </c>
      <c r="J1781" s="3">
        <v>812836</v>
      </c>
      <c r="K1781" s="3">
        <v>165244.6</v>
      </c>
      <c r="L1781" t="s">
        <v>18</v>
      </c>
      <c r="M1781">
        <v>4.2</v>
      </c>
    </row>
    <row r="1782" spans="1:13" x14ac:dyDescent="0.25">
      <c r="A1782">
        <v>1781</v>
      </c>
      <c r="B1782" s="1">
        <v>43010</v>
      </c>
      <c r="C1782" s="1">
        <v>43308</v>
      </c>
      <c r="D1782" t="s">
        <v>20</v>
      </c>
      <c r="E1782" t="s">
        <v>28</v>
      </c>
      <c r="F1782" s="2">
        <v>49</v>
      </c>
      <c r="G1782" t="s">
        <v>11</v>
      </c>
      <c r="H1782" s="3">
        <v>9540.4</v>
      </c>
      <c r="I1782" s="3">
        <v>300870</v>
      </c>
      <c r="J1782" s="3">
        <v>240696</v>
      </c>
      <c r="K1782" s="3">
        <v>50633.599999999999</v>
      </c>
      <c r="L1782" t="s">
        <v>16</v>
      </c>
      <c r="M1782">
        <v>3.8</v>
      </c>
    </row>
    <row r="1783" spans="1:13" x14ac:dyDescent="0.25">
      <c r="A1783">
        <v>1782</v>
      </c>
      <c r="B1783" s="1">
        <v>43010</v>
      </c>
      <c r="C1783" s="1">
        <v>43307</v>
      </c>
      <c r="D1783" t="s">
        <v>23</v>
      </c>
      <c r="E1783" t="s">
        <v>13</v>
      </c>
      <c r="F1783" s="2">
        <v>253</v>
      </c>
      <c r="G1783" t="s">
        <v>12</v>
      </c>
      <c r="H1783" s="3">
        <v>44649.08</v>
      </c>
      <c r="I1783" s="3">
        <v>1183037</v>
      </c>
      <c r="J1783" s="3">
        <v>946429.6</v>
      </c>
      <c r="K1783" s="3">
        <v>191958.32</v>
      </c>
      <c r="L1783" t="s">
        <v>19</v>
      </c>
      <c r="M1783">
        <v>4.3</v>
      </c>
    </row>
    <row r="1784" spans="1:13" x14ac:dyDescent="0.25">
      <c r="A1784">
        <v>1783</v>
      </c>
      <c r="B1784" s="1">
        <v>43011</v>
      </c>
      <c r="C1784" s="1">
        <v>43214</v>
      </c>
      <c r="D1784" t="s">
        <v>20</v>
      </c>
      <c r="E1784" t="s">
        <v>29</v>
      </c>
      <c r="F1784" s="2">
        <v>297</v>
      </c>
      <c r="G1784" t="s">
        <v>12</v>
      </c>
      <c r="H1784" s="3">
        <v>59491</v>
      </c>
      <c r="I1784" s="3">
        <v>1542785</v>
      </c>
      <c r="J1784" s="3">
        <v>1234228</v>
      </c>
      <c r="K1784" s="3">
        <v>249066</v>
      </c>
      <c r="L1784" t="s">
        <v>15</v>
      </c>
      <c r="M1784">
        <v>4.0999999999999996</v>
      </c>
    </row>
    <row r="1785" spans="1:13" x14ac:dyDescent="0.25">
      <c r="A1785">
        <v>1784</v>
      </c>
      <c r="B1785" s="1">
        <v>43011</v>
      </c>
      <c r="C1785" s="1">
        <v>43245</v>
      </c>
      <c r="D1785" t="s">
        <v>20</v>
      </c>
      <c r="E1785" t="s">
        <v>25</v>
      </c>
      <c r="F1785" s="2">
        <v>81</v>
      </c>
      <c r="G1785" t="s">
        <v>12</v>
      </c>
      <c r="H1785" s="3">
        <v>31418.6</v>
      </c>
      <c r="I1785" s="3">
        <v>845600</v>
      </c>
      <c r="J1785" s="3">
        <v>676480</v>
      </c>
      <c r="K1785" s="3">
        <v>137701.4</v>
      </c>
      <c r="L1785" t="s">
        <v>18</v>
      </c>
      <c r="M1785">
        <v>4.5</v>
      </c>
    </row>
    <row r="1786" spans="1:13" x14ac:dyDescent="0.25">
      <c r="A1786">
        <v>1785</v>
      </c>
      <c r="B1786" s="1">
        <v>43011</v>
      </c>
      <c r="C1786" s="1">
        <v>43158</v>
      </c>
      <c r="D1786" t="s">
        <v>20</v>
      </c>
      <c r="E1786" t="s">
        <v>27</v>
      </c>
      <c r="F1786" s="2">
        <v>54</v>
      </c>
      <c r="G1786" t="s">
        <v>11</v>
      </c>
      <c r="H1786" s="3">
        <v>9506</v>
      </c>
      <c r="I1786" s="3">
        <v>294210</v>
      </c>
      <c r="J1786" s="3">
        <v>235368</v>
      </c>
      <c r="K1786" s="3">
        <v>49336</v>
      </c>
      <c r="L1786" t="s">
        <v>17</v>
      </c>
      <c r="M1786">
        <v>3.6</v>
      </c>
    </row>
    <row r="1787" spans="1:13" x14ac:dyDescent="0.25">
      <c r="A1787">
        <v>1786</v>
      </c>
      <c r="B1787" s="1">
        <v>43011</v>
      </c>
      <c r="C1787" s="1">
        <v>43371</v>
      </c>
      <c r="D1787" t="s">
        <v>20</v>
      </c>
      <c r="E1787" t="s">
        <v>28</v>
      </c>
      <c r="F1787" s="2">
        <v>77</v>
      </c>
      <c r="G1787" t="s">
        <v>11</v>
      </c>
      <c r="H1787" s="3">
        <v>13698.24</v>
      </c>
      <c r="I1787" s="3">
        <v>395891</v>
      </c>
      <c r="J1787" s="3">
        <v>316712.8</v>
      </c>
      <c r="K1787" s="3">
        <v>65479.960000000014</v>
      </c>
      <c r="L1787" t="s">
        <v>15</v>
      </c>
      <c r="M1787">
        <v>4.5</v>
      </c>
    </row>
    <row r="1788" spans="1:13" x14ac:dyDescent="0.25">
      <c r="A1788">
        <v>1787</v>
      </c>
      <c r="B1788" s="1">
        <v>43011</v>
      </c>
      <c r="C1788" s="1">
        <v>43261</v>
      </c>
      <c r="D1788" t="s">
        <v>22</v>
      </c>
      <c r="E1788" t="s">
        <v>26</v>
      </c>
      <c r="F1788" s="2">
        <v>293</v>
      </c>
      <c r="G1788" t="s">
        <v>12</v>
      </c>
      <c r="H1788" s="3">
        <v>105729.88</v>
      </c>
      <c r="I1788" s="3">
        <v>2705957</v>
      </c>
      <c r="J1788" s="3">
        <v>2164765.6</v>
      </c>
      <c r="K1788" s="3">
        <v>435461.5199999999</v>
      </c>
      <c r="L1788" t="s">
        <v>16</v>
      </c>
      <c r="M1788">
        <v>4.3</v>
      </c>
    </row>
    <row r="1789" spans="1:13" x14ac:dyDescent="0.25">
      <c r="A1789">
        <v>1788</v>
      </c>
      <c r="B1789" s="1">
        <v>43011</v>
      </c>
      <c r="C1789" s="1">
        <v>43295</v>
      </c>
      <c r="D1789" t="s">
        <v>23</v>
      </c>
      <c r="E1789" t="s">
        <v>24</v>
      </c>
      <c r="F1789" s="2">
        <v>80</v>
      </c>
      <c r="G1789" t="s">
        <v>11</v>
      </c>
      <c r="H1789" s="3">
        <v>25620.400000000001</v>
      </c>
      <c r="I1789" s="3">
        <v>695320</v>
      </c>
      <c r="J1789" s="3">
        <v>556256</v>
      </c>
      <c r="K1789" s="3">
        <v>113443.6</v>
      </c>
      <c r="L1789" t="s">
        <v>19</v>
      </c>
      <c r="M1789">
        <v>4</v>
      </c>
    </row>
    <row r="1790" spans="1:13" x14ac:dyDescent="0.25">
      <c r="A1790">
        <v>1789</v>
      </c>
      <c r="B1790" s="1">
        <v>43012</v>
      </c>
      <c r="C1790" s="1">
        <v>43105</v>
      </c>
      <c r="D1790" t="s">
        <v>22</v>
      </c>
      <c r="E1790" t="s">
        <v>13</v>
      </c>
      <c r="F1790" s="2">
        <v>78</v>
      </c>
      <c r="G1790" t="s">
        <v>11</v>
      </c>
      <c r="H1790" s="3">
        <v>29134</v>
      </c>
      <c r="I1790" s="3">
        <v>785760</v>
      </c>
      <c r="J1790" s="3">
        <v>628608</v>
      </c>
      <c r="K1790" s="3">
        <v>128018</v>
      </c>
      <c r="L1790" t="s">
        <v>18</v>
      </c>
      <c r="M1790">
        <v>3.9</v>
      </c>
    </row>
    <row r="1791" spans="1:13" x14ac:dyDescent="0.25">
      <c r="A1791">
        <v>1790</v>
      </c>
      <c r="B1791" s="1">
        <v>43012</v>
      </c>
      <c r="C1791" s="1">
        <v>43323</v>
      </c>
      <c r="D1791" t="s">
        <v>22</v>
      </c>
      <c r="E1791" t="s">
        <v>25</v>
      </c>
      <c r="F1791" s="2">
        <v>235</v>
      </c>
      <c r="G1791" t="s">
        <v>12</v>
      </c>
      <c r="H1791" s="3">
        <v>86751.56</v>
      </c>
      <c r="I1791" s="3">
        <v>2220849</v>
      </c>
      <c r="J1791" s="3">
        <v>1776679.2</v>
      </c>
      <c r="K1791" s="3">
        <v>357418.24000000005</v>
      </c>
      <c r="L1791" t="s">
        <v>19</v>
      </c>
      <c r="M1791">
        <v>4.7</v>
      </c>
    </row>
    <row r="1792" spans="1:13" x14ac:dyDescent="0.25">
      <c r="A1792">
        <v>1791</v>
      </c>
      <c r="B1792" s="1">
        <v>43012</v>
      </c>
      <c r="C1792" s="1">
        <v>43244</v>
      </c>
      <c r="D1792" t="s">
        <v>22</v>
      </c>
      <c r="E1792" t="s">
        <v>25</v>
      </c>
      <c r="F1792" s="2">
        <v>222</v>
      </c>
      <c r="G1792" t="s">
        <v>12</v>
      </c>
      <c r="H1792" s="3">
        <v>68869.679999999993</v>
      </c>
      <c r="I1792" s="3">
        <v>1783877</v>
      </c>
      <c r="J1792" s="3">
        <v>1427101.6</v>
      </c>
      <c r="K1792" s="3">
        <v>287905.71999999991</v>
      </c>
      <c r="L1792" t="s">
        <v>14</v>
      </c>
      <c r="M1792">
        <v>4.3</v>
      </c>
    </row>
    <row r="1793" spans="1:13" x14ac:dyDescent="0.25">
      <c r="A1793">
        <v>1792</v>
      </c>
      <c r="B1793" s="1">
        <v>43013</v>
      </c>
      <c r="C1793" s="1">
        <v>43375</v>
      </c>
      <c r="D1793" t="s">
        <v>21</v>
      </c>
      <c r="E1793" t="s">
        <v>27</v>
      </c>
      <c r="F1793" s="2">
        <v>100</v>
      </c>
      <c r="G1793" t="s">
        <v>12</v>
      </c>
      <c r="H1793" s="3">
        <v>30983.599999999999</v>
      </c>
      <c r="I1793" s="3">
        <v>841025</v>
      </c>
      <c r="J1793" s="3">
        <v>672820</v>
      </c>
      <c r="K1793" s="3">
        <v>137221.4</v>
      </c>
      <c r="L1793" t="s">
        <v>15</v>
      </c>
      <c r="M1793">
        <v>4.4000000000000004</v>
      </c>
    </row>
    <row r="1794" spans="1:13" x14ac:dyDescent="0.25">
      <c r="A1794">
        <v>1793</v>
      </c>
      <c r="B1794" s="1">
        <v>43013</v>
      </c>
      <c r="C1794" s="1">
        <v>43159</v>
      </c>
      <c r="D1794" t="s">
        <v>23</v>
      </c>
      <c r="E1794" t="s">
        <v>26</v>
      </c>
      <c r="F1794" s="2">
        <v>271</v>
      </c>
      <c r="G1794" t="s">
        <v>12</v>
      </c>
      <c r="H1794" s="3">
        <v>69509.08</v>
      </c>
      <c r="I1794" s="3">
        <v>1789537</v>
      </c>
      <c r="J1794" s="3">
        <v>1431629.6</v>
      </c>
      <c r="K1794" s="3">
        <v>288398.31999999989</v>
      </c>
      <c r="L1794" t="s">
        <v>16</v>
      </c>
      <c r="M1794">
        <v>4</v>
      </c>
    </row>
    <row r="1795" spans="1:13" x14ac:dyDescent="0.25">
      <c r="A1795">
        <v>1794</v>
      </c>
      <c r="B1795" s="1">
        <v>43013</v>
      </c>
      <c r="C1795" s="1">
        <v>43146</v>
      </c>
      <c r="D1795" t="s">
        <v>22</v>
      </c>
      <c r="E1795" t="s">
        <v>28</v>
      </c>
      <c r="F1795" s="2">
        <v>114</v>
      </c>
      <c r="G1795" t="s">
        <v>12</v>
      </c>
      <c r="H1795" s="3">
        <v>38210.559999999998</v>
      </c>
      <c r="I1795" s="3">
        <v>1006799</v>
      </c>
      <c r="J1795" s="3">
        <v>805439.2</v>
      </c>
      <c r="K1795" s="3">
        <v>163149.24000000005</v>
      </c>
      <c r="L1795" t="s">
        <v>19</v>
      </c>
      <c r="M1795">
        <v>4.8</v>
      </c>
    </row>
    <row r="1796" spans="1:13" x14ac:dyDescent="0.25">
      <c r="A1796">
        <v>1795</v>
      </c>
      <c r="B1796" s="1">
        <v>43013</v>
      </c>
      <c r="C1796" s="1">
        <v>43223</v>
      </c>
      <c r="D1796" t="s">
        <v>20</v>
      </c>
      <c r="E1796" t="s">
        <v>25</v>
      </c>
      <c r="F1796" s="2">
        <v>217</v>
      </c>
      <c r="G1796" t="s">
        <v>12</v>
      </c>
      <c r="H1796" s="3">
        <v>56162.400000000001</v>
      </c>
      <c r="I1796" s="3">
        <v>1456645</v>
      </c>
      <c r="J1796" s="3">
        <v>1165316</v>
      </c>
      <c r="K1796" s="3">
        <v>235166.6</v>
      </c>
      <c r="L1796" t="s">
        <v>17</v>
      </c>
      <c r="M1796">
        <v>4.5</v>
      </c>
    </row>
    <row r="1797" spans="1:13" x14ac:dyDescent="0.25">
      <c r="A1797">
        <v>1796</v>
      </c>
      <c r="B1797" s="1">
        <v>43014</v>
      </c>
      <c r="C1797" s="1">
        <v>43251</v>
      </c>
      <c r="D1797" t="s">
        <v>23</v>
      </c>
      <c r="E1797" t="s">
        <v>25</v>
      </c>
      <c r="F1797" s="2">
        <v>201</v>
      </c>
      <c r="G1797" t="s">
        <v>12</v>
      </c>
      <c r="H1797" s="3">
        <v>71822.2</v>
      </c>
      <c r="I1797" s="3">
        <v>1848165</v>
      </c>
      <c r="J1797" s="3">
        <v>1478532</v>
      </c>
      <c r="K1797" s="3">
        <v>297810.8</v>
      </c>
      <c r="L1797" t="s">
        <v>17</v>
      </c>
      <c r="M1797">
        <v>4.5</v>
      </c>
    </row>
    <row r="1798" spans="1:13" x14ac:dyDescent="0.25">
      <c r="A1798">
        <v>1797</v>
      </c>
      <c r="B1798" s="1">
        <v>43014</v>
      </c>
      <c r="C1798" s="1">
        <v>43379</v>
      </c>
      <c r="D1798" t="s">
        <v>23</v>
      </c>
      <c r="E1798" t="s">
        <v>27</v>
      </c>
      <c r="F1798" s="2">
        <v>128</v>
      </c>
      <c r="G1798" t="s">
        <v>12</v>
      </c>
      <c r="H1798" s="3">
        <v>34444.800000000003</v>
      </c>
      <c r="I1798" s="3">
        <v>918905</v>
      </c>
      <c r="J1798" s="3">
        <v>735124</v>
      </c>
      <c r="K1798" s="3">
        <v>149336.20000000001</v>
      </c>
      <c r="L1798" t="s">
        <v>14</v>
      </c>
      <c r="M1798">
        <v>4.3</v>
      </c>
    </row>
    <row r="1799" spans="1:13" x14ac:dyDescent="0.25">
      <c r="A1799">
        <v>1798</v>
      </c>
      <c r="B1799" s="1">
        <v>43014</v>
      </c>
      <c r="C1799" s="1">
        <v>43253</v>
      </c>
      <c r="D1799" t="s">
        <v>22</v>
      </c>
      <c r="E1799" t="s">
        <v>27</v>
      </c>
      <c r="F1799" s="2">
        <v>204</v>
      </c>
      <c r="G1799" t="s">
        <v>12</v>
      </c>
      <c r="H1799" s="3">
        <v>60323.92</v>
      </c>
      <c r="I1799" s="3">
        <v>1559483</v>
      </c>
      <c r="J1799" s="3">
        <v>1247586.3999999999</v>
      </c>
      <c r="K1799" s="3">
        <v>251572.68000000011</v>
      </c>
      <c r="L1799" t="s">
        <v>19</v>
      </c>
      <c r="M1799">
        <v>4.4000000000000004</v>
      </c>
    </row>
    <row r="1800" spans="1:13" x14ac:dyDescent="0.25">
      <c r="A1800">
        <v>1799</v>
      </c>
      <c r="B1800" s="1">
        <v>43014</v>
      </c>
      <c r="C1800" s="1">
        <v>43269</v>
      </c>
      <c r="D1800" t="s">
        <v>23</v>
      </c>
      <c r="E1800" t="s">
        <v>24</v>
      </c>
      <c r="F1800" s="2">
        <v>285</v>
      </c>
      <c r="G1800" t="s">
        <v>12</v>
      </c>
      <c r="H1800" s="3">
        <v>89173.04</v>
      </c>
      <c r="I1800" s="3">
        <v>2286061</v>
      </c>
      <c r="J1800" s="3">
        <v>1828848.8</v>
      </c>
      <c r="K1800" s="3">
        <v>368039.16</v>
      </c>
      <c r="L1800" t="s">
        <v>14</v>
      </c>
      <c r="M1800">
        <v>3.9</v>
      </c>
    </row>
    <row r="1801" spans="1:13" x14ac:dyDescent="0.25">
      <c r="A1801">
        <v>1800</v>
      </c>
      <c r="B1801" s="1">
        <v>43014</v>
      </c>
      <c r="C1801" s="1">
        <v>43314</v>
      </c>
      <c r="D1801" t="s">
        <v>23</v>
      </c>
      <c r="E1801" t="s">
        <v>24</v>
      </c>
      <c r="F1801" s="2">
        <v>155</v>
      </c>
      <c r="G1801" t="s">
        <v>12</v>
      </c>
      <c r="H1801" s="3">
        <v>52105.8</v>
      </c>
      <c r="I1801" s="3">
        <v>1356005</v>
      </c>
      <c r="J1801" s="3">
        <v>1084804</v>
      </c>
      <c r="K1801" s="3">
        <v>219095.2</v>
      </c>
      <c r="L1801" t="s">
        <v>17</v>
      </c>
      <c r="M1801">
        <v>3.7</v>
      </c>
    </row>
    <row r="1802" spans="1:13" x14ac:dyDescent="0.25">
      <c r="A1802">
        <v>1801</v>
      </c>
      <c r="B1802" s="1">
        <v>43014</v>
      </c>
      <c r="C1802" s="1">
        <v>43310</v>
      </c>
      <c r="D1802" t="s">
        <v>21</v>
      </c>
      <c r="E1802" t="s">
        <v>25</v>
      </c>
      <c r="F1802" s="2">
        <v>121</v>
      </c>
      <c r="G1802" t="s">
        <v>12</v>
      </c>
      <c r="H1802" s="3">
        <v>46947.88</v>
      </c>
      <c r="I1802" s="3">
        <v>1241207</v>
      </c>
      <c r="J1802" s="3">
        <v>992965.6</v>
      </c>
      <c r="K1802" s="3">
        <v>201293.52000000002</v>
      </c>
      <c r="L1802" t="s">
        <v>16</v>
      </c>
      <c r="M1802">
        <v>3.7</v>
      </c>
    </row>
    <row r="1803" spans="1:13" x14ac:dyDescent="0.25">
      <c r="A1803">
        <v>1802</v>
      </c>
      <c r="B1803" s="1">
        <v>43015</v>
      </c>
      <c r="C1803" s="1">
        <v>43270</v>
      </c>
      <c r="D1803" t="s">
        <v>23</v>
      </c>
      <c r="E1803" t="s">
        <v>13</v>
      </c>
      <c r="F1803" s="2">
        <v>151</v>
      </c>
      <c r="G1803" t="s">
        <v>12</v>
      </c>
      <c r="H1803" s="3">
        <v>35240.239999999998</v>
      </c>
      <c r="I1803" s="3">
        <v>946091</v>
      </c>
      <c r="J1803" s="3">
        <v>756872.8</v>
      </c>
      <c r="K1803" s="3">
        <v>153977.95999999996</v>
      </c>
      <c r="L1803" t="s">
        <v>14</v>
      </c>
      <c r="M1803">
        <v>3.8</v>
      </c>
    </row>
    <row r="1804" spans="1:13" x14ac:dyDescent="0.25">
      <c r="A1804">
        <v>1803</v>
      </c>
      <c r="B1804" s="1">
        <v>43015</v>
      </c>
      <c r="C1804" s="1">
        <v>43353</v>
      </c>
      <c r="D1804" t="s">
        <v>21</v>
      </c>
      <c r="E1804" t="s">
        <v>25</v>
      </c>
      <c r="F1804" s="2">
        <v>249</v>
      </c>
      <c r="G1804" t="s">
        <v>12</v>
      </c>
      <c r="H1804" s="3">
        <v>94382.12</v>
      </c>
      <c r="I1804" s="3">
        <v>2414938</v>
      </c>
      <c r="J1804" s="3">
        <v>1931950.4</v>
      </c>
      <c r="K1804" s="3">
        <v>388605.4800000001</v>
      </c>
      <c r="L1804" t="s">
        <v>19</v>
      </c>
      <c r="M1804">
        <v>3.9</v>
      </c>
    </row>
    <row r="1805" spans="1:13" x14ac:dyDescent="0.25">
      <c r="A1805">
        <v>1804</v>
      </c>
      <c r="B1805" s="1">
        <v>43015</v>
      </c>
      <c r="C1805" s="1">
        <v>43123</v>
      </c>
      <c r="D1805" t="s">
        <v>21</v>
      </c>
      <c r="E1805" t="s">
        <v>13</v>
      </c>
      <c r="F1805" s="2">
        <v>110</v>
      </c>
      <c r="G1805" t="s">
        <v>12</v>
      </c>
      <c r="H1805" s="3">
        <v>33125.440000000002</v>
      </c>
      <c r="I1805" s="3">
        <v>894421</v>
      </c>
      <c r="J1805" s="3">
        <v>715536.8</v>
      </c>
      <c r="K1805" s="3">
        <v>145758.75999999995</v>
      </c>
      <c r="L1805" t="s">
        <v>19</v>
      </c>
      <c r="M1805">
        <v>4</v>
      </c>
    </row>
    <row r="1806" spans="1:13" x14ac:dyDescent="0.25">
      <c r="A1806">
        <v>1805</v>
      </c>
      <c r="B1806" s="1">
        <v>43015</v>
      </c>
      <c r="C1806" s="1">
        <v>43300</v>
      </c>
      <c r="D1806" t="s">
        <v>21</v>
      </c>
      <c r="E1806" t="s">
        <v>24</v>
      </c>
      <c r="F1806" s="2">
        <v>239</v>
      </c>
      <c r="G1806" t="s">
        <v>12</v>
      </c>
      <c r="H1806" s="3">
        <v>77764.160000000003</v>
      </c>
      <c r="I1806" s="3">
        <v>1999589</v>
      </c>
      <c r="J1806" s="3">
        <v>1599671.2</v>
      </c>
      <c r="K1806" s="3">
        <v>322153.64</v>
      </c>
      <c r="L1806" t="s">
        <v>15</v>
      </c>
      <c r="M1806">
        <v>4</v>
      </c>
    </row>
    <row r="1807" spans="1:13" x14ac:dyDescent="0.25">
      <c r="A1807">
        <v>1806</v>
      </c>
      <c r="B1807" s="1">
        <v>43016</v>
      </c>
      <c r="C1807" s="1">
        <v>43133</v>
      </c>
      <c r="D1807" t="s">
        <v>20</v>
      </c>
      <c r="E1807" t="s">
        <v>24</v>
      </c>
      <c r="F1807" s="2">
        <v>260</v>
      </c>
      <c r="G1807" t="s">
        <v>12</v>
      </c>
      <c r="H1807" s="3">
        <v>44694.080000000002</v>
      </c>
      <c r="I1807" s="3">
        <v>1169837</v>
      </c>
      <c r="J1807" s="3">
        <v>935869.6</v>
      </c>
      <c r="K1807" s="3">
        <v>189273.32</v>
      </c>
      <c r="L1807" t="s">
        <v>15</v>
      </c>
      <c r="M1807">
        <v>5</v>
      </c>
    </row>
    <row r="1808" spans="1:13" x14ac:dyDescent="0.25">
      <c r="A1808">
        <v>1807</v>
      </c>
      <c r="B1808" s="1">
        <v>43017</v>
      </c>
      <c r="C1808" s="1">
        <v>43344</v>
      </c>
      <c r="D1808" t="s">
        <v>21</v>
      </c>
      <c r="E1808" t="s">
        <v>28</v>
      </c>
      <c r="F1808" s="2">
        <v>207</v>
      </c>
      <c r="G1808" t="s">
        <v>12</v>
      </c>
      <c r="H1808" s="3">
        <v>49084.24</v>
      </c>
      <c r="I1808" s="3">
        <v>1280541</v>
      </c>
      <c r="J1808" s="3">
        <v>1024432.8</v>
      </c>
      <c r="K1808" s="3">
        <v>207023.95999999996</v>
      </c>
      <c r="L1808" t="s">
        <v>18</v>
      </c>
      <c r="M1808">
        <v>3.8</v>
      </c>
    </row>
    <row r="1809" spans="1:13" x14ac:dyDescent="0.25">
      <c r="A1809">
        <v>1808</v>
      </c>
      <c r="B1809" s="1">
        <v>43017</v>
      </c>
      <c r="C1809" s="1">
        <v>43259</v>
      </c>
      <c r="D1809" t="s">
        <v>23</v>
      </c>
      <c r="E1809" t="s">
        <v>13</v>
      </c>
      <c r="F1809" s="2">
        <v>123</v>
      </c>
      <c r="G1809" t="s">
        <v>11</v>
      </c>
      <c r="H1809" s="3">
        <v>28751.8</v>
      </c>
      <c r="I1809" s="3">
        <v>772430</v>
      </c>
      <c r="J1809" s="3">
        <v>617944</v>
      </c>
      <c r="K1809" s="3">
        <v>125734.2</v>
      </c>
      <c r="L1809" t="s">
        <v>16</v>
      </c>
      <c r="M1809">
        <v>4.7</v>
      </c>
    </row>
    <row r="1810" spans="1:13" x14ac:dyDescent="0.25">
      <c r="A1810">
        <v>1809</v>
      </c>
      <c r="B1810" s="1">
        <v>43019</v>
      </c>
      <c r="C1810" s="1">
        <v>43227</v>
      </c>
      <c r="D1810" t="s">
        <v>23</v>
      </c>
      <c r="E1810" t="s">
        <v>25</v>
      </c>
      <c r="F1810" s="2">
        <v>146</v>
      </c>
      <c r="G1810" t="s">
        <v>12</v>
      </c>
      <c r="H1810" s="3">
        <v>54352.28</v>
      </c>
      <c r="I1810" s="3">
        <v>1419192</v>
      </c>
      <c r="J1810" s="3">
        <v>1135353.6000000001</v>
      </c>
      <c r="K1810" s="3">
        <v>229486.11999999991</v>
      </c>
      <c r="L1810" t="s">
        <v>18</v>
      </c>
      <c r="M1810">
        <v>3.8</v>
      </c>
    </row>
    <row r="1811" spans="1:13" x14ac:dyDescent="0.25">
      <c r="A1811">
        <v>1810</v>
      </c>
      <c r="B1811" s="1">
        <v>43019</v>
      </c>
      <c r="C1811" s="1">
        <v>43235</v>
      </c>
      <c r="D1811" t="s">
        <v>22</v>
      </c>
      <c r="E1811" t="s">
        <v>25</v>
      </c>
      <c r="F1811" s="2">
        <v>59</v>
      </c>
      <c r="G1811" t="s">
        <v>11</v>
      </c>
      <c r="H1811" s="3">
        <v>17996.36</v>
      </c>
      <c r="I1811" s="3">
        <v>516869</v>
      </c>
      <c r="J1811" s="3">
        <v>413495.2</v>
      </c>
      <c r="K1811" s="3">
        <v>85377.439999999988</v>
      </c>
      <c r="L1811" t="s">
        <v>14</v>
      </c>
      <c r="M1811">
        <v>4.3</v>
      </c>
    </row>
    <row r="1812" spans="1:13" x14ac:dyDescent="0.25">
      <c r="A1812">
        <v>1811</v>
      </c>
      <c r="B1812" s="1">
        <v>43020</v>
      </c>
      <c r="C1812" s="1">
        <v>43232</v>
      </c>
      <c r="D1812" t="s">
        <v>20</v>
      </c>
      <c r="E1812" t="s">
        <v>29</v>
      </c>
      <c r="F1812" s="2">
        <v>208</v>
      </c>
      <c r="G1812" t="s">
        <v>12</v>
      </c>
      <c r="H1812" s="3">
        <v>57967.199999999997</v>
      </c>
      <c r="I1812" s="3">
        <v>1509665</v>
      </c>
      <c r="J1812" s="3">
        <v>1207732</v>
      </c>
      <c r="K1812" s="3">
        <v>243965.8</v>
      </c>
      <c r="L1812" t="s">
        <v>15</v>
      </c>
      <c r="M1812">
        <v>4.2</v>
      </c>
    </row>
    <row r="1813" spans="1:13" x14ac:dyDescent="0.25">
      <c r="A1813">
        <v>1812</v>
      </c>
      <c r="B1813" s="1">
        <v>43020</v>
      </c>
      <c r="C1813" s="1">
        <v>43242</v>
      </c>
      <c r="D1813" t="s">
        <v>20</v>
      </c>
      <c r="E1813" t="s">
        <v>27</v>
      </c>
      <c r="F1813" s="2">
        <v>119</v>
      </c>
      <c r="G1813" t="s">
        <v>12</v>
      </c>
      <c r="H1813" s="3">
        <v>37211.96</v>
      </c>
      <c r="I1813" s="3">
        <v>982109</v>
      </c>
      <c r="J1813" s="3">
        <v>785687.2</v>
      </c>
      <c r="K1813" s="3">
        <v>159209.84000000005</v>
      </c>
      <c r="L1813" t="s">
        <v>16</v>
      </c>
      <c r="M1813">
        <v>4.5</v>
      </c>
    </row>
    <row r="1814" spans="1:13" x14ac:dyDescent="0.25">
      <c r="A1814">
        <v>1813</v>
      </c>
      <c r="B1814" s="1">
        <v>43020</v>
      </c>
      <c r="C1814" s="1">
        <v>43152</v>
      </c>
      <c r="D1814" t="s">
        <v>20</v>
      </c>
      <c r="E1814" t="s">
        <v>28</v>
      </c>
      <c r="F1814" s="2">
        <v>243</v>
      </c>
      <c r="G1814" t="s">
        <v>12</v>
      </c>
      <c r="H1814" s="3">
        <v>79561.48</v>
      </c>
      <c r="I1814" s="3">
        <v>2046797</v>
      </c>
      <c r="J1814" s="3">
        <v>1637437.6</v>
      </c>
      <c r="K1814" s="3">
        <v>329797.91999999993</v>
      </c>
      <c r="L1814" t="s">
        <v>18</v>
      </c>
      <c r="M1814">
        <v>4.9000000000000004</v>
      </c>
    </row>
    <row r="1815" spans="1:13" x14ac:dyDescent="0.25">
      <c r="A1815">
        <v>1814</v>
      </c>
      <c r="B1815" s="1">
        <v>43020</v>
      </c>
      <c r="C1815" s="1">
        <v>43208</v>
      </c>
      <c r="D1815" t="s">
        <v>23</v>
      </c>
      <c r="E1815" t="s">
        <v>29</v>
      </c>
      <c r="F1815" s="2">
        <v>49</v>
      </c>
      <c r="G1815" t="s">
        <v>11</v>
      </c>
      <c r="H1815" s="3">
        <v>12832.68</v>
      </c>
      <c r="I1815" s="3">
        <v>382677</v>
      </c>
      <c r="J1815" s="3">
        <v>306141.59999999998</v>
      </c>
      <c r="K1815" s="3">
        <v>63702.720000000023</v>
      </c>
      <c r="L1815" t="s">
        <v>18</v>
      </c>
      <c r="M1815">
        <v>3.7</v>
      </c>
    </row>
    <row r="1816" spans="1:13" x14ac:dyDescent="0.25">
      <c r="A1816">
        <v>1815</v>
      </c>
      <c r="B1816" s="1">
        <v>43020</v>
      </c>
      <c r="C1816" s="1">
        <v>43355</v>
      </c>
      <c r="D1816" t="s">
        <v>20</v>
      </c>
      <c r="E1816" t="s">
        <v>29</v>
      </c>
      <c r="F1816" s="2">
        <v>69</v>
      </c>
      <c r="G1816" t="s">
        <v>11</v>
      </c>
      <c r="H1816" s="3">
        <v>26267.279999999999</v>
      </c>
      <c r="I1816" s="3">
        <v>722717</v>
      </c>
      <c r="J1816" s="3">
        <v>578173.6</v>
      </c>
      <c r="K1816" s="3">
        <v>118276.12000000002</v>
      </c>
      <c r="L1816" t="s">
        <v>19</v>
      </c>
      <c r="M1816">
        <v>4.4000000000000004</v>
      </c>
    </row>
    <row r="1817" spans="1:13" x14ac:dyDescent="0.25">
      <c r="A1817">
        <v>1816</v>
      </c>
      <c r="B1817" s="1">
        <v>43020</v>
      </c>
      <c r="C1817" s="1">
        <v>43136</v>
      </c>
      <c r="D1817" t="s">
        <v>22</v>
      </c>
      <c r="E1817" t="s">
        <v>29</v>
      </c>
      <c r="F1817" s="2">
        <v>113</v>
      </c>
      <c r="G1817" t="s">
        <v>12</v>
      </c>
      <c r="H1817" s="3">
        <v>41069</v>
      </c>
      <c r="I1817" s="3">
        <v>1086485</v>
      </c>
      <c r="J1817" s="3">
        <v>869188</v>
      </c>
      <c r="K1817" s="3">
        <v>176228</v>
      </c>
      <c r="L1817" t="s">
        <v>15</v>
      </c>
      <c r="M1817">
        <v>4.5</v>
      </c>
    </row>
    <row r="1818" spans="1:13" x14ac:dyDescent="0.25">
      <c r="A1818">
        <v>1817</v>
      </c>
      <c r="B1818" s="1">
        <v>43021</v>
      </c>
      <c r="C1818" s="1">
        <v>43372</v>
      </c>
      <c r="D1818" t="s">
        <v>22</v>
      </c>
      <c r="E1818" t="s">
        <v>25</v>
      </c>
      <c r="F1818" s="2">
        <v>69</v>
      </c>
      <c r="G1818" t="s">
        <v>11</v>
      </c>
      <c r="H1818" s="3">
        <v>13705.04</v>
      </c>
      <c r="I1818" s="3">
        <v>405161</v>
      </c>
      <c r="J1818" s="3">
        <v>324128.8</v>
      </c>
      <c r="K1818" s="3">
        <v>67327.16</v>
      </c>
      <c r="L1818" t="s">
        <v>19</v>
      </c>
      <c r="M1818">
        <v>4.7</v>
      </c>
    </row>
    <row r="1819" spans="1:13" x14ac:dyDescent="0.25">
      <c r="A1819">
        <v>1818</v>
      </c>
      <c r="B1819" s="1">
        <v>43021</v>
      </c>
      <c r="C1819" s="1">
        <v>43245</v>
      </c>
      <c r="D1819" t="s">
        <v>23</v>
      </c>
      <c r="E1819" t="s">
        <v>25</v>
      </c>
      <c r="F1819" s="2">
        <v>250</v>
      </c>
      <c r="G1819" t="s">
        <v>12</v>
      </c>
      <c r="H1819" s="3">
        <v>81884.399999999994</v>
      </c>
      <c r="I1819" s="3">
        <v>2099945</v>
      </c>
      <c r="J1819" s="3">
        <v>1679956</v>
      </c>
      <c r="K1819" s="3">
        <v>338104.6</v>
      </c>
      <c r="L1819" t="s">
        <v>19</v>
      </c>
      <c r="M1819">
        <v>3.8</v>
      </c>
    </row>
    <row r="1820" spans="1:13" x14ac:dyDescent="0.25">
      <c r="A1820">
        <v>1819</v>
      </c>
      <c r="B1820" s="1">
        <v>43021</v>
      </c>
      <c r="C1820" s="1">
        <v>43271</v>
      </c>
      <c r="D1820" t="s">
        <v>23</v>
      </c>
      <c r="E1820" t="s">
        <v>29</v>
      </c>
      <c r="F1820" s="2">
        <v>239</v>
      </c>
      <c r="G1820" t="s">
        <v>12</v>
      </c>
      <c r="H1820" s="3">
        <v>63259.199999999997</v>
      </c>
      <c r="I1820" s="3">
        <v>1642215</v>
      </c>
      <c r="J1820" s="3">
        <v>1313772</v>
      </c>
      <c r="K1820" s="3">
        <v>265183.8</v>
      </c>
      <c r="L1820" t="s">
        <v>15</v>
      </c>
      <c r="M1820">
        <v>3.9</v>
      </c>
    </row>
    <row r="1821" spans="1:13" x14ac:dyDescent="0.25">
      <c r="A1821">
        <v>1820</v>
      </c>
      <c r="B1821" s="1">
        <v>43022</v>
      </c>
      <c r="C1821" s="1">
        <v>43328</v>
      </c>
      <c r="D1821" t="s">
        <v>23</v>
      </c>
      <c r="E1821" t="s">
        <v>29</v>
      </c>
      <c r="F1821" s="2">
        <v>119</v>
      </c>
      <c r="G1821" t="s">
        <v>11</v>
      </c>
      <c r="H1821" s="3">
        <v>19161.88</v>
      </c>
      <c r="I1821" s="3">
        <v>533757</v>
      </c>
      <c r="J1821" s="3">
        <v>427005.6</v>
      </c>
      <c r="K1821" s="3">
        <v>87589.520000000019</v>
      </c>
      <c r="L1821" t="s">
        <v>19</v>
      </c>
      <c r="M1821">
        <v>4.5999999999999996</v>
      </c>
    </row>
    <row r="1822" spans="1:13" x14ac:dyDescent="0.25">
      <c r="A1822">
        <v>1821</v>
      </c>
      <c r="B1822" s="1">
        <v>43022</v>
      </c>
      <c r="C1822" s="1">
        <v>43272</v>
      </c>
      <c r="D1822" t="s">
        <v>23</v>
      </c>
      <c r="E1822" t="s">
        <v>25</v>
      </c>
      <c r="F1822" s="2">
        <v>203</v>
      </c>
      <c r="G1822" t="s">
        <v>12</v>
      </c>
      <c r="H1822" s="3">
        <v>61274.04</v>
      </c>
      <c r="I1822" s="3">
        <v>1592711</v>
      </c>
      <c r="J1822" s="3">
        <v>1274168.8</v>
      </c>
      <c r="K1822" s="3">
        <v>257268.15999999995</v>
      </c>
      <c r="L1822" t="s">
        <v>14</v>
      </c>
      <c r="M1822">
        <v>3.6</v>
      </c>
    </row>
    <row r="1823" spans="1:13" x14ac:dyDescent="0.25">
      <c r="A1823">
        <v>1822</v>
      </c>
      <c r="B1823" s="1">
        <v>43023</v>
      </c>
      <c r="C1823" s="1">
        <v>43140</v>
      </c>
      <c r="D1823" t="s">
        <v>21</v>
      </c>
      <c r="E1823" t="s">
        <v>29</v>
      </c>
      <c r="F1823" s="2">
        <v>78</v>
      </c>
      <c r="G1823" t="s">
        <v>11</v>
      </c>
      <c r="H1823" s="3">
        <v>16747.599999999999</v>
      </c>
      <c r="I1823" s="3">
        <v>474125</v>
      </c>
      <c r="J1823" s="3">
        <v>379300</v>
      </c>
      <c r="K1823" s="3">
        <v>78077.399999999994</v>
      </c>
      <c r="L1823" t="s">
        <v>18</v>
      </c>
      <c r="M1823">
        <v>4.4000000000000004</v>
      </c>
    </row>
    <row r="1824" spans="1:13" x14ac:dyDescent="0.25">
      <c r="A1824">
        <v>1823</v>
      </c>
      <c r="B1824" s="1">
        <v>43023</v>
      </c>
      <c r="C1824" s="1">
        <v>43314</v>
      </c>
      <c r="D1824" t="s">
        <v>21</v>
      </c>
      <c r="E1824" t="s">
        <v>27</v>
      </c>
      <c r="F1824" s="2">
        <v>268</v>
      </c>
      <c r="G1824" t="s">
        <v>12</v>
      </c>
      <c r="H1824" s="3">
        <v>92414.92</v>
      </c>
      <c r="I1824" s="3">
        <v>2370608</v>
      </c>
      <c r="J1824" s="3">
        <v>1896486.4</v>
      </c>
      <c r="K1824" s="3">
        <v>381706.68000000011</v>
      </c>
      <c r="L1824" t="s">
        <v>16</v>
      </c>
      <c r="M1824">
        <v>3.9</v>
      </c>
    </row>
    <row r="1825" spans="1:13" x14ac:dyDescent="0.25">
      <c r="A1825">
        <v>1824</v>
      </c>
      <c r="B1825" s="1">
        <v>43023</v>
      </c>
      <c r="C1825" s="1">
        <v>43208</v>
      </c>
      <c r="D1825" t="s">
        <v>22</v>
      </c>
      <c r="E1825" t="s">
        <v>27</v>
      </c>
      <c r="F1825" s="2">
        <v>254</v>
      </c>
      <c r="G1825" t="s">
        <v>12</v>
      </c>
      <c r="H1825" s="3">
        <v>84379.36</v>
      </c>
      <c r="I1825" s="3">
        <v>2172669</v>
      </c>
      <c r="J1825" s="3">
        <v>1738135.2</v>
      </c>
      <c r="K1825" s="3">
        <v>350154.44000000006</v>
      </c>
      <c r="L1825" t="s">
        <v>17</v>
      </c>
      <c r="M1825">
        <v>4.4000000000000004</v>
      </c>
    </row>
    <row r="1826" spans="1:13" x14ac:dyDescent="0.25">
      <c r="A1826">
        <v>1825</v>
      </c>
      <c r="B1826" s="1">
        <v>43023</v>
      </c>
      <c r="C1826" s="1">
        <v>43170</v>
      </c>
      <c r="D1826" t="s">
        <v>22</v>
      </c>
      <c r="E1826" t="s">
        <v>25</v>
      </c>
      <c r="F1826" s="2">
        <v>256</v>
      </c>
      <c r="G1826" t="s">
        <v>12</v>
      </c>
      <c r="H1826" s="3">
        <v>94869</v>
      </c>
      <c r="I1826" s="3">
        <v>2427235</v>
      </c>
      <c r="J1826" s="3">
        <v>1941788</v>
      </c>
      <c r="K1826" s="3">
        <v>390578</v>
      </c>
      <c r="L1826" t="s">
        <v>15</v>
      </c>
      <c r="M1826">
        <v>4.4000000000000004</v>
      </c>
    </row>
    <row r="1827" spans="1:13" x14ac:dyDescent="0.25">
      <c r="A1827">
        <v>1826</v>
      </c>
      <c r="B1827" s="1">
        <v>43024</v>
      </c>
      <c r="C1827" s="1">
        <v>43186</v>
      </c>
      <c r="D1827" t="s">
        <v>20</v>
      </c>
      <c r="E1827" t="s">
        <v>27</v>
      </c>
      <c r="F1827" s="2">
        <v>225</v>
      </c>
      <c r="G1827" t="s">
        <v>12</v>
      </c>
      <c r="H1827" s="3">
        <v>38806.44</v>
      </c>
      <c r="I1827" s="3">
        <v>1031021</v>
      </c>
      <c r="J1827" s="3">
        <v>824816.8</v>
      </c>
      <c r="K1827" s="3">
        <v>167397.75999999995</v>
      </c>
      <c r="L1827" t="s">
        <v>16</v>
      </c>
      <c r="M1827">
        <v>5</v>
      </c>
    </row>
    <row r="1828" spans="1:13" x14ac:dyDescent="0.25">
      <c r="A1828">
        <v>1827</v>
      </c>
      <c r="B1828" s="1">
        <v>43024</v>
      </c>
      <c r="C1828" s="1">
        <v>43226</v>
      </c>
      <c r="D1828" t="s">
        <v>20</v>
      </c>
      <c r="E1828" t="s">
        <v>24</v>
      </c>
      <c r="F1828" s="2">
        <v>141</v>
      </c>
      <c r="G1828" t="s">
        <v>12</v>
      </c>
      <c r="H1828" s="3">
        <v>45743.4</v>
      </c>
      <c r="I1828" s="3">
        <v>1206345</v>
      </c>
      <c r="J1828" s="3">
        <v>965076</v>
      </c>
      <c r="K1828" s="3">
        <v>195525.6</v>
      </c>
      <c r="L1828" t="s">
        <v>16</v>
      </c>
      <c r="M1828">
        <v>4.5</v>
      </c>
    </row>
    <row r="1829" spans="1:13" x14ac:dyDescent="0.25">
      <c r="A1829">
        <v>1828</v>
      </c>
      <c r="B1829" s="1">
        <v>43024</v>
      </c>
      <c r="C1829" s="1">
        <v>43122</v>
      </c>
      <c r="D1829" t="s">
        <v>21</v>
      </c>
      <c r="E1829" t="s">
        <v>24</v>
      </c>
      <c r="F1829" s="2">
        <v>208</v>
      </c>
      <c r="G1829" t="s">
        <v>12</v>
      </c>
      <c r="H1829" s="3">
        <v>66423.16</v>
      </c>
      <c r="I1829" s="3">
        <v>1724089</v>
      </c>
      <c r="J1829" s="3">
        <v>1379271.2</v>
      </c>
      <c r="K1829" s="3">
        <v>278394.64</v>
      </c>
      <c r="L1829" t="s">
        <v>19</v>
      </c>
      <c r="M1829">
        <v>3.9</v>
      </c>
    </row>
    <row r="1830" spans="1:13" x14ac:dyDescent="0.25">
      <c r="A1830">
        <v>1829</v>
      </c>
      <c r="B1830" s="1">
        <v>43025</v>
      </c>
      <c r="C1830" s="1">
        <v>43339</v>
      </c>
      <c r="D1830" t="s">
        <v>22</v>
      </c>
      <c r="E1830" t="s">
        <v>29</v>
      </c>
      <c r="F1830" s="2">
        <v>154</v>
      </c>
      <c r="G1830" t="s">
        <v>11</v>
      </c>
      <c r="H1830" s="3">
        <v>27775.52</v>
      </c>
      <c r="I1830" s="3">
        <v>761048</v>
      </c>
      <c r="J1830" s="3">
        <v>608838.40000000002</v>
      </c>
      <c r="K1830" s="3">
        <v>124434.07999999997</v>
      </c>
      <c r="L1830" t="s">
        <v>17</v>
      </c>
      <c r="M1830">
        <v>5</v>
      </c>
    </row>
    <row r="1831" spans="1:13" x14ac:dyDescent="0.25">
      <c r="A1831">
        <v>1830</v>
      </c>
      <c r="B1831" s="1">
        <v>43025</v>
      </c>
      <c r="C1831" s="1">
        <v>43165</v>
      </c>
      <c r="D1831" t="s">
        <v>20</v>
      </c>
      <c r="E1831" t="s">
        <v>24</v>
      </c>
      <c r="F1831" s="2">
        <v>195</v>
      </c>
      <c r="G1831" t="s">
        <v>12</v>
      </c>
      <c r="H1831" s="3">
        <v>73491.679999999993</v>
      </c>
      <c r="I1831" s="3">
        <v>1904177</v>
      </c>
      <c r="J1831" s="3">
        <v>1523341.6</v>
      </c>
      <c r="K1831" s="3">
        <v>307343.71999999991</v>
      </c>
      <c r="L1831" t="s">
        <v>17</v>
      </c>
      <c r="M1831">
        <v>4.3</v>
      </c>
    </row>
    <row r="1832" spans="1:13" x14ac:dyDescent="0.25">
      <c r="A1832">
        <v>1831</v>
      </c>
      <c r="B1832" s="1">
        <v>43025</v>
      </c>
      <c r="C1832" s="1">
        <v>43250</v>
      </c>
      <c r="D1832" t="s">
        <v>22</v>
      </c>
      <c r="E1832" t="s">
        <v>28</v>
      </c>
      <c r="F1832" s="2">
        <v>149</v>
      </c>
      <c r="G1832" t="s">
        <v>12</v>
      </c>
      <c r="H1832" s="3">
        <v>38794.959999999999</v>
      </c>
      <c r="I1832" s="3">
        <v>1027709</v>
      </c>
      <c r="J1832" s="3">
        <v>822167.2</v>
      </c>
      <c r="K1832" s="3">
        <v>166746.84000000005</v>
      </c>
      <c r="L1832" t="s">
        <v>14</v>
      </c>
      <c r="M1832">
        <v>3.6</v>
      </c>
    </row>
    <row r="1833" spans="1:13" x14ac:dyDescent="0.25">
      <c r="A1833">
        <v>1832</v>
      </c>
      <c r="B1833" s="1">
        <v>43026</v>
      </c>
      <c r="C1833" s="1">
        <v>43338</v>
      </c>
      <c r="D1833" t="s">
        <v>22</v>
      </c>
      <c r="E1833" t="s">
        <v>26</v>
      </c>
      <c r="F1833" s="2">
        <v>205</v>
      </c>
      <c r="G1833" t="s">
        <v>12</v>
      </c>
      <c r="H1833" s="3">
        <v>50653.72</v>
      </c>
      <c r="I1833" s="3">
        <v>1321053</v>
      </c>
      <c r="J1833" s="3">
        <v>1056842.3999999999</v>
      </c>
      <c r="K1833" s="3">
        <v>213556.88000000009</v>
      </c>
      <c r="L1833" t="s">
        <v>14</v>
      </c>
      <c r="M1833">
        <v>3.9</v>
      </c>
    </row>
    <row r="1834" spans="1:13" x14ac:dyDescent="0.25">
      <c r="A1834">
        <v>1833</v>
      </c>
      <c r="B1834" s="1">
        <v>43026</v>
      </c>
      <c r="C1834" s="1">
        <v>43118</v>
      </c>
      <c r="D1834" t="s">
        <v>22</v>
      </c>
      <c r="E1834" t="s">
        <v>25</v>
      </c>
      <c r="F1834" s="2">
        <v>64</v>
      </c>
      <c r="G1834" t="s">
        <v>11</v>
      </c>
      <c r="H1834" s="3">
        <v>14802.32</v>
      </c>
      <c r="I1834" s="3">
        <v>425068</v>
      </c>
      <c r="J1834" s="3">
        <v>340054.4</v>
      </c>
      <c r="K1834" s="3">
        <v>70211.27999999997</v>
      </c>
      <c r="L1834" t="s">
        <v>17</v>
      </c>
      <c r="M1834">
        <v>3.8</v>
      </c>
    </row>
    <row r="1835" spans="1:13" x14ac:dyDescent="0.25">
      <c r="A1835">
        <v>1834</v>
      </c>
      <c r="B1835" s="1">
        <v>43026</v>
      </c>
      <c r="C1835" s="1">
        <v>43199</v>
      </c>
      <c r="D1835" t="s">
        <v>20</v>
      </c>
      <c r="E1835" t="s">
        <v>27</v>
      </c>
      <c r="F1835" s="2">
        <v>152</v>
      </c>
      <c r="G1835" t="s">
        <v>12</v>
      </c>
      <c r="H1835" s="3">
        <v>46596.12</v>
      </c>
      <c r="I1835" s="3">
        <v>1218538</v>
      </c>
      <c r="J1835" s="3">
        <v>974830.4</v>
      </c>
      <c r="K1835" s="3">
        <v>197111.47999999998</v>
      </c>
      <c r="L1835" t="s">
        <v>16</v>
      </c>
      <c r="M1835">
        <v>4</v>
      </c>
    </row>
    <row r="1836" spans="1:13" x14ac:dyDescent="0.25">
      <c r="A1836">
        <v>1835</v>
      </c>
      <c r="B1836" s="1">
        <v>43027</v>
      </c>
      <c r="C1836" s="1">
        <v>43179</v>
      </c>
      <c r="D1836" t="s">
        <v>21</v>
      </c>
      <c r="E1836" t="s">
        <v>27</v>
      </c>
      <c r="F1836" s="2">
        <v>63</v>
      </c>
      <c r="G1836" t="s">
        <v>11</v>
      </c>
      <c r="H1836" s="3">
        <v>19240.599999999999</v>
      </c>
      <c r="I1836" s="3">
        <v>548325</v>
      </c>
      <c r="J1836" s="3">
        <v>438660</v>
      </c>
      <c r="K1836" s="3">
        <v>90424.4</v>
      </c>
      <c r="L1836" t="s">
        <v>18</v>
      </c>
      <c r="M1836">
        <v>4.3</v>
      </c>
    </row>
    <row r="1837" spans="1:13" x14ac:dyDescent="0.25">
      <c r="A1837">
        <v>1836</v>
      </c>
      <c r="B1837" s="1">
        <v>43028</v>
      </c>
      <c r="C1837" s="1">
        <v>43252</v>
      </c>
      <c r="D1837" t="s">
        <v>20</v>
      </c>
      <c r="E1837" t="s">
        <v>24</v>
      </c>
      <c r="F1837" s="2">
        <v>128</v>
      </c>
      <c r="G1837" t="s">
        <v>11</v>
      </c>
      <c r="H1837" s="3">
        <v>28889.56</v>
      </c>
      <c r="I1837" s="3">
        <v>782349</v>
      </c>
      <c r="J1837" s="3">
        <v>625879.19999999995</v>
      </c>
      <c r="K1837" s="3">
        <v>127580.24000000005</v>
      </c>
      <c r="L1837" t="s">
        <v>18</v>
      </c>
      <c r="M1837">
        <v>3.9</v>
      </c>
    </row>
    <row r="1838" spans="1:13" x14ac:dyDescent="0.25">
      <c r="A1838">
        <v>1837</v>
      </c>
      <c r="B1838" s="1">
        <v>43028</v>
      </c>
      <c r="C1838" s="1">
        <v>43320</v>
      </c>
      <c r="D1838" t="s">
        <v>23</v>
      </c>
      <c r="E1838" t="s">
        <v>26</v>
      </c>
      <c r="F1838" s="2">
        <v>40</v>
      </c>
      <c r="G1838" t="s">
        <v>11</v>
      </c>
      <c r="H1838" s="3">
        <v>8443.0400000000009</v>
      </c>
      <c r="I1838" s="3">
        <v>273661</v>
      </c>
      <c r="J1838" s="3">
        <v>218928.8</v>
      </c>
      <c r="K1838" s="3">
        <v>46289.160000000011</v>
      </c>
      <c r="L1838" t="s">
        <v>18</v>
      </c>
      <c r="M1838">
        <v>4.0999999999999996</v>
      </c>
    </row>
    <row r="1839" spans="1:13" x14ac:dyDescent="0.25">
      <c r="A1839">
        <v>1838</v>
      </c>
      <c r="B1839" s="1">
        <v>43028</v>
      </c>
      <c r="C1839" s="1">
        <v>43341</v>
      </c>
      <c r="D1839" t="s">
        <v>20</v>
      </c>
      <c r="E1839" t="s">
        <v>24</v>
      </c>
      <c r="F1839" s="2">
        <v>210</v>
      </c>
      <c r="G1839" t="s">
        <v>12</v>
      </c>
      <c r="H1839" s="3">
        <v>64681.56</v>
      </c>
      <c r="I1839" s="3">
        <v>1679149</v>
      </c>
      <c r="J1839" s="3">
        <v>1343319.2</v>
      </c>
      <c r="K1839" s="3">
        <v>271148.24000000005</v>
      </c>
      <c r="L1839" t="s">
        <v>19</v>
      </c>
      <c r="M1839">
        <v>4.9000000000000004</v>
      </c>
    </row>
    <row r="1840" spans="1:13" x14ac:dyDescent="0.25">
      <c r="A1840">
        <v>1839</v>
      </c>
      <c r="B1840" s="1">
        <v>43029</v>
      </c>
      <c r="C1840" s="1">
        <v>43279</v>
      </c>
      <c r="D1840" t="s">
        <v>23</v>
      </c>
      <c r="E1840" t="s">
        <v>27</v>
      </c>
      <c r="F1840" s="2">
        <v>252</v>
      </c>
      <c r="G1840" t="s">
        <v>12</v>
      </c>
      <c r="H1840" s="3">
        <v>97884.4</v>
      </c>
      <c r="I1840" s="3">
        <v>2511995</v>
      </c>
      <c r="J1840" s="3">
        <v>2009596</v>
      </c>
      <c r="K1840" s="3">
        <v>404514.6</v>
      </c>
      <c r="L1840" t="s">
        <v>17</v>
      </c>
      <c r="M1840">
        <v>4.3</v>
      </c>
    </row>
    <row r="1841" spans="1:13" x14ac:dyDescent="0.25">
      <c r="A1841">
        <v>1840</v>
      </c>
      <c r="B1841" s="1">
        <v>43030</v>
      </c>
      <c r="C1841" s="1">
        <v>43232</v>
      </c>
      <c r="D1841" t="s">
        <v>21</v>
      </c>
      <c r="E1841" t="s">
        <v>24</v>
      </c>
      <c r="F1841" s="2">
        <v>271</v>
      </c>
      <c r="G1841" t="s">
        <v>12</v>
      </c>
      <c r="H1841" s="3">
        <v>60747.839999999997</v>
      </c>
      <c r="I1841" s="3">
        <v>1580981</v>
      </c>
      <c r="J1841" s="3">
        <v>1264784.8</v>
      </c>
      <c r="K1841" s="3">
        <v>255448.35999999996</v>
      </c>
      <c r="L1841" t="s">
        <v>14</v>
      </c>
      <c r="M1841">
        <v>4.2</v>
      </c>
    </row>
    <row r="1842" spans="1:13" x14ac:dyDescent="0.25">
      <c r="A1842">
        <v>1841</v>
      </c>
      <c r="B1842" s="1">
        <v>43030</v>
      </c>
      <c r="C1842" s="1">
        <v>43270</v>
      </c>
      <c r="D1842" t="s">
        <v>22</v>
      </c>
      <c r="E1842" t="s">
        <v>28</v>
      </c>
      <c r="F1842" s="2">
        <v>42</v>
      </c>
      <c r="G1842" t="s">
        <v>11</v>
      </c>
      <c r="H1842" s="3">
        <v>17048.68</v>
      </c>
      <c r="I1842" s="3">
        <v>488902</v>
      </c>
      <c r="J1842" s="3">
        <v>391121.6</v>
      </c>
      <c r="K1842" s="3">
        <v>80731.72000000003</v>
      </c>
      <c r="L1842" t="s">
        <v>19</v>
      </c>
      <c r="M1842">
        <v>3.7</v>
      </c>
    </row>
    <row r="1843" spans="1:13" x14ac:dyDescent="0.25">
      <c r="A1843">
        <v>1842</v>
      </c>
      <c r="B1843" s="1">
        <v>43030</v>
      </c>
      <c r="C1843" s="1">
        <v>43348</v>
      </c>
      <c r="D1843" t="s">
        <v>22</v>
      </c>
      <c r="E1843" t="s">
        <v>13</v>
      </c>
      <c r="F1843" s="2">
        <v>250</v>
      </c>
      <c r="G1843" t="s">
        <v>12</v>
      </c>
      <c r="H1843" s="3">
        <v>90875.32</v>
      </c>
      <c r="I1843" s="3">
        <v>2335693</v>
      </c>
      <c r="J1843" s="3">
        <v>1868554.4</v>
      </c>
      <c r="K1843" s="3">
        <v>376263.28000000009</v>
      </c>
      <c r="L1843" t="s">
        <v>15</v>
      </c>
      <c r="M1843">
        <v>3.9</v>
      </c>
    </row>
    <row r="1844" spans="1:13" x14ac:dyDescent="0.25">
      <c r="A1844">
        <v>1843</v>
      </c>
      <c r="B1844" s="1">
        <v>43030</v>
      </c>
      <c r="C1844" s="1">
        <v>43291</v>
      </c>
      <c r="D1844" t="s">
        <v>23</v>
      </c>
      <c r="E1844" t="s">
        <v>29</v>
      </c>
      <c r="F1844" s="2">
        <v>91</v>
      </c>
      <c r="G1844" t="s">
        <v>12</v>
      </c>
      <c r="H1844" s="3">
        <v>37294</v>
      </c>
      <c r="I1844" s="3">
        <v>991985</v>
      </c>
      <c r="J1844" s="3">
        <v>793588</v>
      </c>
      <c r="K1844" s="3">
        <v>161103</v>
      </c>
      <c r="L1844" t="s">
        <v>19</v>
      </c>
      <c r="M1844">
        <v>4.0999999999999996</v>
      </c>
    </row>
    <row r="1845" spans="1:13" x14ac:dyDescent="0.25">
      <c r="A1845">
        <v>1844</v>
      </c>
      <c r="B1845" s="1">
        <v>43031</v>
      </c>
      <c r="C1845" s="1">
        <v>43175</v>
      </c>
      <c r="D1845" t="s">
        <v>22</v>
      </c>
      <c r="E1845" t="s">
        <v>28</v>
      </c>
      <c r="F1845" s="2">
        <v>104</v>
      </c>
      <c r="G1845" t="s">
        <v>11</v>
      </c>
      <c r="H1845" s="3">
        <v>25129.279999999999</v>
      </c>
      <c r="I1845" s="3">
        <v>694642</v>
      </c>
      <c r="J1845" s="3">
        <v>555713.6</v>
      </c>
      <c r="K1845" s="3">
        <v>113799.12000000002</v>
      </c>
      <c r="L1845" t="s">
        <v>15</v>
      </c>
      <c r="M1845">
        <v>4</v>
      </c>
    </row>
    <row r="1846" spans="1:13" x14ac:dyDescent="0.25">
      <c r="A1846">
        <v>1845</v>
      </c>
      <c r="B1846" s="1">
        <v>43033</v>
      </c>
      <c r="C1846" s="1">
        <v>43348</v>
      </c>
      <c r="D1846" t="s">
        <v>21</v>
      </c>
      <c r="E1846" t="s">
        <v>13</v>
      </c>
      <c r="F1846" s="2">
        <v>152</v>
      </c>
      <c r="G1846" t="s">
        <v>12</v>
      </c>
      <c r="H1846" s="3">
        <v>36836.44</v>
      </c>
      <c r="I1846" s="3">
        <v>975321</v>
      </c>
      <c r="J1846" s="3">
        <v>780256.8</v>
      </c>
      <c r="K1846" s="3">
        <v>158227.75999999995</v>
      </c>
      <c r="L1846" t="s">
        <v>17</v>
      </c>
      <c r="M1846">
        <v>4.9000000000000004</v>
      </c>
    </row>
    <row r="1847" spans="1:13" x14ac:dyDescent="0.25">
      <c r="A1847">
        <v>1846</v>
      </c>
      <c r="B1847" s="1">
        <v>43034</v>
      </c>
      <c r="C1847" s="1">
        <v>43388</v>
      </c>
      <c r="D1847" t="s">
        <v>20</v>
      </c>
      <c r="E1847" t="s">
        <v>26</v>
      </c>
      <c r="F1847" s="2">
        <v>201</v>
      </c>
      <c r="G1847" t="s">
        <v>12</v>
      </c>
      <c r="H1847" s="3">
        <v>62675.4</v>
      </c>
      <c r="I1847" s="3">
        <v>1633845</v>
      </c>
      <c r="J1847" s="3">
        <v>1307076</v>
      </c>
      <c r="K1847" s="3">
        <v>264093.59999999998</v>
      </c>
      <c r="L1847" t="s">
        <v>14</v>
      </c>
      <c r="M1847">
        <v>4.8</v>
      </c>
    </row>
    <row r="1848" spans="1:13" x14ac:dyDescent="0.25">
      <c r="A1848">
        <v>1847</v>
      </c>
      <c r="B1848" s="1">
        <v>43035</v>
      </c>
      <c r="C1848" s="1">
        <v>43350</v>
      </c>
      <c r="D1848" t="s">
        <v>22</v>
      </c>
      <c r="E1848" t="s">
        <v>28</v>
      </c>
      <c r="F1848" s="2">
        <v>175</v>
      </c>
      <c r="G1848" t="s">
        <v>12</v>
      </c>
      <c r="H1848" s="3">
        <v>58882.36</v>
      </c>
      <c r="I1848" s="3">
        <v>1535619</v>
      </c>
      <c r="J1848" s="3">
        <v>1228495.2</v>
      </c>
      <c r="K1848" s="3">
        <v>248241.44000000006</v>
      </c>
      <c r="L1848" t="s">
        <v>16</v>
      </c>
      <c r="M1848">
        <v>3.6</v>
      </c>
    </row>
    <row r="1849" spans="1:13" x14ac:dyDescent="0.25">
      <c r="A1849">
        <v>1848</v>
      </c>
      <c r="B1849" s="1">
        <v>43035</v>
      </c>
      <c r="C1849" s="1">
        <v>43222</v>
      </c>
      <c r="D1849" t="s">
        <v>22</v>
      </c>
      <c r="E1849" t="s">
        <v>24</v>
      </c>
      <c r="F1849" s="2">
        <v>259</v>
      </c>
      <c r="G1849" t="s">
        <v>12</v>
      </c>
      <c r="H1849" s="3">
        <v>52414.239999999998</v>
      </c>
      <c r="I1849" s="3">
        <v>1364091</v>
      </c>
      <c r="J1849" s="3">
        <v>1091272.8</v>
      </c>
      <c r="K1849" s="3">
        <v>220403.95999999996</v>
      </c>
      <c r="L1849" t="s">
        <v>18</v>
      </c>
      <c r="M1849">
        <v>4.4000000000000004</v>
      </c>
    </row>
    <row r="1850" spans="1:13" x14ac:dyDescent="0.25">
      <c r="A1850">
        <v>1849</v>
      </c>
      <c r="B1850" s="1">
        <v>43036</v>
      </c>
      <c r="C1850" s="1">
        <v>43200</v>
      </c>
      <c r="D1850" t="s">
        <v>20</v>
      </c>
      <c r="E1850" t="s">
        <v>25</v>
      </c>
      <c r="F1850" s="2">
        <v>155</v>
      </c>
      <c r="G1850" t="s">
        <v>12</v>
      </c>
      <c r="H1850" s="3">
        <v>30627.8</v>
      </c>
      <c r="I1850" s="3">
        <v>817605</v>
      </c>
      <c r="J1850" s="3">
        <v>654084</v>
      </c>
      <c r="K1850" s="3">
        <v>132893.20000000001</v>
      </c>
      <c r="L1850" t="s">
        <v>15</v>
      </c>
      <c r="M1850">
        <v>4.5999999999999996</v>
      </c>
    </row>
    <row r="1851" spans="1:13" x14ac:dyDescent="0.25">
      <c r="A1851">
        <v>1850</v>
      </c>
      <c r="B1851" s="1">
        <v>43036</v>
      </c>
      <c r="C1851" s="1">
        <v>43248</v>
      </c>
      <c r="D1851" t="s">
        <v>20</v>
      </c>
      <c r="E1851" t="s">
        <v>29</v>
      </c>
      <c r="F1851" s="2">
        <v>211</v>
      </c>
      <c r="G1851" t="s">
        <v>12</v>
      </c>
      <c r="H1851" s="3">
        <v>38953</v>
      </c>
      <c r="I1851" s="3">
        <v>1028385</v>
      </c>
      <c r="J1851" s="3">
        <v>822708</v>
      </c>
      <c r="K1851" s="3">
        <v>166724</v>
      </c>
      <c r="L1851" t="s">
        <v>17</v>
      </c>
      <c r="M1851">
        <v>4.8</v>
      </c>
    </row>
    <row r="1852" spans="1:13" x14ac:dyDescent="0.25">
      <c r="A1852">
        <v>1851</v>
      </c>
      <c r="B1852" s="1">
        <v>43036</v>
      </c>
      <c r="C1852" s="1">
        <v>43183</v>
      </c>
      <c r="D1852" t="s">
        <v>21</v>
      </c>
      <c r="E1852" t="s">
        <v>27</v>
      </c>
      <c r="F1852" s="2">
        <v>155</v>
      </c>
      <c r="G1852" t="s">
        <v>12</v>
      </c>
      <c r="H1852" s="3">
        <v>37181.279999999999</v>
      </c>
      <c r="I1852" s="3">
        <v>994067</v>
      </c>
      <c r="J1852" s="3">
        <v>795253.6</v>
      </c>
      <c r="K1852" s="3">
        <v>161632.12000000002</v>
      </c>
      <c r="L1852" t="s">
        <v>16</v>
      </c>
      <c r="M1852">
        <v>3.7</v>
      </c>
    </row>
    <row r="1853" spans="1:13" x14ac:dyDescent="0.25">
      <c r="A1853">
        <v>1852</v>
      </c>
      <c r="B1853" s="1">
        <v>43036</v>
      </c>
      <c r="C1853" s="1">
        <v>43401</v>
      </c>
      <c r="D1853" t="s">
        <v>22</v>
      </c>
      <c r="E1853" t="s">
        <v>28</v>
      </c>
      <c r="F1853" s="2">
        <v>160</v>
      </c>
      <c r="G1853" t="s">
        <v>12</v>
      </c>
      <c r="H1853" s="3">
        <v>55863.4</v>
      </c>
      <c r="I1853" s="3">
        <v>1457545</v>
      </c>
      <c r="J1853" s="3">
        <v>1166036</v>
      </c>
      <c r="K1853" s="3">
        <v>235645.6</v>
      </c>
      <c r="L1853" t="s">
        <v>19</v>
      </c>
      <c r="M1853">
        <v>3.7</v>
      </c>
    </row>
    <row r="1854" spans="1:13" x14ac:dyDescent="0.25">
      <c r="A1854">
        <v>1853</v>
      </c>
      <c r="B1854" s="1">
        <v>43036</v>
      </c>
      <c r="C1854" s="1">
        <v>43171</v>
      </c>
      <c r="D1854" t="s">
        <v>20</v>
      </c>
      <c r="E1854" t="s">
        <v>27</v>
      </c>
      <c r="F1854" s="2">
        <v>218</v>
      </c>
      <c r="G1854" t="s">
        <v>12</v>
      </c>
      <c r="H1854" s="3">
        <v>55790.96</v>
      </c>
      <c r="I1854" s="3">
        <v>1459109</v>
      </c>
      <c r="J1854" s="3">
        <v>1167287.2</v>
      </c>
      <c r="K1854" s="3">
        <v>236030.84000000005</v>
      </c>
      <c r="L1854" t="s">
        <v>19</v>
      </c>
      <c r="M1854">
        <v>4.4000000000000004</v>
      </c>
    </row>
    <row r="1855" spans="1:13" x14ac:dyDescent="0.25">
      <c r="A1855">
        <v>1854</v>
      </c>
      <c r="B1855" s="1">
        <v>43036</v>
      </c>
      <c r="C1855" s="1">
        <v>43401</v>
      </c>
      <c r="D1855" t="s">
        <v>20</v>
      </c>
      <c r="E1855" t="s">
        <v>27</v>
      </c>
      <c r="F1855" s="2">
        <v>242</v>
      </c>
      <c r="G1855" t="s">
        <v>12</v>
      </c>
      <c r="H1855" s="3">
        <v>74347.16</v>
      </c>
      <c r="I1855" s="3">
        <v>1915439</v>
      </c>
      <c r="J1855" s="3">
        <v>1532351.2</v>
      </c>
      <c r="K1855" s="3">
        <v>308740.64</v>
      </c>
      <c r="L1855" t="s">
        <v>19</v>
      </c>
      <c r="M1855">
        <v>4.2</v>
      </c>
    </row>
    <row r="1856" spans="1:13" x14ac:dyDescent="0.25">
      <c r="A1856">
        <v>1855</v>
      </c>
      <c r="B1856" s="1">
        <v>43037</v>
      </c>
      <c r="C1856" s="1">
        <v>43139</v>
      </c>
      <c r="D1856" t="s">
        <v>22</v>
      </c>
      <c r="E1856" t="s">
        <v>13</v>
      </c>
      <c r="F1856" s="2">
        <v>155</v>
      </c>
      <c r="G1856" t="s">
        <v>12</v>
      </c>
      <c r="H1856" s="3">
        <v>49804.6</v>
      </c>
      <c r="I1856" s="3">
        <v>1299525</v>
      </c>
      <c r="J1856" s="3">
        <v>1039620</v>
      </c>
      <c r="K1856" s="3">
        <v>210100.4</v>
      </c>
      <c r="L1856" t="s">
        <v>17</v>
      </c>
      <c r="M1856">
        <v>4.5999999999999996</v>
      </c>
    </row>
    <row r="1857" spans="1:13" x14ac:dyDescent="0.25">
      <c r="A1857">
        <v>1856</v>
      </c>
      <c r="B1857" s="1">
        <v>43037</v>
      </c>
      <c r="C1857" s="1">
        <v>43215</v>
      </c>
      <c r="D1857" t="s">
        <v>21</v>
      </c>
      <c r="E1857" t="s">
        <v>24</v>
      </c>
      <c r="F1857" s="2">
        <v>280</v>
      </c>
      <c r="G1857" t="s">
        <v>12</v>
      </c>
      <c r="H1857" s="3">
        <v>98008.4</v>
      </c>
      <c r="I1857" s="3">
        <v>2504445</v>
      </c>
      <c r="J1857" s="3">
        <v>2003556</v>
      </c>
      <c r="K1857" s="3">
        <v>402880.6</v>
      </c>
      <c r="L1857" t="s">
        <v>15</v>
      </c>
      <c r="M1857">
        <v>4</v>
      </c>
    </row>
    <row r="1858" spans="1:13" x14ac:dyDescent="0.25">
      <c r="A1858">
        <v>1857</v>
      </c>
      <c r="B1858" s="1">
        <v>43038</v>
      </c>
      <c r="C1858" s="1">
        <v>43331</v>
      </c>
      <c r="D1858" t="s">
        <v>21</v>
      </c>
      <c r="E1858" t="s">
        <v>28</v>
      </c>
      <c r="F1858" s="2">
        <v>249</v>
      </c>
      <c r="G1858" t="s">
        <v>12</v>
      </c>
      <c r="H1858" s="3">
        <v>95089.16</v>
      </c>
      <c r="I1858" s="3">
        <v>2430689</v>
      </c>
      <c r="J1858" s="3">
        <v>1944551.2</v>
      </c>
      <c r="K1858" s="3">
        <v>391048.64</v>
      </c>
      <c r="L1858" t="s">
        <v>18</v>
      </c>
      <c r="M1858">
        <v>4.5</v>
      </c>
    </row>
    <row r="1859" spans="1:13" x14ac:dyDescent="0.25">
      <c r="A1859">
        <v>1858</v>
      </c>
      <c r="B1859" s="1">
        <v>43038</v>
      </c>
      <c r="C1859" s="1">
        <v>43401</v>
      </c>
      <c r="D1859" t="s">
        <v>20</v>
      </c>
      <c r="E1859" t="s">
        <v>26</v>
      </c>
      <c r="F1859" s="2">
        <v>98</v>
      </c>
      <c r="G1859" t="s">
        <v>11</v>
      </c>
      <c r="H1859" s="3">
        <v>20613.32</v>
      </c>
      <c r="I1859" s="3">
        <v>573218</v>
      </c>
      <c r="J1859" s="3">
        <v>458574.4</v>
      </c>
      <c r="K1859" s="3">
        <v>94030.27999999997</v>
      </c>
      <c r="L1859" t="s">
        <v>18</v>
      </c>
      <c r="M1859">
        <v>4</v>
      </c>
    </row>
    <row r="1860" spans="1:13" x14ac:dyDescent="0.25">
      <c r="A1860">
        <v>1859</v>
      </c>
      <c r="B1860" s="1">
        <v>43039</v>
      </c>
      <c r="C1860" s="1">
        <v>43391</v>
      </c>
      <c r="D1860" t="s">
        <v>22</v>
      </c>
      <c r="E1860" t="s">
        <v>28</v>
      </c>
      <c r="F1860" s="2">
        <v>211</v>
      </c>
      <c r="G1860" t="s">
        <v>12</v>
      </c>
      <c r="H1860" s="3">
        <v>74127.520000000004</v>
      </c>
      <c r="I1860" s="3">
        <v>1919573</v>
      </c>
      <c r="J1860" s="3">
        <v>1535658.4</v>
      </c>
      <c r="K1860" s="3">
        <v>309787.08000000007</v>
      </c>
      <c r="L1860" t="s">
        <v>15</v>
      </c>
      <c r="M1860">
        <v>4.8</v>
      </c>
    </row>
    <row r="1861" spans="1:13" x14ac:dyDescent="0.25">
      <c r="A1861">
        <v>1860</v>
      </c>
      <c r="B1861" s="1">
        <v>43040</v>
      </c>
      <c r="C1861" s="1">
        <v>43213</v>
      </c>
      <c r="D1861" t="s">
        <v>23</v>
      </c>
      <c r="E1861" t="s">
        <v>24</v>
      </c>
      <c r="F1861" s="2">
        <v>206</v>
      </c>
      <c r="G1861" t="s">
        <v>12</v>
      </c>
      <c r="H1861" s="3">
        <v>82745.16</v>
      </c>
      <c r="I1861" s="3">
        <v>2120264</v>
      </c>
      <c r="J1861" s="3">
        <v>1696211.2</v>
      </c>
      <c r="K1861" s="3">
        <v>341307.64</v>
      </c>
      <c r="L1861" t="s">
        <v>18</v>
      </c>
      <c r="M1861">
        <v>4.8</v>
      </c>
    </row>
    <row r="1862" spans="1:13" x14ac:dyDescent="0.25">
      <c r="A1862">
        <v>1861</v>
      </c>
      <c r="B1862" s="1">
        <v>43041</v>
      </c>
      <c r="C1862" s="1">
        <v>43383</v>
      </c>
      <c r="D1862" t="s">
        <v>23</v>
      </c>
      <c r="E1862" t="s">
        <v>24</v>
      </c>
      <c r="F1862" s="2">
        <v>222</v>
      </c>
      <c r="G1862" t="s">
        <v>12</v>
      </c>
      <c r="H1862" s="3">
        <v>77170.600000000006</v>
      </c>
      <c r="I1862" s="3">
        <v>1981325</v>
      </c>
      <c r="J1862" s="3">
        <v>1585060</v>
      </c>
      <c r="K1862" s="3">
        <v>319094.40000000002</v>
      </c>
      <c r="L1862" t="s">
        <v>18</v>
      </c>
      <c r="M1862">
        <v>3.7</v>
      </c>
    </row>
    <row r="1863" spans="1:13" x14ac:dyDescent="0.25">
      <c r="A1863">
        <v>1862</v>
      </c>
      <c r="B1863" s="1">
        <v>43041</v>
      </c>
      <c r="C1863" s="1">
        <v>43232</v>
      </c>
      <c r="D1863" t="s">
        <v>21</v>
      </c>
      <c r="E1863" t="s">
        <v>26</v>
      </c>
      <c r="F1863" s="2">
        <v>242</v>
      </c>
      <c r="G1863" t="s">
        <v>12</v>
      </c>
      <c r="H1863" s="3">
        <v>88249.16</v>
      </c>
      <c r="I1863" s="3">
        <v>2257814</v>
      </c>
      <c r="J1863" s="3">
        <v>1806251.2</v>
      </c>
      <c r="K1863" s="3">
        <v>363313.64</v>
      </c>
      <c r="L1863" t="s">
        <v>15</v>
      </c>
      <c r="M1863">
        <v>3.8</v>
      </c>
    </row>
    <row r="1864" spans="1:13" x14ac:dyDescent="0.25">
      <c r="A1864">
        <v>1863</v>
      </c>
      <c r="B1864" s="1">
        <v>43041</v>
      </c>
      <c r="C1864" s="1">
        <v>43182</v>
      </c>
      <c r="D1864" t="s">
        <v>21</v>
      </c>
      <c r="E1864" t="s">
        <v>26</v>
      </c>
      <c r="F1864" s="2">
        <v>79</v>
      </c>
      <c r="G1864" t="s">
        <v>11</v>
      </c>
      <c r="H1864" s="3">
        <v>15519.88</v>
      </c>
      <c r="I1864" s="3">
        <v>454357</v>
      </c>
      <c r="J1864" s="3">
        <v>363485.6</v>
      </c>
      <c r="K1864" s="3">
        <v>75351.520000000019</v>
      </c>
      <c r="L1864" t="s">
        <v>19</v>
      </c>
      <c r="M1864">
        <v>4.2</v>
      </c>
    </row>
    <row r="1865" spans="1:13" x14ac:dyDescent="0.25">
      <c r="A1865">
        <v>1864</v>
      </c>
      <c r="B1865" s="1">
        <v>43041</v>
      </c>
      <c r="C1865" s="1">
        <v>43280</v>
      </c>
      <c r="D1865" t="s">
        <v>23</v>
      </c>
      <c r="E1865" t="s">
        <v>13</v>
      </c>
      <c r="F1865" s="2">
        <v>60</v>
      </c>
      <c r="G1865" t="s">
        <v>11</v>
      </c>
      <c r="H1865" s="3">
        <v>11003.52</v>
      </c>
      <c r="I1865" s="3">
        <v>340598</v>
      </c>
      <c r="J1865" s="3">
        <v>272478.40000000002</v>
      </c>
      <c r="K1865" s="3">
        <v>57116.079999999973</v>
      </c>
      <c r="L1865" t="s">
        <v>16</v>
      </c>
      <c r="M1865">
        <v>4.9000000000000004</v>
      </c>
    </row>
    <row r="1866" spans="1:13" x14ac:dyDescent="0.25">
      <c r="A1866">
        <v>1865</v>
      </c>
      <c r="B1866" s="1">
        <v>43042</v>
      </c>
      <c r="C1866" s="1">
        <v>43195</v>
      </c>
      <c r="D1866" t="s">
        <v>23</v>
      </c>
      <c r="E1866" t="s">
        <v>26</v>
      </c>
      <c r="F1866" s="2">
        <v>65</v>
      </c>
      <c r="G1866" t="s">
        <v>11</v>
      </c>
      <c r="H1866" s="3">
        <v>10888.28</v>
      </c>
      <c r="I1866" s="3">
        <v>335892</v>
      </c>
      <c r="J1866" s="3">
        <v>268713.59999999998</v>
      </c>
      <c r="K1866" s="3">
        <v>56290.120000000024</v>
      </c>
      <c r="L1866" t="s">
        <v>18</v>
      </c>
      <c r="M1866">
        <v>4.5999999999999996</v>
      </c>
    </row>
    <row r="1867" spans="1:13" x14ac:dyDescent="0.25">
      <c r="A1867">
        <v>1866</v>
      </c>
      <c r="B1867" s="1">
        <v>43042</v>
      </c>
      <c r="C1867" s="1">
        <v>43263</v>
      </c>
      <c r="D1867" t="s">
        <v>23</v>
      </c>
      <c r="E1867" t="s">
        <v>25</v>
      </c>
      <c r="F1867" s="2">
        <v>67</v>
      </c>
      <c r="G1867" t="s">
        <v>11</v>
      </c>
      <c r="H1867" s="3">
        <v>20625.599999999999</v>
      </c>
      <c r="I1867" s="3">
        <v>577375</v>
      </c>
      <c r="J1867" s="3">
        <v>461900</v>
      </c>
      <c r="K1867" s="3">
        <v>94849.4</v>
      </c>
      <c r="L1867" t="s">
        <v>17</v>
      </c>
      <c r="M1867">
        <v>4</v>
      </c>
    </row>
    <row r="1868" spans="1:13" x14ac:dyDescent="0.25">
      <c r="A1868">
        <v>1867</v>
      </c>
      <c r="B1868" s="1">
        <v>43042</v>
      </c>
      <c r="C1868" s="1">
        <v>43247</v>
      </c>
      <c r="D1868" t="s">
        <v>23</v>
      </c>
      <c r="E1868" t="s">
        <v>24</v>
      </c>
      <c r="F1868" s="2">
        <v>105</v>
      </c>
      <c r="G1868" t="s">
        <v>11</v>
      </c>
      <c r="H1868" s="3">
        <v>19696.84</v>
      </c>
      <c r="I1868" s="3">
        <v>551081</v>
      </c>
      <c r="J1868" s="3">
        <v>440864.8</v>
      </c>
      <c r="K1868" s="3">
        <v>90519.360000000015</v>
      </c>
      <c r="L1868" t="s">
        <v>19</v>
      </c>
      <c r="M1868">
        <v>3.8</v>
      </c>
    </row>
    <row r="1869" spans="1:13" x14ac:dyDescent="0.25">
      <c r="A1869">
        <v>1868</v>
      </c>
      <c r="B1869" s="1">
        <v>43043</v>
      </c>
      <c r="C1869" s="1">
        <v>43398</v>
      </c>
      <c r="D1869" t="s">
        <v>22</v>
      </c>
      <c r="E1869" t="s">
        <v>13</v>
      </c>
      <c r="F1869" s="2">
        <v>63</v>
      </c>
      <c r="G1869" t="s">
        <v>11</v>
      </c>
      <c r="H1869" s="3">
        <v>25642.959999999999</v>
      </c>
      <c r="I1869" s="3">
        <v>703784</v>
      </c>
      <c r="J1869" s="3">
        <v>563027.19999999995</v>
      </c>
      <c r="K1869" s="3">
        <v>115113.84000000005</v>
      </c>
      <c r="L1869" t="s">
        <v>19</v>
      </c>
      <c r="M1869">
        <v>4.7</v>
      </c>
    </row>
    <row r="1870" spans="1:13" x14ac:dyDescent="0.25">
      <c r="A1870">
        <v>1869</v>
      </c>
      <c r="B1870" s="1">
        <v>43043</v>
      </c>
      <c r="C1870" s="1">
        <v>43140</v>
      </c>
      <c r="D1870" t="s">
        <v>23</v>
      </c>
      <c r="E1870" t="s">
        <v>28</v>
      </c>
      <c r="F1870" s="2">
        <v>253</v>
      </c>
      <c r="G1870" t="s">
        <v>12</v>
      </c>
      <c r="H1870" s="3">
        <v>42298.28</v>
      </c>
      <c r="I1870" s="3">
        <v>1110817</v>
      </c>
      <c r="J1870" s="3">
        <v>888653.6</v>
      </c>
      <c r="K1870" s="3">
        <v>179865.12000000002</v>
      </c>
      <c r="L1870" t="s">
        <v>16</v>
      </c>
      <c r="M1870">
        <v>4.0999999999999996</v>
      </c>
    </row>
    <row r="1871" spans="1:13" x14ac:dyDescent="0.25">
      <c r="A1871">
        <v>1870</v>
      </c>
      <c r="B1871" s="1">
        <v>43043</v>
      </c>
      <c r="C1871" s="1">
        <v>43302</v>
      </c>
      <c r="D1871" t="s">
        <v>22</v>
      </c>
      <c r="E1871" t="s">
        <v>24</v>
      </c>
      <c r="F1871" s="2">
        <v>184</v>
      </c>
      <c r="G1871" t="s">
        <v>12</v>
      </c>
      <c r="H1871" s="3">
        <v>74804.72</v>
      </c>
      <c r="I1871" s="3">
        <v>1931778</v>
      </c>
      <c r="J1871" s="3">
        <v>1545422.4</v>
      </c>
      <c r="K1871" s="3">
        <v>311550.88000000012</v>
      </c>
      <c r="L1871" t="s">
        <v>18</v>
      </c>
      <c r="M1871">
        <v>3.7</v>
      </c>
    </row>
    <row r="1872" spans="1:13" x14ac:dyDescent="0.25">
      <c r="A1872">
        <v>1871</v>
      </c>
      <c r="B1872" s="1">
        <v>43044</v>
      </c>
      <c r="C1872" s="1">
        <v>43402</v>
      </c>
      <c r="D1872" t="s">
        <v>23</v>
      </c>
      <c r="E1872" t="s">
        <v>25</v>
      </c>
      <c r="F1872" s="2">
        <v>114</v>
      </c>
      <c r="G1872" t="s">
        <v>11</v>
      </c>
      <c r="H1872" s="3">
        <v>20240.240000000002</v>
      </c>
      <c r="I1872" s="3">
        <v>559966</v>
      </c>
      <c r="J1872" s="3">
        <v>447972.8</v>
      </c>
      <c r="K1872" s="3">
        <v>91752.960000000006</v>
      </c>
      <c r="L1872" t="s">
        <v>19</v>
      </c>
      <c r="M1872">
        <v>4.7</v>
      </c>
    </row>
    <row r="1873" spans="1:13" x14ac:dyDescent="0.25">
      <c r="A1873">
        <v>1872</v>
      </c>
      <c r="B1873" s="1">
        <v>43044</v>
      </c>
      <c r="C1873" s="1">
        <v>43225</v>
      </c>
      <c r="D1873" t="s">
        <v>22</v>
      </c>
      <c r="E1873" t="s">
        <v>24</v>
      </c>
      <c r="F1873" s="2">
        <v>229</v>
      </c>
      <c r="G1873" t="s">
        <v>12</v>
      </c>
      <c r="H1873" s="3">
        <v>64907.88</v>
      </c>
      <c r="I1873" s="3">
        <v>1681232</v>
      </c>
      <c r="J1873" s="3">
        <v>1344985.6</v>
      </c>
      <c r="K1873" s="3">
        <v>271338.5199999999</v>
      </c>
      <c r="L1873" t="s">
        <v>14</v>
      </c>
      <c r="M1873">
        <v>4.7</v>
      </c>
    </row>
    <row r="1874" spans="1:13" x14ac:dyDescent="0.25">
      <c r="A1874">
        <v>1873</v>
      </c>
      <c r="B1874" s="1">
        <v>43044</v>
      </c>
      <c r="C1874" s="1">
        <v>43157</v>
      </c>
      <c r="D1874" t="s">
        <v>23</v>
      </c>
      <c r="E1874" t="s">
        <v>24</v>
      </c>
      <c r="F1874" s="2">
        <v>118</v>
      </c>
      <c r="G1874" t="s">
        <v>12</v>
      </c>
      <c r="H1874" s="3">
        <v>45816.88</v>
      </c>
      <c r="I1874" s="3">
        <v>1198657</v>
      </c>
      <c r="J1874" s="3">
        <v>958925.6</v>
      </c>
      <c r="K1874" s="3">
        <v>193914.52000000002</v>
      </c>
      <c r="L1874" t="s">
        <v>19</v>
      </c>
      <c r="M1874">
        <v>4.5999999999999996</v>
      </c>
    </row>
    <row r="1875" spans="1:13" x14ac:dyDescent="0.25">
      <c r="A1875">
        <v>1874</v>
      </c>
      <c r="B1875" s="1">
        <v>43046</v>
      </c>
      <c r="C1875" s="1">
        <v>43206</v>
      </c>
      <c r="D1875" t="s">
        <v>21</v>
      </c>
      <c r="E1875" t="s">
        <v>27</v>
      </c>
      <c r="F1875" s="2">
        <v>124</v>
      </c>
      <c r="G1875" t="s">
        <v>11</v>
      </c>
      <c r="H1875" s="3">
        <v>27052.400000000001</v>
      </c>
      <c r="I1875" s="3">
        <v>743045</v>
      </c>
      <c r="J1875" s="3">
        <v>594436</v>
      </c>
      <c r="K1875" s="3">
        <v>121556.6</v>
      </c>
      <c r="L1875" t="s">
        <v>14</v>
      </c>
      <c r="M1875">
        <v>4</v>
      </c>
    </row>
    <row r="1876" spans="1:13" x14ac:dyDescent="0.25">
      <c r="A1876">
        <v>1875</v>
      </c>
      <c r="B1876" s="1">
        <v>43046</v>
      </c>
      <c r="C1876" s="1">
        <v>43212</v>
      </c>
      <c r="D1876" t="s">
        <v>23</v>
      </c>
      <c r="E1876" t="s">
        <v>26</v>
      </c>
      <c r="F1876" s="2">
        <v>86</v>
      </c>
      <c r="G1876" t="s">
        <v>11</v>
      </c>
      <c r="H1876" s="3">
        <v>22353.200000000001</v>
      </c>
      <c r="I1876" s="3">
        <v>625640</v>
      </c>
      <c r="J1876" s="3">
        <v>500512</v>
      </c>
      <c r="K1876" s="3">
        <v>102774.8</v>
      </c>
      <c r="L1876" t="s">
        <v>14</v>
      </c>
      <c r="M1876">
        <v>4.9000000000000004</v>
      </c>
    </row>
    <row r="1877" spans="1:13" x14ac:dyDescent="0.25">
      <c r="A1877">
        <v>1876</v>
      </c>
      <c r="B1877" s="1">
        <v>43047</v>
      </c>
      <c r="C1877" s="1">
        <v>43350</v>
      </c>
      <c r="D1877" t="s">
        <v>23</v>
      </c>
      <c r="E1877" t="s">
        <v>25</v>
      </c>
      <c r="F1877" s="2">
        <v>184</v>
      </c>
      <c r="G1877" t="s">
        <v>12</v>
      </c>
      <c r="H1877" s="3">
        <v>54019.92</v>
      </c>
      <c r="I1877" s="3">
        <v>1407483</v>
      </c>
      <c r="J1877" s="3">
        <v>1125986.3999999999</v>
      </c>
      <c r="K1877" s="3">
        <v>227476.68000000011</v>
      </c>
      <c r="L1877" t="s">
        <v>16</v>
      </c>
      <c r="M1877">
        <v>4.5</v>
      </c>
    </row>
    <row r="1878" spans="1:13" x14ac:dyDescent="0.25">
      <c r="A1878">
        <v>1877</v>
      </c>
      <c r="B1878" s="1">
        <v>43047</v>
      </c>
      <c r="C1878" s="1">
        <v>43199</v>
      </c>
      <c r="D1878" t="s">
        <v>21</v>
      </c>
      <c r="E1878" t="s">
        <v>26</v>
      </c>
      <c r="F1878" s="2">
        <v>166</v>
      </c>
      <c r="G1878" t="s">
        <v>12</v>
      </c>
      <c r="H1878" s="3">
        <v>43132.480000000003</v>
      </c>
      <c r="I1878" s="3">
        <v>1130372</v>
      </c>
      <c r="J1878" s="3">
        <v>904297.6</v>
      </c>
      <c r="K1878" s="3">
        <v>182941.92</v>
      </c>
      <c r="L1878" t="s">
        <v>15</v>
      </c>
      <c r="M1878">
        <v>5</v>
      </c>
    </row>
    <row r="1879" spans="1:13" x14ac:dyDescent="0.25">
      <c r="A1879">
        <v>1878</v>
      </c>
      <c r="B1879" s="1">
        <v>43047</v>
      </c>
      <c r="C1879" s="1">
        <v>43330</v>
      </c>
      <c r="D1879" t="s">
        <v>20</v>
      </c>
      <c r="E1879" t="s">
        <v>25</v>
      </c>
      <c r="F1879" s="2">
        <v>165</v>
      </c>
      <c r="G1879" t="s">
        <v>12</v>
      </c>
      <c r="H1879" s="3">
        <v>38077.4</v>
      </c>
      <c r="I1879" s="3">
        <v>1011095</v>
      </c>
      <c r="J1879" s="3">
        <v>808876</v>
      </c>
      <c r="K1879" s="3">
        <v>164141.6</v>
      </c>
      <c r="L1879" t="s">
        <v>18</v>
      </c>
      <c r="M1879">
        <v>3.7</v>
      </c>
    </row>
    <row r="1880" spans="1:13" x14ac:dyDescent="0.25">
      <c r="A1880">
        <v>1879</v>
      </c>
      <c r="B1880" s="1">
        <v>43047</v>
      </c>
      <c r="C1880" s="1">
        <v>43233</v>
      </c>
      <c r="D1880" t="s">
        <v>22</v>
      </c>
      <c r="E1880" t="s">
        <v>25</v>
      </c>
      <c r="F1880" s="2">
        <v>52</v>
      </c>
      <c r="G1880" t="s">
        <v>11</v>
      </c>
      <c r="H1880" s="3">
        <v>9410.52</v>
      </c>
      <c r="I1880" s="3">
        <v>302398</v>
      </c>
      <c r="J1880" s="3">
        <v>241918.4</v>
      </c>
      <c r="K1880" s="3">
        <v>51069.08</v>
      </c>
      <c r="L1880" t="s">
        <v>19</v>
      </c>
      <c r="M1880">
        <v>4.5</v>
      </c>
    </row>
    <row r="1881" spans="1:13" x14ac:dyDescent="0.25">
      <c r="A1881">
        <v>1880</v>
      </c>
      <c r="B1881" s="1">
        <v>43047</v>
      </c>
      <c r="C1881" s="1">
        <v>43251</v>
      </c>
      <c r="D1881" t="s">
        <v>22</v>
      </c>
      <c r="E1881" t="s">
        <v>27</v>
      </c>
      <c r="F1881" s="2">
        <v>148</v>
      </c>
      <c r="G1881" t="s">
        <v>12</v>
      </c>
      <c r="H1881" s="3">
        <v>35595.919999999998</v>
      </c>
      <c r="I1881" s="3">
        <v>949283</v>
      </c>
      <c r="J1881" s="3">
        <v>759426.4</v>
      </c>
      <c r="K1881" s="3">
        <v>154260.68</v>
      </c>
      <c r="L1881" t="s">
        <v>17</v>
      </c>
      <c r="M1881">
        <v>4.3</v>
      </c>
    </row>
    <row r="1882" spans="1:13" x14ac:dyDescent="0.25">
      <c r="A1882">
        <v>1881</v>
      </c>
      <c r="B1882" s="1">
        <v>43048</v>
      </c>
      <c r="C1882" s="1">
        <v>43199</v>
      </c>
      <c r="D1882" t="s">
        <v>20</v>
      </c>
      <c r="E1882" t="s">
        <v>25</v>
      </c>
      <c r="F1882" s="2">
        <v>150</v>
      </c>
      <c r="G1882" t="s">
        <v>12</v>
      </c>
      <c r="H1882" s="3">
        <v>46308.12</v>
      </c>
      <c r="I1882" s="3">
        <v>1210688</v>
      </c>
      <c r="J1882" s="3">
        <v>968550.40000000002</v>
      </c>
      <c r="K1882" s="3">
        <v>195829.47999999998</v>
      </c>
      <c r="L1882" t="s">
        <v>15</v>
      </c>
      <c r="M1882">
        <v>4.9000000000000004</v>
      </c>
    </row>
    <row r="1883" spans="1:13" x14ac:dyDescent="0.25">
      <c r="A1883">
        <v>1882</v>
      </c>
      <c r="B1883" s="1">
        <v>43048</v>
      </c>
      <c r="C1883" s="1">
        <v>43340</v>
      </c>
      <c r="D1883" t="s">
        <v>23</v>
      </c>
      <c r="E1883" t="s">
        <v>13</v>
      </c>
      <c r="F1883" s="2">
        <v>183</v>
      </c>
      <c r="G1883" t="s">
        <v>12</v>
      </c>
      <c r="H1883" s="3">
        <v>67785.600000000006</v>
      </c>
      <c r="I1883" s="3">
        <v>1750475</v>
      </c>
      <c r="J1883" s="3">
        <v>1400380</v>
      </c>
      <c r="K1883" s="3">
        <v>282309.40000000002</v>
      </c>
      <c r="L1883" t="s">
        <v>18</v>
      </c>
      <c r="M1883">
        <v>4.2</v>
      </c>
    </row>
    <row r="1884" spans="1:13" x14ac:dyDescent="0.25">
      <c r="A1884">
        <v>1883</v>
      </c>
      <c r="B1884" s="1">
        <v>43048</v>
      </c>
      <c r="C1884" s="1">
        <v>43361</v>
      </c>
      <c r="D1884" t="s">
        <v>21</v>
      </c>
      <c r="E1884" t="s">
        <v>27</v>
      </c>
      <c r="F1884" s="2">
        <v>150</v>
      </c>
      <c r="G1884" t="s">
        <v>12</v>
      </c>
      <c r="H1884" s="3">
        <v>59768.52</v>
      </c>
      <c r="I1884" s="3">
        <v>1545473</v>
      </c>
      <c r="J1884" s="3">
        <v>1236378.3999999999</v>
      </c>
      <c r="K1884" s="3">
        <v>249326.0800000001</v>
      </c>
      <c r="L1884" t="s">
        <v>17</v>
      </c>
      <c r="M1884">
        <v>3.6</v>
      </c>
    </row>
    <row r="1885" spans="1:13" x14ac:dyDescent="0.25">
      <c r="A1885">
        <v>1884</v>
      </c>
      <c r="B1885" s="1">
        <v>43049</v>
      </c>
      <c r="C1885" s="1">
        <v>43207</v>
      </c>
      <c r="D1885" t="s">
        <v>21</v>
      </c>
      <c r="E1885" t="s">
        <v>25</v>
      </c>
      <c r="F1885" s="2">
        <v>241</v>
      </c>
      <c r="G1885" t="s">
        <v>12</v>
      </c>
      <c r="H1885" s="3">
        <v>87543.56</v>
      </c>
      <c r="I1885" s="3">
        <v>2252699</v>
      </c>
      <c r="J1885" s="3">
        <v>1802159.2</v>
      </c>
      <c r="K1885" s="3">
        <v>362996.24000000005</v>
      </c>
      <c r="L1885" t="s">
        <v>18</v>
      </c>
      <c r="M1885">
        <v>3.8</v>
      </c>
    </row>
    <row r="1886" spans="1:13" x14ac:dyDescent="0.25">
      <c r="A1886">
        <v>1885</v>
      </c>
      <c r="B1886" s="1">
        <v>43051</v>
      </c>
      <c r="C1886" s="1">
        <v>43305</v>
      </c>
      <c r="D1886" t="s">
        <v>23</v>
      </c>
      <c r="E1886" t="s">
        <v>26</v>
      </c>
      <c r="F1886" s="2">
        <v>220</v>
      </c>
      <c r="G1886" t="s">
        <v>12</v>
      </c>
      <c r="H1886" s="3">
        <v>51121</v>
      </c>
      <c r="I1886" s="3">
        <v>1336985</v>
      </c>
      <c r="J1886" s="3">
        <v>1069588</v>
      </c>
      <c r="K1886" s="3">
        <v>216276</v>
      </c>
      <c r="L1886" t="s">
        <v>14</v>
      </c>
      <c r="M1886">
        <v>3.6</v>
      </c>
    </row>
    <row r="1887" spans="1:13" x14ac:dyDescent="0.25">
      <c r="A1887">
        <v>1886</v>
      </c>
      <c r="B1887" s="1">
        <v>43051</v>
      </c>
      <c r="C1887" s="1">
        <v>43164</v>
      </c>
      <c r="D1887" t="s">
        <v>22</v>
      </c>
      <c r="E1887" t="s">
        <v>29</v>
      </c>
      <c r="F1887" s="2">
        <v>267</v>
      </c>
      <c r="G1887" t="s">
        <v>12</v>
      </c>
      <c r="H1887" s="3">
        <v>92478.32</v>
      </c>
      <c r="I1887" s="3">
        <v>2369543</v>
      </c>
      <c r="J1887" s="3">
        <v>1895634.4</v>
      </c>
      <c r="K1887" s="3">
        <v>381430.28000000009</v>
      </c>
      <c r="L1887" t="s">
        <v>16</v>
      </c>
      <c r="M1887">
        <v>4.0999999999999996</v>
      </c>
    </row>
    <row r="1888" spans="1:13" x14ac:dyDescent="0.25">
      <c r="A1888">
        <v>1887</v>
      </c>
      <c r="B1888" s="1">
        <v>43052</v>
      </c>
      <c r="C1888" s="1">
        <v>43150</v>
      </c>
      <c r="D1888" t="s">
        <v>23</v>
      </c>
      <c r="E1888" t="s">
        <v>24</v>
      </c>
      <c r="F1888" s="2">
        <v>153</v>
      </c>
      <c r="G1888" t="s">
        <v>11</v>
      </c>
      <c r="H1888" s="3">
        <v>26472.36</v>
      </c>
      <c r="I1888" s="3">
        <v>728969</v>
      </c>
      <c r="J1888" s="3">
        <v>583175.19999999995</v>
      </c>
      <c r="K1888" s="3">
        <v>119321.44000000005</v>
      </c>
      <c r="L1888" t="s">
        <v>15</v>
      </c>
      <c r="M1888">
        <v>4.4000000000000004</v>
      </c>
    </row>
    <row r="1889" spans="1:13" x14ac:dyDescent="0.25">
      <c r="A1889">
        <v>1888</v>
      </c>
      <c r="B1889" s="1">
        <v>43052</v>
      </c>
      <c r="C1889" s="1">
        <v>43308</v>
      </c>
      <c r="D1889" t="s">
        <v>23</v>
      </c>
      <c r="E1889" t="s">
        <v>25</v>
      </c>
      <c r="F1889" s="2">
        <v>61</v>
      </c>
      <c r="G1889" t="s">
        <v>11</v>
      </c>
      <c r="H1889" s="3">
        <v>14765.88</v>
      </c>
      <c r="I1889" s="3">
        <v>429457</v>
      </c>
      <c r="J1889" s="3">
        <v>343565.6</v>
      </c>
      <c r="K1889" s="3">
        <v>71125.520000000019</v>
      </c>
      <c r="L1889" t="s">
        <v>15</v>
      </c>
      <c r="M1889">
        <v>4.5999999999999996</v>
      </c>
    </row>
    <row r="1890" spans="1:13" x14ac:dyDescent="0.25">
      <c r="A1890">
        <v>1889</v>
      </c>
      <c r="B1890" s="1">
        <v>43052</v>
      </c>
      <c r="C1890" s="1">
        <v>43206</v>
      </c>
      <c r="D1890" t="s">
        <v>20</v>
      </c>
      <c r="E1890" t="s">
        <v>29</v>
      </c>
      <c r="F1890" s="2">
        <v>71</v>
      </c>
      <c r="G1890" t="s">
        <v>11</v>
      </c>
      <c r="H1890" s="3">
        <v>13060.36</v>
      </c>
      <c r="I1890" s="3">
        <v>378069</v>
      </c>
      <c r="J1890" s="3">
        <v>302455.2</v>
      </c>
      <c r="K1890" s="3">
        <v>62553.439999999988</v>
      </c>
      <c r="L1890" t="s">
        <v>19</v>
      </c>
      <c r="M1890">
        <v>5</v>
      </c>
    </row>
    <row r="1891" spans="1:13" x14ac:dyDescent="0.25">
      <c r="A1891">
        <v>1890</v>
      </c>
      <c r="B1891" s="1">
        <v>43052</v>
      </c>
      <c r="C1891" s="1">
        <v>43346</v>
      </c>
      <c r="D1891" t="s">
        <v>20</v>
      </c>
      <c r="E1891" t="s">
        <v>24</v>
      </c>
      <c r="F1891" s="2">
        <v>244</v>
      </c>
      <c r="G1891" t="s">
        <v>12</v>
      </c>
      <c r="H1891" s="3">
        <v>81816</v>
      </c>
      <c r="I1891" s="3">
        <v>2107235</v>
      </c>
      <c r="J1891" s="3">
        <v>1685788</v>
      </c>
      <c r="K1891" s="3">
        <v>339631</v>
      </c>
      <c r="L1891" t="s">
        <v>14</v>
      </c>
      <c r="M1891">
        <v>4.7</v>
      </c>
    </row>
    <row r="1892" spans="1:13" x14ac:dyDescent="0.25">
      <c r="A1892">
        <v>1891</v>
      </c>
      <c r="B1892" s="1">
        <v>43052</v>
      </c>
      <c r="C1892" s="1">
        <v>43331</v>
      </c>
      <c r="D1892" t="s">
        <v>23</v>
      </c>
      <c r="E1892" t="s">
        <v>27</v>
      </c>
      <c r="F1892" s="2">
        <v>82</v>
      </c>
      <c r="G1892" t="s">
        <v>11</v>
      </c>
      <c r="H1892" s="3">
        <v>19164.400000000001</v>
      </c>
      <c r="I1892" s="3">
        <v>536220</v>
      </c>
      <c r="J1892" s="3">
        <v>428976</v>
      </c>
      <c r="K1892" s="3">
        <v>88079.6</v>
      </c>
      <c r="L1892" t="s">
        <v>18</v>
      </c>
      <c r="M1892">
        <v>4.9000000000000004</v>
      </c>
    </row>
    <row r="1893" spans="1:13" x14ac:dyDescent="0.25">
      <c r="A1893">
        <v>1892</v>
      </c>
      <c r="B1893" s="1">
        <v>43052</v>
      </c>
      <c r="C1893" s="1">
        <v>43224</v>
      </c>
      <c r="D1893" t="s">
        <v>22</v>
      </c>
      <c r="E1893" t="s">
        <v>25</v>
      </c>
      <c r="F1893" s="2">
        <v>150</v>
      </c>
      <c r="G1893" t="s">
        <v>12</v>
      </c>
      <c r="H1893" s="3">
        <v>54241.56</v>
      </c>
      <c r="I1893" s="3">
        <v>1417249</v>
      </c>
      <c r="J1893" s="3">
        <v>1133799.2</v>
      </c>
      <c r="K1893" s="3">
        <v>229208.24000000005</v>
      </c>
      <c r="L1893" t="s">
        <v>14</v>
      </c>
      <c r="M1893">
        <v>4.5</v>
      </c>
    </row>
    <row r="1894" spans="1:13" x14ac:dyDescent="0.25">
      <c r="A1894">
        <v>1893</v>
      </c>
      <c r="B1894" s="1">
        <v>43052</v>
      </c>
      <c r="C1894" s="1">
        <v>43148</v>
      </c>
      <c r="D1894" t="s">
        <v>21</v>
      </c>
      <c r="E1894" t="s">
        <v>26</v>
      </c>
      <c r="F1894" s="2">
        <v>63</v>
      </c>
      <c r="G1894" t="s">
        <v>11</v>
      </c>
      <c r="H1894" s="3">
        <v>20084.2</v>
      </c>
      <c r="I1894" s="3">
        <v>563165</v>
      </c>
      <c r="J1894" s="3">
        <v>450532</v>
      </c>
      <c r="K1894" s="3">
        <v>92548.800000000003</v>
      </c>
      <c r="L1894" t="s">
        <v>16</v>
      </c>
      <c r="M1894">
        <v>4.3</v>
      </c>
    </row>
    <row r="1895" spans="1:13" x14ac:dyDescent="0.25">
      <c r="A1895">
        <v>1894</v>
      </c>
      <c r="B1895" s="1">
        <v>43053</v>
      </c>
      <c r="C1895" s="1">
        <v>43236</v>
      </c>
      <c r="D1895" t="s">
        <v>23</v>
      </c>
      <c r="E1895" t="s">
        <v>28</v>
      </c>
      <c r="F1895" s="2">
        <v>42</v>
      </c>
      <c r="G1895" t="s">
        <v>11</v>
      </c>
      <c r="H1895" s="3">
        <v>15866.2</v>
      </c>
      <c r="I1895" s="3">
        <v>463365</v>
      </c>
      <c r="J1895" s="3">
        <v>370692</v>
      </c>
      <c r="K1895" s="3">
        <v>76806.8</v>
      </c>
      <c r="L1895" t="s">
        <v>19</v>
      </c>
      <c r="M1895">
        <v>3.8</v>
      </c>
    </row>
    <row r="1896" spans="1:13" x14ac:dyDescent="0.25">
      <c r="A1896">
        <v>1895</v>
      </c>
      <c r="B1896" s="1">
        <v>43053</v>
      </c>
      <c r="C1896" s="1">
        <v>43195</v>
      </c>
      <c r="D1896" t="s">
        <v>22</v>
      </c>
      <c r="E1896" t="s">
        <v>13</v>
      </c>
      <c r="F1896" s="2">
        <v>275</v>
      </c>
      <c r="G1896" t="s">
        <v>12</v>
      </c>
      <c r="H1896" s="3">
        <v>67889.8</v>
      </c>
      <c r="I1896" s="3">
        <v>1756805</v>
      </c>
      <c r="J1896" s="3">
        <v>1405444</v>
      </c>
      <c r="K1896" s="3">
        <v>283471.2</v>
      </c>
      <c r="L1896" t="s">
        <v>18</v>
      </c>
      <c r="M1896">
        <v>4.5999999999999996</v>
      </c>
    </row>
    <row r="1897" spans="1:13" x14ac:dyDescent="0.25">
      <c r="A1897">
        <v>1896</v>
      </c>
      <c r="B1897" s="1">
        <v>43053</v>
      </c>
      <c r="C1897" s="1">
        <v>43145</v>
      </c>
      <c r="D1897" t="s">
        <v>22</v>
      </c>
      <c r="E1897" t="s">
        <v>29</v>
      </c>
      <c r="F1897" s="2">
        <v>188</v>
      </c>
      <c r="G1897" t="s">
        <v>12</v>
      </c>
      <c r="H1897" s="3">
        <v>31329.32</v>
      </c>
      <c r="I1897" s="3">
        <v>841168</v>
      </c>
      <c r="J1897" s="3">
        <v>672934.40000000002</v>
      </c>
      <c r="K1897" s="3">
        <v>136904.27999999997</v>
      </c>
      <c r="L1897" t="s">
        <v>18</v>
      </c>
      <c r="M1897">
        <v>4.8</v>
      </c>
    </row>
    <row r="1898" spans="1:13" x14ac:dyDescent="0.25">
      <c r="A1898">
        <v>1897</v>
      </c>
      <c r="B1898" s="1">
        <v>43054</v>
      </c>
      <c r="C1898" s="1">
        <v>43241</v>
      </c>
      <c r="D1898" t="s">
        <v>22</v>
      </c>
      <c r="E1898" t="s">
        <v>13</v>
      </c>
      <c r="F1898" s="2">
        <v>56</v>
      </c>
      <c r="G1898" t="s">
        <v>11</v>
      </c>
      <c r="H1898" s="3">
        <v>16080.6</v>
      </c>
      <c r="I1898" s="3">
        <v>457775</v>
      </c>
      <c r="J1898" s="3">
        <v>366220</v>
      </c>
      <c r="K1898" s="3">
        <v>75474.399999999994</v>
      </c>
      <c r="L1898" t="s">
        <v>16</v>
      </c>
      <c r="M1898">
        <v>4.2</v>
      </c>
    </row>
    <row r="1899" spans="1:13" x14ac:dyDescent="0.25">
      <c r="A1899">
        <v>1898</v>
      </c>
      <c r="B1899" s="1">
        <v>43055</v>
      </c>
      <c r="C1899" s="1">
        <v>43257</v>
      </c>
      <c r="D1899" t="s">
        <v>23</v>
      </c>
      <c r="E1899" t="s">
        <v>26</v>
      </c>
      <c r="F1899" s="2">
        <v>159</v>
      </c>
      <c r="G1899" t="s">
        <v>12</v>
      </c>
      <c r="H1899" s="3">
        <v>46343.28</v>
      </c>
      <c r="I1899" s="3">
        <v>1216442</v>
      </c>
      <c r="J1899" s="3">
        <v>973153.6</v>
      </c>
      <c r="K1899" s="3">
        <v>196945.12000000002</v>
      </c>
      <c r="L1899" t="s">
        <v>18</v>
      </c>
      <c r="M1899">
        <v>4</v>
      </c>
    </row>
    <row r="1900" spans="1:13" x14ac:dyDescent="0.25">
      <c r="A1900">
        <v>1899</v>
      </c>
      <c r="B1900" s="1">
        <v>43055</v>
      </c>
      <c r="C1900" s="1">
        <v>43391</v>
      </c>
      <c r="D1900" t="s">
        <v>21</v>
      </c>
      <c r="E1900" t="s">
        <v>26</v>
      </c>
      <c r="F1900" s="2">
        <v>110</v>
      </c>
      <c r="G1900" t="s">
        <v>12</v>
      </c>
      <c r="H1900" s="3">
        <v>34283.599999999999</v>
      </c>
      <c r="I1900" s="3">
        <v>915425</v>
      </c>
      <c r="J1900" s="3">
        <v>732340</v>
      </c>
      <c r="K1900" s="3">
        <v>148801.4</v>
      </c>
      <c r="L1900" t="s">
        <v>19</v>
      </c>
      <c r="M1900">
        <v>4.5999999999999996</v>
      </c>
    </row>
    <row r="1901" spans="1:13" x14ac:dyDescent="0.25">
      <c r="A1901">
        <v>1900</v>
      </c>
      <c r="B1901" s="1">
        <v>43055</v>
      </c>
      <c r="C1901" s="1">
        <v>43374</v>
      </c>
      <c r="D1901" t="s">
        <v>21</v>
      </c>
      <c r="E1901" t="s">
        <v>24</v>
      </c>
      <c r="F1901" s="2">
        <v>271</v>
      </c>
      <c r="G1901" t="s">
        <v>12</v>
      </c>
      <c r="H1901" s="3">
        <v>43770.48</v>
      </c>
      <c r="I1901" s="3">
        <v>1153072</v>
      </c>
      <c r="J1901" s="3">
        <v>922457.59999999998</v>
      </c>
      <c r="K1901" s="3">
        <v>186843.92</v>
      </c>
      <c r="L1901" t="s">
        <v>14</v>
      </c>
      <c r="M1901">
        <v>4</v>
      </c>
    </row>
    <row r="1902" spans="1:13" x14ac:dyDescent="0.25">
      <c r="A1902">
        <v>1901</v>
      </c>
      <c r="B1902" s="1">
        <v>43056</v>
      </c>
      <c r="C1902" s="1">
        <v>43224</v>
      </c>
      <c r="D1902" t="s">
        <v>23</v>
      </c>
      <c r="E1902" t="s">
        <v>27</v>
      </c>
      <c r="F1902" s="2">
        <v>154</v>
      </c>
      <c r="G1902" t="s">
        <v>12</v>
      </c>
      <c r="H1902" s="3">
        <v>35612.120000000003</v>
      </c>
      <c r="I1902" s="3">
        <v>953863</v>
      </c>
      <c r="J1902" s="3">
        <v>763090.4</v>
      </c>
      <c r="K1902" s="3">
        <v>155160.47999999998</v>
      </c>
      <c r="L1902" t="s">
        <v>14</v>
      </c>
      <c r="M1902">
        <v>4.4000000000000004</v>
      </c>
    </row>
    <row r="1903" spans="1:13" x14ac:dyDescent="0.25">
      <c r="A1903">
        <v>1902</v>
      </c>
      <c r="B1903" s="1">
        <v>43056</v>
      </c>
      <c r="C1903" s="1">
        <v>43328</v>
      </c>
      <c r="D1903" t="s">
        <v>22</v>
      </c>
      <c r="E1903" t="s">
        <v>25</v>
      </c>
      <c r="F1903" s="2">
        <v>59</v>
      </c>
      <c r="G1903" t="s">
        <v>11</v>
      </c>
      <c r="H1903" s="3">
        <v>16499</v>
      </c>
      <c r="I1903" s="3">
        <v>467760</v>
      </c>
      <c r="J1903" s="3">
        <v>374208</v>
      </c>
      <c r="K1903" s="3">
        <v>77053</v>
      </c>
      <c r="L1903" t="s">
        <v>19</v>
      </c>
      <c r="M1903">
        <v>4.8</v>
      </c>
    </row>
    <row r="1904" spans="1:13" x14ac:dyDescent="0.25">
      <c r="A1904">
        <v>1903</v>
      </c>
      <c r="B1904" s="1">
        <v>43058</v>
      </c>
      <c r="C1904" s="1">
        <v>43409</v>
      </c>
      <c r="D1904" t="s">
        <v>20</v>
      </c>
      <c r="E1904" t="s">
        <v>26</v>
      </c>
      <c r="F1904" s="2">
        <v>141</v>
      </c>
      <c r="G1904" t="s">
        <v>12</v>
      </c>
      <c r="H1904" s="3">
        <v>47915.199999999997</v>
      </c>
      <c r="I1904" s="3">
        <v>1249990</v>
      </c>
      <c r="J1904" s="3">
        <v>999992</v>
      </c>
      <c r="K1904" s="3">
        <v>202082.8</v>
      </c>
      <c r="L1904" t="s">
        <v>15</v>
      </c>
      <c r="M1904">
        <v>5</v>
      </c>
    </row>
    <row r="1905" spans="1:13" x14ac:dyDescent="0.25">
      <c r="A1905">
        <v>1904</v>
      </c>
      <c r="B1905" s="1">
        <v>43058</v>
      </c>
      <c r="C1905" s="1">
        <v>43225</v>
      </c>
      <c r="D1905" t="s">
        <v>22</v>
      </c>
      <c r="E1905" t="s">
        <v>27</v>
      </c>
      <c r="F1905" s="2">
        <v>215</v>
      </c>
      <c r="G1905" t="s">
        <v>12</v>
      </c>
      <c r="H1905" s="3">
        <v>63054</v>
      </c>
      <c r="I1905" s="3">
        <v>1638085</v>
      </c>
      <c r="J1905" s="3">
        <v>1310468</v>
      </c>
      <c r="K1905" s="3">
        <v>264563</v>
      </c>
      <c r="L1905" t="s">
        <v>19</v>
      </c>
      <c r="M1905">
        <v>4.0999999999999996</v>
      </c>
    </row>
    <row r="1906" spans="1:13" x14ac:dyDescent="0.25">
      <c r="A1906">
        <v>1905</v>
      </c>
      <c r="B1906" s="1">
        <v>43058</v>
      </c>
      <c r="C1906" s="1">
        <v>43246</v>
      </c>
      <c r="D1906" t="s">
        <v>23</v>
      </c>
      <c r="E1906" t="s">
        <v>24</v>
      </c>
      <c r="F1906" s="2">
        <v>82</v>
      </c>
      <c r="G1906" t="s">
        <v>11</v>
      </c>
      <c r="H1906" s="3">
        <v>29180</v>
      </c>
      <c r="I1906" s="3">
        <v>793385</v>
      </c>
      <c r="J1906" s="3">
        <v>634708</v>
      </c>
      <c r="K1906" s="3">
        <v>129497</v>
      </c>
      <c r="L1906" t="s">
        <v>14</v>
      </c>
      <c r="M1906">
        <v>4.4000000000000004</v>
      </c>
    </row>
    <row r="1907" spans="1:13" x14ac:dyDescent="0.25">
      <c r="A1907">
        <v>1906</v>
      </c>
      <c r="B1907" s="1">
        <v>43059</v>
      </c>
      <c r="C1907" s="1">
        <v>43405</v>
      </c>
      <c r="D1907" t="s">
        <v>20</v>
      </c>
      <c r="E1907" t="s">
        <v>25</v>
      </c>
      <c r="F1907" s="2">
        <v>87</v>
      </c>
      <c r="G1907" t="s">
        <v>11</v>
      </c>
      <c r="H1907" s="3">
        <v>15624.2</v>
      </c>
      <c r="I1907" s="3">
        <v>452915</v>
      </c>
      <c r="J1907" s="3">
        <v>362332</v>
      </c>
      <c r="K1907" s="3">
        <v>74958.8</v>
      </c>
      <c r="L1907" t="s">
        <v>17</v>
      </c>
      <c r="M1907">
        <v>4.3</v>
      </c>
    </row>
    <row r="1908" spans="1:13" x14ac:dyDescent="0.25">
      <c r="A1908">
        <v>1907</v>
      </c>
      <c r="B1908" s="1">
        <v>43059</v>
      </c>
      <c r="C1908" s="1">
        <v>43389</v>
      </c>
      <c r="D1908" t="s">
        <v>21</v>
      </c>
      <c r="E1908" t="s">
        <v>27</v>
      </c>
      <c r="F1908" s="2">
        <v>102</v>
      </c>
      <c r="G1908" t="s">
        <v>11</v>
      </c>
      <c r="H1908" s="3">
        <v>18832.2</v>
      </c>
      <c r="I1908" s="3">
        <v>537865</v>
      </c>
      <c r="J1908" s="3">
        <v>430292</v>
      </c>
      <c r="K1908" s="3">
        <v>88740.800000000003</v>
      </c>
      <c r="L1908" t="s">
        <v>17</v>
      </c>
      <c r="M1908">
        <v>4.3</v>
      </c>
    </row>
    <row r="1909" spans="1:13" x14ac:dyDescent="0.25">
      <c r="A1909">
        <v>1908</v>
      </c>
      <c r="B1909" s="1">
        <v>43060</v>
      </c>
      <c r="C1909" s="1">
        <v>43194</v>
      </c>
      <c r="D1909" t="s">
        <v>23</v>
      </c>
      <c r="E1909" t="s">
        <v>26</v>
      </c>
      <c r="F1909" s="2">
        <v>46</v>
      </c>
      <c r="G1909" t="s">
        <v>11</v>
      </c>
      <c r="H1909" s="3">
        <v>17970.72</v>
      </c>
      <c r="I1909" s="3">
        <v>509153</v>
      </c>
      <c r="J1909" s="3">
        <v>407322.4</v>
      </c>
      <c r="K1909" s="3">
        <v>83859.879999999976</v>
      </c>
      <c r="L1909" t="s">
        <v>18</v>
      </c>
      <c r="M1909">
        <v>5</v>
      </c>
    </row>
    <row r="1910" spans="1:13" x14ac:dyDescent="0.25">
      <c r="A1910">
        <v>1909</v>
      </c>
      <c r="B1910" s="1">
        <v>43060</v>
      </c>
      <c r="C1910" s="1">
        <v>43329</v>
      </c>
      <c r="D1910" t="s">
        <v>20</v>
      </c>
      <c r="E1910" t="s">
        <v>27</v>
      </c>
      <c r="F1910" s="2">
        <v>114</v>
      </c>
      <c r="G1910" t="s">
        <v>11</v>
      </c>
      <c r="H1910" s="3">
        <v>19722.240000000002</v>
      </c>
      <c r="I1910" s="3">
        <v>545091</v>
      </c>
      <c r="J1910" s="3">
        <v>436072.8</v>
      </c>
      <c r="K1910" s="3">
        <v>89295.96</v>
      </c>
      <c r="L1910" t="s">
        <v>14</v>
      </c>
      <c r="M1910">
        <v>4</v>
      </c>
    </row>
    <row r="1911" spans="1:13" x14ac:dyDescent="0.25">
      <c r="A1911">
        <v>1910</v>
      </c>
      <c r="B1911" s="1">
        <v>43060</v>
      </c>
      <c r="C1911" s="1">
        <v>43173</v>
      </c>
      <c r="D1911" t="s">
        <v>22</v>
      </c>
      <c r="E1911" t="s">
        <v>28</v>
      </c>
      <c r="F1911" s="2">
        <v>179</v>
      </c>
      <c r="G1911" t="s">
        <v>12</v>
      </c>
      <c r="H1911" s="3">
        <v>46466.6</v>
      </c>
      <c r="I1911" s="3">
        <v>1215675</v>
      </c>
      <c r="J1911" s="3">
        <v>972540</v>
      </c>
      <c r="K1911" s="3">
        <v>196668.4</v>
      </c>
      <c r="L1911" t="s">
        <v>19</v>
      </c>
      <c r="M1911">
        <v>4</v>
      </c>
    </row>
    <row r="1912" spans="1:13" x14ac:dyDescent="0.25">
      <c r="A1912">
        <v>1911</v>
      </c>
      <c r="B1912" s="1">
        <v>43060</v>
      </c>
      <c r="C1912" s="1">
        <v>43394</v>
      </c>
      <c r="D1912" t="s">
        <v>20</v>
      </c>
      <c r="E1912" t="s">
        <v>27</v>
      </c>
      <c r="F1912" s="2">
        <v>107</v>
      </c>
      <c r="G1912" t="s">
        <v>12</v>
      </c>
      <c r="H1912" s="3">
        <v>41500.080000000002</v>
      </c>
      <c r="I1912" s="3">
        <v>1096312</v>
      </c>
      <c r="J1912" s="3">
        <v>877049.6</v>
      </c>
      <c r="K1912" s="3">
        <v>177762.32</v>
      </c>
      <c r="L1912" t="s">
        <v>16</v>
      </c>
      <c r="M1912">
        <v>3.6</v>
      </c>
    </row>
    <row r="1913" spans="1:13" x14ac:dyDescent="0.25">
      <c r="A1913">
        <v>1912</v>
      </c>
      <c r="B1913" s="1">
        <v>43061</v>
      </c>
      <c r="C1913" s="1">
        <v>43347</v>
      </c>
      <c r="D1913" t="s">
        <v>22</v>
      </c>
      <c r="E1913" t="s">
        <v>24</v>
      </c>
      <c r="F1913" s="2">
        <v>88</v>
      </c>
      <c r="G1913" t="s">
        <v>12</v>
      </c>
      <c r="H1913" s="3">
        <v>30098.799999999999</v>
      </c>
      <c r="I1913" s="3">
        <v>819855</v>
      </c>
      <c r="J1913" s="3">
        <v>655884</v>
      </c>
      <c r="K1913" s="3">
        <v>133872.20000000001</v>
      </c>
      <c r="L1913" t="s">
        <v>17</v>
      </c>
      <c r="M1913">
        <v>4.2</v>
      </c>
    </row>
    <row r="1914" spans="1:13" x14ac:dyDescent="0.25">
      <c r="A1914">
        <v>1913</v>
      </c>
      <c r="B1914" s="1">
        <v>43061</v>
      </c>
      <c r="C1914" s="1">
        <v>43269</v>
      </c>
      <c r="D1914" t="s">
        <v>23</v>
      </c>
      <c r="E1914" t="s">
        <v>26</v>
      </c>
      <c r="F1914" s="2">
        <v>280</v>
      </c>
      <c r="G1914" t="s">
        <v>12</v>
      </c>
      <c r="H1914" s="3">
        <v>75887.759999999995</v>
      </c>
      <c r="I1914" s="3">
        <v>1962829</v>
      </c>
      <c r="J1914" s="3">
        <v>1570263.2</v>
      </c>
      <c r="K1914" s="3">
        <v>316678.04000000004</v>
      </c>
      <c r="L1914" t="s">
        <v>18</v>
      </c>
      <c r="M1914">
        <v>5</v>
      </c>
    </row>
    <row r="1915" spans="1:13" x14ac:dyDescent="0.25">
      <c r="A1915">
        <v>1914</v>
      </c>
      <c r="B1915" s="1">
        <v>43061</v>
      </c>
      <c r="C1915" s="1">
        <v>43201</v>
      </c>
      <c r="D1915" t="s">
        <v>20</v>
      </c>
      <c r="E1915" t="s">
        <v>13</v>
      </c>
      <c r="F1915" s="2">
        <v>157</v>
      </c>
      <c r="G1915" t="s">
        <v>12</v>
      </c>
      <c r="H1915" s="3">
        <v>35646.639999999999</v>
      </c>
      <c r="I1915" s="3">
        <v>951126</v>
      </c>
      <c r="J1915" s="3">
        <v>760900.8</v>
      </c>
      <c r="K1915" s="3">
        <v>154578.55999999994</v>
      </c>
      <c r="L1915" t="s">
        <v>16</v>
      </c>
      <c r="M1915">
        <v>4.3</v>
      </c>
    </row>
    <row r="1916" spans="1:13" x14ac:dyDescent="0.25">
      <c r="A1916">
        <v>1915</v>
      </c>
      <c r="B1916" s="1">
        <v>43061</v>
      </c>
      <c r="C1916" s="1">
        <v>43397</v>
      </c>
      <c r="D1916" t="s">
        <v>22</v>
      </c>
      <c r="E1916" t="s">
        <v>28</v>
      </c>
      <c r="F1916" s="2">
        <v>171</v>
      </c>
      <c r="G1916" t="s">
        <v>12</v>
      </c>
      <c r="H1916" s="3">
        <v>68265.039999999994</v>
      </c>
      <c r="I1916" s="3">
        <v>1773386</v>
      </c>
      <c r="J1916" s="3">
        <v>1418708.8</v>
      </c>
      <c r="K1916" s="3">
        <v>286412.15999999997</v>
      </c>
      <c r="L1916" t="s">
        <v>18</v>
      </c>
      <c r="M1916">
        <v>4.0999999999999996</v>
      </c>
    </row>
    <row r="1917" spans="1:13" x14ac:dyDescent="0.25">
      <c r="A1917">
        <v>1916</v>
      </c>
      <c r="B1917" s="1">
        <v>43061</v>
      </c>
      <c r="C1917" s="1">
        <v>43245</v>
      </c>
      <c r="D1917" t="s">
        <v>23</v>
      </c>
      <c r="E1917" t="s">
        <v>27</v>
      </c>
      <c r="F1917" s="2">
        <v>256</v>
      </c>
      <c r="G1917" t="s">
        <v>12</v>
      </c>
      <c r="H1917" s="3">
        <v>91874.72</v>
      </c>
      <c r="I1917" s="3">
        <v>2360353</v>
      </c>
      <c r="J1917" s="3">
        <v>1888282.4</v>
      </c>
      <c r="K1917" s="3">
        <v>380195.88000000012</v>
      </c>
      <c r="L1917" t="s">
        <v>15</v>
      </c>
      <c r="M1917">
        <v>4.0999999999999996</v>
      </c>
    </row>
    <row r="1918" spans="1:13" x14ac:dyDescent="0.25">
      <c r="A1918">
        <v>1917</v>
      </c>
      <c r="B1918" s="1">
        <v>43062</v>
      </c>
      <c r="C1918" s="1">
        <v>43168</v>
      </c>
      <c r="D1918" t="s">
        <v>22</v>
      </c>
      <c r="E1918" t="s">
        <v>25</v>
      </c>
      <c r="F1918" s="2">
        <v>55</v>
      </c>
      <c r="G1918" t="s">
        <v>11</v>
      </c>
      <c r="H1918" s="3">
        <v>16447.400000000001</v>
      </c>
      <c r="I1918" s="3">
        <v>462495</v>
      </c>
      <c r="J1918" s="3">
        <v>369996</v>
      </c>
      <c r="K1918" s="3">
        <v>76051.600000000006</v>
      </c>
      <c r="L1918" t="s">
        <v>16</v>
      </c>
      <c r="M1918">
        <v>4.5999999999999996</v>
      </c>
    </row>
    <row r="1919" spans="1:13" x14ac:dyDescent="0.25">
      <c r="A1919">
        <v>1918</v>
      </c>
      <c r="B1919" s="1">
        <v>43062</v>
      </c>
      <c r="C1919" s="1">
        <v>43392</v>
      </c>
      <c r="D1919" t="s">
        <v>23</v>
      </c>
      <c r="E1919" t="s">
        <v>28</v>
      </c>
      <c r="F1919" s="2">
        <v>42</v>
      </c>
      <c r="G1919" t="s">
        <v>11</v>
      </c>
      <c r="H1919" s="3">
        <v>11395.6</v>
      </c>
      <c r="I1919" s="3">
        <v>338300</v>
      </c>
      <c r="J1919" s="3">
        <v>270640</v>
      </c>
      <c r="K1919" s="3">
        <v>56264.4</v>
      </c>
      <c r="L1919" t="s">
        <v>16</v>
      </c>
      <c r="M1919">
        <v>4.5999999999999996</v>
      </c>
    </row>
    <row r="1920" spans="1:13" x14ac:dyDescent="0.25">
      <c r="A1920">
        <v>1919</v>
      </c>
      <c r="B1920" s="1">
        <v>43062</v>
      </c>
      <c r="C1920" s="1">
        <v>43345</v>
      </c>
      <c r="D1920" t="s">
        <v>21</v>
      </c>
      <c r="E1920" t="s">
        <v>27</v>
      </c>
      <c r="F1920" s="2">
        <v>40</v>
      </c>
      <c r="G1920" t="s">
        <v>11</v>
      </c>
      <c r="H1920" s="3">
        <v>13461.72</v>
      </c>
      <c r="I1920" s="3">
        <v>400453</v>
      </c>
      <c r="J1920" s="3">
        <v>320362.40000000002</v>
      </c>
      <c r="K1920" s="3">
        <v>66628.879999999976</v>
      </c>
      <c r="L1920" t="s">
        <v>14</v>
      </c>
      <c r="M1920">
        <v>4.5</v>
      </c>
    </row>
    <row r="1921" spans="1:13" x14ac:dyDescent="0.25">
      <c r="A1921">
        <v>1920</v>
      </c>
      <c r="B1921" s="1">
        <v>43062</v>
      </c>
      <c r="C1921" s="1">
        <v>43300</v>
      </c>
      <c r="D1921" t="s">
        <v>20</v>
      </c>
      <c r="E1921" t="s">
        <v>26</v>
      </c>
      <c r="F1921" s="2">
        <v>238</v>
      </c>
      <c r="G1921" t="s">
        <v>12</v>
      </c>
      <c r="H1921" s="3">
        <v>92932.479999999996</v>
      </c>
      <c r="I1921" s="3">
        <v>2383622</v>
      </c>
      <c r="J1921" s="3">
        <v>1906897.6</v>
      </c>
      <c r="K1921" s="3">
        <v>383791.91999999993</v>
      </c>
      <c r="L1921" t="s">
        <v>18</v>
      </c>
      <c r="M1921">
        <v>5</v>
      </c>
    </row>
    <row r="1922" spans="1:13" x14ac:dyDescent="0.25">
      <c r="A1922">
        <v>1921</v>
      </c>
      <c r="B1922" s="1">
        <v>43063</v>
      </c>
      <c r="C1922" s="1">
        <v>43168</v>
      </c>
      <c r="D1922" t="s">
        <v>20</v>
      </c>
      <c r="E1922" t="s">
        <v>25</v>
      </c>
      <c r="F1922" s="2">
        <v>83</v>
      </c>
      <c r="G1922" t="s">
        <v>11</v>
      </c>
      <c r="H1922" s="3">
        <v>25469.72</v>
      </c>
      <c r="I1922" s="3">
        <v>692378</v>
      </c>
      <c r="J1922" s="3">
        <v>553902.4</v>
      </c>
      <c r="K1922" s="3">
        <v>113005.87999999998</v>
      </c>
      <c r="L1922" t="s">
        <v>17</v>
      </c>
      <c r="M1922">
        <v>3.8</v>
      </c>
    </row>
    <row r="1923" spans="1:13" x14ac:dyDescent="0.25">
      <c r="A1923">
        <v>1922</v>
      </c>
      <c r="B1923" s="1">
        <v>43063</v>
      </c>
      <c r="C1923" s="1">
        <v>43161</v>
      </c>
      <c r="D1923" t="s">
        <v>20</v>
      </c>
      <c r="E1923" t="s">
        <v>28</v>
      </c>
      <c r="F1923" s="2">
        <v>216</v>
      </c>
      <c r="G1923" t="s">
        <v>12</v>
      </c>
      <c r="H1923" s="3">
        <v>53786.92</v>
      </c>
      <c r="I1923" s="3">
        <v>1397008</v>
      </c>
      <c r="J1923" s="3">
        <v>1117606.3999999999</v>
      </c>
      <c r="K1923" s="3">
        <v>225614.68000000011</v>
      </c>
      <c r="L1923" t="s">
        <v>17</v>
      </c>
      <c r="M1923">
        <v>3.7</v>
      </c>
    </row>
    <row r="1924" spans="1:13" x14ac:dyDescent="0.25">
      <c r="A1924">
        <v>1923</v>
      </c>
      <c r="B1924" s="1">
        <v>43063</v>
      </c>
      <c r="C1924" s="1">
        <v>43209</v>
      </c>
      <c r="D1924" t="s">
        <v>20</v>
      </c>
      <c r="E1924" t="s">
        <v>24</v>
      </c>
      <c r="F1924" s="2">
        <v>284</v>
      </c>
      <c r="G1924" t="s">
        <v>12</v>
      </c>
      <c r="H1924" s="3">
        <v>50379.56</v>
      </c>
      <c r="I1924" s="3">
        <v>1312774</v>
      </c>
      <c r="J1924" s="3">
        <v>1050219.2</v>
      </c>
      <c r="K1924" s="3">
        <v>212175.24000000005</v>
      </c>
      <c r="L1924" t="s">
        <v>18</v>
      </c>
      <c r="M1924">
        <v>3.9</v>
      </c>
    </row>
    <row r="1925" spans="1:13" x14ac:dyDescent="0.25">
      <c r="A1925">
        <v>1924</v>
      </c>
      <c r="B1925" s="1">
        <v>43064</v>
      </c>
      <c r="C1925" s="1">
        <v>43427</v>
      </c>
      <c r="D1925" t="s">
        <v>22</v>
      </c>
      <c r="E1925" t="s">
        <v>28</v>
      </c>
      <c r="F1925" s="2">
        <v>290</v>
      </c>
      <c r="G1925" t="s">
        <v>12</v>
      </c>
      <c r="H1925" s="3">
        <v>103299.2</v>
      </c>
      <c r="I1925" s="3">
        <v>2649890</v>
      </c>
      <c r="J1925" s="3">
        <v>2119912</v>
      </c>
      <c r="K1925" s="3">
        <v>426678.8</v>
      </c>
      <c r="L1925" t="s">
        <v>14</v>
      </c>
      <c r="M1925">
        <v>4.5999999999999996</v>
      </c>
    </row>
    <row r="1926" spans="1:13" x14ac:dyDescent="0.25">
      <c r="A1926">
        <v>1925</v>
      </c>
      <c r="B1926" s="1">
        <v>43064</v>
      </c>
      <c r="C1926" s="1">
        <v>43357</v>
      </c>
      <c r="D1926" t="s">
        <v>21</v>
      </c>
      <c r="E1926" t="s">
        <v>13</v>
      </c>
      <c r="F1926" s="2">
        <v>269</v>
      </c>
      <c r="G1926" t="s">
        <v>12</v>
      </c>
      <c r="H1926" s="3">
        <v>71581.440000000002</v>
      </c>
      <c r="I1926" s="3">
        <v>1854221</v>
      </c>
      <c r="J1926" s="3">
        <v>1483376.8</v>
      </c>
      <c r="K1926" s="3">
        <v>299262.75999999995</v>
      </c>
      <c r="L1926" t="s">
        <v>16</v>
      </c>
      <c r="M1926">
        <v>4</v>
      </c>
    </row>
    <row r="1927" spans="1:13" x14ac:dyDescent="0.25">
      <c r="A1927">
        <v>1926</v>
      </c>
      <c r="B1927" s="1">
        <v>43064</v>
      </c>
      <c r="C1927" s="1">
        <v>43228</v>
      </c>
      <c r="D1927" t="s">
        <v>21</v>
      </c>
      <c r="E1927" t="s">
        <v>26</v>
      </c>
      <c r="F1927" s="2">
        <v>97</v>
      </c>
      <c r="G1927" t="s">
        <v>11</v>
      </c>
      <c r="H1927" s="3">
        <v>21417.08</v>
      </c>
      <c r="I1927" s="3">
        <v>593612</v>
      </c>
      <c r="J1927" s="3">
        <v>474889.6</v>
      </c>
      <c r="K1927" s="3">
        <v>97305.320000000022</v>
      </c>
      <c r="L1927" t="s">
        <v>14</v>
      </c>
      <c r="M1927">
        <v>4</v>
      </c>
    </row>
    <row r="1928" spans="1:13" x14ac:dyDescent="0.25">
      <c r="A1928">
        <v>1927</v>
      </c>
      <c r="B1928" s="1">
        <v>43065</v>
      </c>
      <c r="C1928" s="1">
        <v>43417</v>
      </c>
      <c r="D1928" t="s">
        <v>22</v>
      </c>
      <c r="E1928" t="s">
        <v>27</v>
      </c>
      <c r="F1928" s="2">
        <v>40</v>
      </c>
      <c r="G1928" t="s">
        <v>11</v>
      </c>
      <c r="H1928" s="3">
        <v>6281.2</v>
      </c>
      <c r="I1928" s="3">
        <v>224165</v>
      </c>
      <c r="J1928" s="3">
        <v>179332</v>
      </c>
      <c r="K1928" s="3">
        <v>38551.800000000003</v>
      </c>
      <c r="L1928" t="s">
        <v>19</v>
      </c>
      <c r="M1928">
        <v>3.9</v>
      </c>
    </row>
    <row r="1929" spans="1:13" x14ac:dyDescent="0.25">
      <c r="A1929">
        <v>1928</v>
      </c>
      <c r="B1929" s="1">
        <v>43065</v>
      </c>
      <c r="C1929" s="1">
        <v>43220</v>
      </c>
      <c r="D1929" t="s">
        <v>23</v>
      </c>
      <c r="E1929" t="s">
        <v>24</v>
      </c>
      <c r="F1929" s="2">
        <v>173</v>
      </c>
      <c r="G1929" t="s">
        <v>12</v>
      </c>
      <c r="H1929" s="3">
        <v>65925.119999999995</v>
      </c>
      <c r="I1929" s="3">
        <v>1711388</v>
      </c>
      <c r="J1929" s="3">
        <v>1369110.4</v>
      </c>
      <c r="K1929" s="3">
        <v>276352.4800000001</v>
      </c>
      <c r="L1929" t="s">
        <v>17</v>
      </c>
      <c r="M1929">
        <v>4.5999999999999996</v>
      </c>
    </row>
    <row r="1930" spans="1:13" x14ac:dyDescent="0.25">
      <c r="A1930">
        <v>1929</v>
      </c>
      <c r="B1930" s="1">
        <v>43065</v>
      </c>
      <c r="C1930" s="1">
        <v>43187</v>
      </c>
      <c r="D1930" t="s">
        <v>21</v>
      </c>
      <c r="E1930" t="s">
        <v>28</v>
      </c>
      <c r="F1930" s="2">
        <v>89</v>
      </c>
      <c r="G1930" t="s">
        <v>12</v>
      </c>
      <c r="H1930" s="3">
        <v>33051.839999999997</v>
      </c>
      <c r="I1930" s="3">
        <v>890981</v>
      </c>
      <c r="J1930" s="3">
        <v>712784.8</v>
      </c>
      <c r="K1930" s="3">
        <v>145144.35999999996</v>
      </c>
      <c r="L1930" t="s">
        <v>15</v>
      </c>
      <c r="M1930">
        <v>3.8</v>
      </c>
    </row>
    <row r="1931" spans="1:13" x14ac:dyDescent="0.25">
      <c r="A1931">
        <v>1930</v>
      </c>
      <c r="B1931" s="1">
        <v>43065</v>
      </c>
      <c r="C1931" s="1">
        <v>43363</v>
      </c>
      <c r="D1931" t="s">
        <v>22</v>
      </c>
      <c r="E1931" t="s">
        <v>24</v>
      </c>
      <c r="F1931" s="2">
        <v>271</v>
      </c>
      <c r="G1931" t="s">
        <v>12</v>
      </c>
      <c r="H1931" s="3">
        <v>60452.08</v>
      </c>
      <c r="I1931" s="3">
        <v>1575737</v>
      </c>
      <c r="J1931" s="3">
        <v>1260589.6000000001</v>
      </c>
      <c r="K1931" s="3">
        <v>254695.31999999989</v>
      </c>
      <c r="L1931" t="s">
        <v>15</v>
      </c>
      <c r="M1931">
        <v>4.5999999999999996</v>
      </c>
    </row>
    <row r="1932" spans="1:13" x14ac:dyDescent="0.25">
      <c r="A1932">
        <v>1931</v>
      </c>
      <c r="B1932" s="1">
        <v>43066</v>
      </c>
      <c r="C1932" s="1">
        <v>43366</v>
      </c>
      <c r="D1932" t="s">
        <v>23</v>
      </c>
      <c r="E1932" t="s">
        <v>28</v>
      </c>
      <c r="F1932" s="2">
        <v>283</v>
      </c>
      <c r="G1932" t="s">
        <v>12</v>
      </c>
      <c r="H1932" s="3">
        <v>48033.8</v>
      </c>
      <c r="I1932" s="3">
        <v>1264805</v>
      </c>
      <c r="J1932" s="3">
        <v>1011844</v>
      </c>
      <c r="K1932" s="3">
        <v>204927.2</v>
      </c>
      <c r="L1932" t="s">
        <v>17</v>
      </c>
      <c r="M1932">
        <v>4.7</v>
      </c>
    </row>
    <row r="1933" spans="1:13" x14ac:dyDescent="0.25">
      <c r="A1933">
        <v>1932</v>
      </c>
      <c r="B1933" s="1">
        <v>43066</v>
      </c>
      <c r="C1933" s="1">
        <v>43244</v>
      </c>
      <c r="D1933" t="s">
        <v>21</v>
      </c>
      <c r="E1933" t="s">
        <v>26</v>
      </c>
      <c r="F1933" s="2">
        <v>85</v>
      </c>
      <c r="G1933" t="s">
        <v>12</v>
      </c>
      <c r="H1933" s="3">
        <v>30967.84</v>
      </c>
      <c r="I1933" s="3">
        <v>832181</v>
      </c>
      <c r="J1933" s="3">
        <v>665744.80000000005</v>
      </c>
      <c r="K1933" s="3">
        <v>135468.35999999996</v>
      </c>
      <c r="L1933" t="s">
        <v>18</v>
      </c>
      <c r="M1933">
        <v>3.8</v>
      </c>
    </row>
    <row r="1934" spans="1:13" x14ac:dyDescent="0.25">
      <c r="A1934">
        <v>1933</v>
      </c>
      <c r="B1934" s="1">
        <v>43066</v>
      </c>
      <c r="C1934" s="1">
        <v>43288</v>
      </c>
      <c r="D1934" t="s">
        <v>21</v>
      </c>
      <c r="E1934" t="s">
        <v>28</v>
      </c>
      <c r="F1934" s="2">
        <v>174</v>
      </c>
      <c r="G1934" t="s">
        <v>12</v>
      </c>
      <c r="H1934" s="3">
        <v>66816.600000000006</v>
      </c>
      <c r="I1934" s="3">
        <v>1724525</v>
      </c>
      <c r="J1934" s="3">
        <v>1379620</v>
      </c>
      <c r="K1934" s="3">
        <v>278088.40000000002</v>
      </c>
      <c r="L1934" t="s">
        <v>19</v>
      </c>
      <c r="M1934">
        <v>4.4000000000000004</v>
      </c>
    </row>
    <row r="1935" spans="1:13" x14ac:dyDescent="0.25">
      <c r="A1935">
        <v>1934</v>
      </c>
      <c r="B1935" s="1">
        <v>43067</v>
      </c>
      <c r="C1935" s="1">
        <v>43360</v>
      </c>
      <c r="D1935" t="s">
        <v>21</v>
      </c>
      <c r="E1935" t="s">
        <v>27</v>
      </c>
      <c r="F1935" s="2">
        <v>102</v>
      </c>
      <c r="G1935" t="s">
        <v>12</v>
      </c>
      <c r="H1935" s="3">
        <v>39682.199999999997</v>
      </c>
      <c r="I1935" s="3">
        <v>1057715</v>
      </c>
      <c r="J1935" s="3">
        <v>846172</v>
      </c>
      <c r="K1935" s="3">
        <v>171860.8</v>
      </c>
      <c r="L1935" t="s">
        <v>14</v>
      </c>
      <c r="M1935">
        <v>3.9</v>
      </c>
    </row>
    <row r="1936" spans="1:13" x14ac:dyDescent="0.25">
      <c r="A1936">
        <v>1935</v>
      </c>
      <c r="B1936" s="1">
        <v>43067</v>
      </c>
      <c r="C1936" s="1">
        <v>43188</v>
      </c>
      <c r="D1936" t="s">
        <v>21</v>
      </c>
      <c r="E1936" t="s">
        <v>29</v>
      </c>
      <c r="F1936" s="2">
        <v>74</v>
      </c>
      <c r="G1936" t="s">
        <v>11</v>
      </c>
      <c r="H1936" s="3">
        <v>15169.2</v>
      </c>
      <c r="I1936" s="3">
        <v>441765</v>
      </c>
      <c r="J1936" s="3">
        <v>353412</v>
      </c>
      <c r="K1936" s="3">
        <v>73183.8</v>
      </c>
      <c r="L1936" t="s">
        <v>14</v>
      </c>
      <c r="M1936">
        <v>4.5999999999999996</v>
      </c>
    </row>
    <row r="1937" spans="1:13" x14ac:dyDescent="0.25">
      <c r="A1937">
        <v>1936</v>
      </c>
      <c r="B1937" s="1">
        <v>43067</v>
      </c>
      <c r="C1937" s="1">
        <v>43173</v>
      </c>
      <c r="D1937" t="s">
        <v>21</v>
      </c>
      <c r="E1937" t="s">
        <v>28</v>
      </c>
      <c r="F1937" s="2">
        <v>244</v>
      </c>
      <c r="G1937" t="s">
        <v>12</v>
      </c>
      <c r="H1937" s="3">
        <v>70143</v>
      </c>
      <c r="I1937" s="3">
        <v>1816835</v>
      </c>
      <c r="J1937" s="3">
        <v>1453468</v>
      </c>
      <c r="K1937" s="3">
        <v>293224</v>
      </c>
      <c r="L1937" t="s">
        <v>19</v>
      </c>
      <c r="M1937">
        <v>4.0999999999999996</v>
      </c>
    </row>
    <row r="1938" spans="1:13" x14ac:dyDescent="0.25">
      <c r="A1938">
        <v>1937</v>
      </c>
      <c r="B1938" s="1">
        <v>43067</v>
      </c>
      <c r="C1938" s="1">
        <v>43394</v>
      </c>
      <c r="D1938" t="s">
        <v>22</v>
      </c>
      <c r="E1938" t="s">
        <v>13</v>
      </c>
      <c r="F1938" s="2">
        <v>182</v>
      </c>
      <c r="G1938" t="s">
        <v>12</v>
      </c>
      <c r="H1938" s="3">
        <v>49962.68</v>
      </c>
      <c r="I1938" s="3">
        <v>1302477</v>
      </c>
      <c r="J1938" s="3">
        <v>1041981.6</v>
      </c>
      <c r="K1938" s="3">
        <v>210532.72000000003</v>
      </c>
      <c r="L1938" t="s">
        <v>19</v>
      </c>
      <c r="M1938">
        <v>5</v>
      </c>
    </row>
    <row r="1939" spans="1:13" x14ac:dyDescent="0.25">
      <c r="A1939">
        <v>1938</v>
      </c>
      <c r="B1939" s="1">
        <v>43068</v>
      </c>
      <c r="C1939" s="1">
        <v>43230</v>
      </c>
      <c r="D1939" t="s">
        <v>22</v>
      </c>
      <c r="E1939" t="s">
        <v>29</v>
      </c>
      <c r="F1939" s="2">
        <v>151</v>
      </c>
      <c r="G1939" t="s">
        <v>12</v>
      </c>
      <c r="H1939" s="3">
        <v>30181.4</v>
      </c>
      <c r="I1939" s="3">
        <v>820345</v>
      </c>
      <c r="J1939" s="3">
        <v>656276</v>
      </c>
      <c r="K1939" s="3">
        <v>133887.6</v>
      </c>
      <c r="L1939" t="s">
        <v>14</v>
      </c>
      <c r="M1939">
        <v>3.8</v>
      </c>
    </row>
    <row r="1940" spans="1:13" x14ac:dyDescent="0.25">
      <c r="A1940">
        <v>1939</v>
      </c>
      <c r="B1940" s="1">
        <v>43068</v>
      </c>
      <c r="C1940" s="1">
        <v>43302</v>
      </c>
      <c r="D1940" t="s">
        <v>20</v>
      </c>
      <c r="E1940" t="s">
        <v>29</v>
      </c>
      <c r="F1940" s="2">
        <v>133</v>
      </c>
      <c r="G1940" t="s">
        <v>11</v>
      </c>
      <c r="H1940" s="3">
        <v>26647.24</v>
      </c>
      <c r="I1940" s="3">
        <v>730116</v>
      </c>
      <c r="J1940" s="3">
        <v>584092.80000000005</v>
      </c>
      <c r="K1940" s="3">
        <v>119375.95999999995</v>
      </c>
      <c r="L1940" t="s">
        <v>14</v>
      </c>
      <c r="M1940">
        <v>4</v>
      </c>
    </row>
    <row r="1941" spans="1:13" x14ac:dyDescent="0.25">
      <c r="A1941">
        <v>1940</v>
      </c>
      <c r="B1941" s="1">
        <v>43069</v>
      </c>
      <c r="C1941" s="1">
        <v>43323</v>
      </c>
      <c r="D1941" t="s">
        <v>23</v>
      </c>
      <c r="E1941" t="s">
        <v>25</v>
      </c>
      <c r="F1941" s="2">
        <v>97</v>
      </c>
      <c r="G1941" t="s">
        <v>12</v>
      </c>
      <c r="H1941" s="3">
        <v>36573.160000000003</v>
      </c>
      <c r="I1941" s="3">
        <v>977639</v>
      </c>
      <c r="J1941" s="3">
        <v>782111.2</v>
      </c>
      <c r="K1941" s="3">
        <v>158954.64000000004</v>
      </c>
      <c r="L1941" t="s">
        <v>15</v>
      </c>
      <c r="M1941">
        <v>4.9000000000000004</v>
      </c>
    </row>
    <row r="1942" spans="1:13" x14ac:dyDescent="0.25">
      <c r="A1942">
        <v>1941</v>
      </c>
      <c r="B1942" s="1">
        <v>43069</v>
      </c>
      <c r="C1942" s="1">
        <v>43379</v>
      </c>
      <c r="D1942" t="s">
        <v>21</v>
      </c>
      <c r="E1942" t="s">
        <v>24</v>
      </c>
      <c r="F1942" s="2">
        <v>165</v>
      </c>
      <c r="G1942" t="s">
        <v>12</v>
      </c>
      <c r="H1942" s="3">
        <v>67006.2</v>
      </c>
      <c r="I1942" s="3">
        <v>1737565</v>
      </c>
      <c r="J1942" s="3">
        <v>1390052</v>
      </c>
      <c r="K1942" s="3">
        <v>280506.8</v>
      </c>
      <c r="L1942" t="s">
        <v>18</v>
      </c>
      <c r="M1942">
        <v>4.2</v>
      </c>
    </row>
    <row r="1943" spans="1:13" x14ac:dyDescent="0.25">
      <c r="A1943">
        <v>1942</v>
      </c>
      <c r="B1943" s="1">
        <v>43069</v>
      </c>
      <c r="C1943" s="1">
        <v>43260</v>
      </c>
      <c r="D1943" t="s">
        <v>23</v>
      </c>
      <c r="E1943" t="s">
        <v>13</v>
      </c>
      <c r="F1943" s="2">
        <v>106</v>
      </c>
      <c r="G1943" t="s">
        <v>11</v>
      </c>
      <c r="H1943" s="3">
        <v>28784.880000000001</v>
      </c>
      <c r="I1943" s="3">
        <v>784432</v>
      </c>
      <c r="J1943" s="3">
        <v>627545.59999999998</v>
      </c>
      <c r="K1943" s="3">
        <v>128101.52000000002</v>
      </c>
      <c r="L1943" t="s">
        <v>15</v>
      </c>
      <c r="M1943">
        <v>3.6</v>
      </c>
    </row>
    <row r="1944" spans="1:13" x14ac:dyDescent="0.25">
      <c r="A1944">
        <v>1943</v>
      </c>
      <c r="B1944" s="1">
        <v>43070</v>
      </c>
      <c r="C1944" s="1">
        <v>43322</v>
      </c>
      <c r="D1944" t="s">
        <v>22</v>
      </c>
      <c r="E1944" t="s">
        <v>28</v>
      </c>
      <c r="F1944" s="2">
        <v>285</v>
      </c>
      <c r="G1944" t="s">
        <v>12</v>
      </c>
      <c r="H1944" s="3">
        <v>55488.52</v>
      </c>
      <c r="I1944" s="3">
        <v>1443048</v>
      </c>
      <c r="J1944" s="3">
        <v>1154438.3999999999</v>
      </c>
      <c r="K1944" s="3">
        <v>233121.0800000001</v>
      </c>
      <c r="L1944" t="s">
        <v>17</v>
      </c>
      <c r="M1944">
        <v>3.7</v>
      </c>
    </row>
    <row r="1945" spans="1:13" x14ac:dyDescent="0.25">
      <c r="A1945">
        <v>1944</v>
      </c>
      <c r="B1945" s="1">
        <v>43070</v>
      </c>
      <c r="C1945" s="1">
        <v>43268</v>
      </c>
      <c r="D1945" t="s">
        <v>23</v>
      </c>
      <c r="E1945" t="s">
        <v>26</v>
      </c>
      <c r="F1945" s="2">
        <v>204</v>
      </c>
      <c r="G1945" t="s">
        <v>12</v>
      </c>
      <c r="H1945" s="3">
        <v>60182.8</v>
      </c>
      <c r="I1945" s="3">
        <v>1563605</v>
      </c>
      <c r="J1945" s="3">
        <v>1250884</v>
      </c>
      <c r="K1945" s="3">
        <v>252538.2</v>
      </c>
      <c r="L1945" t="s">
        <v>17</v>
      </c>
      <c r="M1945">
        <v>3.8</v>
      </c>
    </row>
    <row r="1946" spans="1:13" x14ac:dyDescent="0.25">
      <c r="A1946">
        <v>1945</v>
      </c>
      <c r="B1946" s="1">
        <v>43072</v>
      </c>
      <c r="C1946" s="1">
        <v>43260</v>
      </c>
      <c r="D1946" t="s">
        <v>20</v>
      </c>
      <c r="E1946" t="s">
        <v>29</v>
      </c>
      <c r="F1946" s="2">
        <v>258</v>
      </c>
      <c r="G1946" t="s">
        <v>12</v>
      </c>
      <c r="H1946" s="3">
        <v>60803.8</v>
      </c>
      <c r="I1946" s="3">
        <v>1582205</v>
      </c>
      <c r="J1946" s="3">
        <v>1265764</v>
      </c>
      <c r="K1946" s="3">
        <v>255637.2</v>
      </c>
      <c r="L1946" t="s">
        <v>19</v>
      </c>
      <c r="M1946">
        <v>4.2</v>
      </c>
    </row>
    <row r="1947" spans="1:13" x14ac:dyDescent="0.25">
      <c r="A1947">
        <v>1946</v>
      </c>
      <c r="B1947" s="1">
        <v>43072</v>
      </c>
      <c r="C1947" s="1">
        <v>43230</v>
      </c>
      <c r="D1947" t="s">
        <v>21</v>
      </c>
      <c r="E1947" t="s">
        <v>28</v>
      </c>
      <c r="F1947" s="2">
        <v>259</v>
      </c>
      <c r="G1947" t="s">
        <v>12</v>
      </c>
      <c r="H1947" s="3">
        <v>84700.479999999996</v>
      </c>
      <c r="I1947" s="3">
        <v>2183597</v>
      </c>
      <c r="J1947" s="3">
        <v>1746877.6</v>
      </c>
      <c r="K1947" s="3">
        <v>352018.91999999993</v>
      </c>
      <c r="L1947" t="s">
        <v>16</v>
      </c>
      <c r="M1947">
        <v>4.4000000000000004</v>
      </c>
    </row>
    <row r="1948" spans="1:13" x14ac:dyDescent="0.25">
      <c r="A1948">
        <v>1947</v>
      </c>
      <c r="B1948" s="1">
        <v>43072</v>
      </c>
      <c r="C1948" s="1">
        <v>43324</v>
      </c>
      <c r="D1948" t="s">
        <v>23</v>
      </c>
      <c r="E1948" t="s">
        <v>25</v>
      </c>
      <c r="F1948" s="2">
        <v>171</v>
      </c>
      <c r="G1948" t="s">
        <v>12</v>
      </c>
      <c r="H1948" s="3">
        <v>46500.44</v>
      </c>
      <c r="I1948" s="3">
        <v>1226421</v>
      </c>
      <c r="J1948" s="3">
        <v>981136.8</v>
      </c>
      <c r="K1948" s="3">
        <v>198783.75999999995</v>
      </c>
      <c r="L1948" t="s">
        <v>14</v>
      </c>
      <c r="M1948">
        <v>3.7</v>
      </c>
    </row>
    <row r="1949" spans="1:13" x14ac:dyDescent="0.25">
      <c r="A1949">
        <v>1948</v>
      </c>
      <c r="B1949" s="1">
        <v>43073</v>
      </c>
      <c r="C1949" s="1">
        <v>43310</v>
      </c>
      <c r="D1949" t="s">
        <v>21</v>
      </c>
      <c r="E1949" t="s">
        <v>24</v>
      </c>
      <c r="F1949" s="2">
        <v>171</v>
      </c>
      <c r="G1949" t="s">
        <v>12</v>
      </c>
      <c r="H1949" s="3">
        <v>66781.16</v>
      </c>
      <c r="I1949" s="3">
        <v>1722389</v>
      </c>
      <c r="J1949" s="3">
        <v>1377911.2</v>
      </c>
      <c r="K1949" s="3">
        <v>277696.64000000001</v>
      </c>
      <c r="L1949" t="s">
        <v>15</v>
      </c>
      <c r="M1949">
        <v>3.6</v>
      </c>
    </row>
    <row r="1950" spans="1:13" x14ac:dyDescent="0.25">
      <c r="A1950">
        <v>1949</v>
      </c>
      <c r="B1950" s="1">
        <v>43074</v>
      </c>
      <c r="C1950" s="1">
        <v>43190</v>
      </c>
      <c r="D1950" t="s">
        <v>23</v>
      </c>
      <c r="E1950" t="s">
        <v>26</v>
      </c>
      <c r="F1950" s="2">
        <v>79</v>
      </c>
      <c r="G1950" t="s">
        <v>11</v>
      </c>
      <c r="H1950" s="3">
        <v>26703.599999999999</v>
      </c>
      <c r="I1950" s="3">
        <v>730000</v>
      </c>
      <c r="J1950" s="3">
        <v>584000</v>
      </c>
      <c r="K1950" s="3">
        <v>119296.4</v>
      </c>
      <c r="L1950" t="s">
        <v>19</v>
      </c>
      <c r="M1950">
        <v>4.9000000000000004</v>
      </c>
    </row>
    <row r="1951" spans="1:13" x14ac:dyDescent="0.25">
      <c r="A1951">
        <v>1950</v>
      </c>
      <c r="B1951" s="1">
        <v>43074</v>
      </c>
      <c r="C1951" s="1">
        <v>43200</v>
      </c>
      <c r="D1951" t="s">
        <v>22</v>
      </c>
      <c r="E1951" t="s">
        <v>27</v>
      </c>
      <c r="F1951" s="2">
        <v>61</v>
      </c>
      <c r="G1951" t="s">
        <v>11</v>
      </c>
      <c r="H1951" s="3">
        <v>11753.52</v>
      </c>
      <c r="I1951" s="3">
        <v>360698</v>
      </c>
      <c r="J1951" s="3">
        <v>288558.40000000002</v>
      </c>
      <c r="K1951" s="3">
        <v>60386.079999999973</v>
      </c>
      <c r="L1951" t="s">
        <v>19</v>
      </c>
      <c r="M1951">
        <v>4.2</v>
      </c>
    </row>
    <row r="1952" spans="1:13" x14ac:dyDescent="0.25">
      <c r="A1952">
        <v>1951</v>
      </c>
      <c r="B1952" s="1">
        <v>43074</v>
      </c>
      <c r="C1952" s="1">
        <v>43369</v>
      </c>
      <c r="D1952" t="s">
        <v>21</v>
      </c>
      <c r="E1952" t="s">
        <v>24</v>
      </c>
      <c r="F1952" s="2">
        <v>158</v>
      </c>
      <c r="G1952" t="s">
        <v>11</v>
      </c>
      <c r="H1952" s="3">
        <v>29370.44</v>
      </c>
      <c r="I1952" s="3">
        <v>790271</v>
      </c>
      <c r="J1952" s="3">
        <v>632216.80000000005</v>
      </c>
      <c r="K1952" s="3">
        <v>128683.75999999995</v>
      </c>
      <c r="L1952" t="s">
        <v>17</v>
      </c>
      <c r="M1952">
        <v>4.4000000000000004</v>
      </c>
    </row>
    <row r="1953" spans="1:13" x14ac:dyDescent="0.25">
      <c r="A1953">
        <v>1952</v>
      </c>
      <c r="B1953" s="1">
        <v>43075</v>
      </c>
      <c r="C1953" s="1">
        <v>43413</v>
      </c>
      <c r="D1953" t="s">
        <v>23</v>
      </c>
      <c r="E1953" t="s">
        <v>13</v>
      </c>
      <c r="F1953" s="2">
        <v>159</v>
      </c>
      <c r="G1953" t="s">
        <v>12</v>
      </c>
      <c r="H1953" s="3">
        <v>52671.360000000001</v>
      </c>
      <c r="I1953" s="3">
        <v>1378169</v>
      </c>
      <c r="J1953" s="3">
        <v>1102535.2</v>
      </c>
      <c r="K1953" s="3">
        <v>222962.44000000006</v>
      </c>
      <c r="L1953" t="s">
        <v>18</v>
      </c>
      <c r="M1953">
        <v>4.0999999999999996</v>
      </c>
    </row>
    <row r="1954" spans="1:13" x14ac:dyDescent="0.25">
      <c r="A1954">
        <v>1953</v>
      </c>
      <c r="B1954" s="1">
        <v>43075</v>
      </c>
      <c r="C1954" s="1">
        <v>43356</v>
      </c>
      <c r="D1954" t="s">
        <v>21</v>
      </c>
      <c r="E1954" t="s">
        <v>13</v>
      </c>
      <c r="F1954" s="2">
        <v>244</v>
      </c>
      <c r="G1954" t="s">
        <v>12</v>
      </c>
      <c r="H1954" s="3">
        <v>83028</v>
      </c>
      <c r="I1954" s="3">
        <v>2139485</v>
      </c>
      <c r="J1954" s="3">
        <v>1711588</v>
      </c>
      <c r="K1954" s="3">
        <v>344869</v>
      </c>
      <c r="L1954" t="s">
        <v>17</v>
      </c>
      <c r="M1954">
        <v>4.3</v>
      </c>
    </row>
    <row r="1955" spans="1:13" x14ac:dyDescent="0.25">
      <c r="A1955">
        <v>1954</v>
      </c>
      <c r="B1955" s="1">
        <v>43075</v>
      </c>
      <c r="C1955" s="1">
        <v>43398</v>
      </c>
      <c r="D1955" t="s">
        <v>22</v>
      </c>
      <c r="E1955" t="s">
        <v>13</v>
      </c>
      <c r="F1955" s="2">
        <v>258</v>
      </c>
      <c r="G1955" t="s">
        <v>12</v>
      </c>
      <c r="H1955" s="3">
        <v>52725.440000000002</v>
      </c>
      <c r="I1955" s="3">
        <v>1382621</v>
      </c>
      <c r="J1955" s="3">
        <v>1106096.8</v>
      </c>
      <c r="K1955" s="3">
        <v>223798.75999999995</v>
      </c>
      <c r="L1955" t="s">
        <v>16</v>
      </c>
      <c r="M1955">
        <v>4.5</v>
      </c>
    </row>
    <row r="1956" spans="1:13" x14ac:dyDescent="0.25">
      <c r="A1956">
        <v>1955</v>
      </c>
      <c r="B1956" s="1">
        <v>43076</v>
      </c>
      <c r="C1956" s="1">
        <v>43189</v>
      </c>
      <c r="D1956" t="s">
        <v>20</v>
      </c>
      <c r="E1956" t="s">
        <v>24</v>
      </c>
      <c r="F1956" s="2">
        <v>145</v>
      </c>
      <c r="G1956" t="s">
        <v>11</v>
      </c>
      <c r="H1956" s="3">
        <v>28929</v>
      </c>
      <c r="I1956" s="3">
        <v>790385</v>
      </c>
      <c r="J1956" s="3">
        <v>632308</v>
      </c>
      <c r="K1956" s="3">
        <v>129148</v>
      </c>
      <c r="L1956" t="s">
        <v>18</v>
      </c>
      <c r="M1956">
        <v>4.7</v>
      </c>
    </row>
    <row r="1957" spans="1:13" x14ac:dyDescent="0.25">
      <c r="A1957">
        <v>1956</v>
      </c>
      <c r="B1957" s="1">
        <v>43076</v>
      </c>
      <c r="C1957" s="1">
        <v>43227</v>
      </c>
      <c r="D1957" t="s">
        <v>20</v>
      </c>
      <c r="E1957" t="s">
        <v>25</v>
      </c>
      <c r="F1957" s="2">
        <v>197</v>
      </c>
      <c r="G1957" t="s">
        <v>12</v>
      </c>
      <c r="H1957" s="3">
        <v>39898.28</v>
      </c>
      <c r="I1957" s="3">
        <v>1064867</v>
      </c>
      <c r="J1957" s="3">
        <v>851893.6</v>
      </c>
      <c r="K1957" s="3">
        <v>173075.12000000002</v>
      </c>
      <c r="L1957" t="s">
        <v>15</v>
      </c>
      <c r="M1957">
        <v>4</v>
      </c>
    </row>
    <row r="1958" spans="1:13" x14ac:dyDescent="0.25">
      <c r="A1958">
        <v>1957</v>
      </c>
      <c r="B1958" s="1">
        <v>43077</v>
      </c>
      <c r="C1958" s="1">
        <v>43177</v>
      </c>
      <c r="D1958" t="s">
        <v>22</v>
      </c>
      <c r="E1958" t="s">
        <v>25</v>
      </c>
      <c r="F1958" s="2">
        <v>286</v>
      </c>
      <c r="G1958" t="s">
        <v>12</v>
      </c>
      <c r="H1958" s="3">
        <v>113925.8</v>
      </c>
      <c r="I1958" s="3">
        <v>2904955</v>
      </c>
      <c r="J1958" s="3">
        <v>2323964</v>
      </c>
      <c r="K1958" s="3">
        <v>467065.2</v>
      </c>
      <c r="L1958" t="s">
        <v>19</v>
      </c>
      <c r="M1958">
        <v>4.4000000000000004</v>
      </c>
    </row>
    <row r="1959" spans="1:13" x14ac:dyDescent="0.25">
      <c r="A1959">
        <v>1958</v>
      </c>
      <c r="B1959" s="1">
        <v>43078</v>
      </c>
      <c r="C1959" s="1">
        <v>43334</v>
      </c>
      <c r="D1959" t="s">
        <v>23</v>
      </c>
      <c r="E1959" t="s">
        <v>13</v>
      </c>
      <c r="F1959" s="2">
        <v>291</v>
      </c>
      <c r="G1959" t="s">
        <v>12</v>
      </c>
      <c r="H1959" s="3">
        <v>60508.28</v>
      </c>
      <c r="I1959" s="3">
        <v>1573317</v>
      </c>
      <c r="J1959" s="3">
        <v>1258653.6000000001</v>
      </c>
      <c r="K1959" s="3">
        <v>254155.11999999991</v>
      </c>
      <c r="L1959" t="s">
        <v>16</v>
      </c>
      <c r="M1959">
        <v>4</v>
      </c>
    </row>
    <row r="1960" spans="1:13" x14ac:dyDescent="0.25">
      <c r="A1960">
        <v>1959</v>
      </c>
      <c r="B1960" s="1">
        <v>43078</v>
      </c>
      <c r="C1960" s="1">
        <v>43377</v>
      </c>
      <c r="D1960" t="s">
        <v>21</v>
      </c>
      <c r="E1960" t="s">
        <v>25</v>
      </c>
      <c r="F1960" s="2">
        <v>196</v>
      </c>
      <c r="G1960" t="s">
        <v>12</v>
      </c>
      <c r="H1960" s="3">
        <v>39341.440000000002</v>
      </c>
      <c r="I1960" s="3">
        <v>1038696</v>
      </c>
      <c r="J1960" s="3">
        <v>830956.8</v>
      </c>
      <c r="K1960" s="3">
        <v>168397.75999999995</v>
      </c>
      <c r="L1960" t="s">
        <v>18</v>
      </c>
      <c r="M1960">
        <v>4.9000000000000004</v>
      </c>
    </row>
    <row r="1961" spans="1:13" x14ac:dyDescent="0.25">
      <c r="A1961">
        <v>1960</v>
      </c>
      <c r="B1961" s="1">
        <v>43078</v>
      </c>
      <c r="C1961" s="1">
        <v>43414</v>
      </c>
      <c r="D1961" t="s">
        <v>22</v>
      </c>
      <c r="E1961" t="s">
        <v>29</v>
      </c>
      <c r="F1961" s="2">
        <v>280</v>
      </c>
      <c r="G1961" t="s">
        <v>12</v>
      </c>
      <c r="H1961" s="3">
        <v>97263.48</v>
      </c>
      <c r="I1961" s="3">
        <v>2483447</v>
      </c>
      <c r="J1961" s="3">
        <v>1986757.6</v>
      </c>
      <c r="K1961" s="3">
        <v>399425.91999999993</v>
      </c>
      <c r="L1961" t="s">
        <v>18</v>
      </c>
      <c r="M1961">
        <v>3.6</v>
      </c>
    </row>
    <row r="1962" spans="1:13" x14ac:dyDescent="0.25">
      <c r="A1962">
        <v>1961</v>
      </c>
      <c r="B1962" s="1">
        <v>43078</v>
      </c>
      <c r="C1962" s="1">
        <v>43425</v>
      </c>
      <c r="D1962" t="s">
        <v>23</v>
      </c>
      <c r="E1962" t="s">
        <v>27</v>
      </c>
      <c r="F1962" s="2">
        <v>167</v>
      </c>
      <c r="G1962" t="s">
        <v>12</v>
      </c>
      <c r="H1962" s="3">
        <v>31439.8</v>
      </c>
      <c r="I1962" s="3">
        <v>843605</v>
      </c>
      <c r="J1962" s="3">
        <v>674884</v>
      </c>
      <c r="K1962" s="3">
        <v>137281.20000000001</v>
      </c>
      <c r="L1962" t="s">
        <v>15</v>
      </c>
      <c r="M1962">
        <v>3.7</v>
      </c>
    </row>
    <row r="1963" spans="1:13" x14ac:dyDescent="0.25">
      <c r="A1963">
        <v>1962</v>
      </c>
      <c r="B1963" s="1">
        <v>43080</v>
      </c>
      <c r="C1963" s="1">
        <v>43221</v>
      </c>
      <c r="D1963" t="s">
        <v>23</v>
      </c>
      <c r="E1963" t="s">
        <v>24</v>
      </c>
      <c r="F1963" s="2">
        <v>231</v>
      </c>
      <c r="G1963" t="s">
        <v>12</v>
      </c>
      <c r="H1963" s="3">
        <v>87312.639999999999</v>
      </c>
      <c r="I1963" s="3">
        <v>2239651</v>
      </c>
      <c r="J1963" s="3">
        <v>1791720.8</v>
      </c>
      <c r="K1963" s="3">
        <v>360617.55999999994</v>
      </c>
      <c r="L1963" t="s">
        <v>14</v>
      </c>
      <c r="M1963">
        <v>4.0999999999999996</v>
      </c>
    </row>
    <row r="1964" spans="1:13" x14ac:dyDescent="0.25">
      <c r="A1964">
        <v>1963</v>
      </c>
      <c r="B1964" s="1">
        <v>43081</v>
      </c>
      <c r="C1964" s="1">
        <v>43300</v>
      </c>
      <c r="D1964" t="s">
        <v>21</v>
      </c>
      <c r="E1964" t="s">
        <v>27</v>
      </c>
      <c r="F1964" s="2">
        <v>111</v>
      </c>
      <c r="G1964" t="s">
        <v>11</v>
      </c>
      <c r="H1964" s="3">
        <v>20347.16</v>
      </c>
      <c r="I1964" s="3">
        <v>573164</v>
      </c>
      <c r="J1964" s="3">
        <v>458531.2</v>
      </c>
      <c r="K1964" s="3">
        <v>94285.639999999985</v>
      </c>
      <c r="L1964" t="s">
        <v>16</v>
      </c>
      <c r="M1964">
        <v>4.0999999999999996</v>
      </c>
    </row>
    <row r="1965" spans="1:13" x14ac:dyDescent="0.25">
      <c r="A1965">
        <v>1964</v>
      </c>
      <c r="B1965" s="1">
        <v>43082</v>
      </c>
      <c r="C1965" s="1">
        <v>43219</v>
      </c>
      <c r="D1965" t="s">
        <v>22</v>
      </c>
      <c r="E1965" t="s">
        <v>29</v>
      </c>
      <c r="F1965" s="2">
        <v>112</v>
      </c>
      <c r="G1965" t="s">
        <v>12</v>
      </c>
      <c r="H1965" s="3">
        <v>31229.759999999998</v>
      </c>
      <c r="I1965" s="3">
        <v>840829</v>
      </c>
      <c r="J1965" s="3">
        <v>672663.2</v>
      </c>
      <c r="K1965" s="3">
        <v>136936.04000000004</v>
      </c>
      <c r="L1965" t="s">
        <v>18</v>
      </c>
      <c r="M1965">
        <v>3.9</v>
      </c>
    </row>
    <row r="1966" spans="1:13" x14ac:dyDescent="0.25">
      <c r="A1966">
        <v>1965</v>
      </c>
      <c r="B1966" s="1">
        <v>43082</v>
      </c>
      <c r="C1966" s="1">
        <v>43410</v>
      </c>
      <c r="D1966" t="s">
        <v>23</v>
      </c>
      <c r="E1966" t="s">
        <v>24</v>
      </c>
      <c r="F1966" s="2">
        <v>54</v>
      </c>
      <c r="G1966" t="s">
        <v>11</v>
      </c>
      <c r="H1966" s="3">
        <v>10540.96</v>
      </c>
      <c r="I1966" s="3">
        <v>330434</v>
      </c>
      <c r="J1966" s="3">
        <v>264347.2</v>
      </c>
      <c r="K1966" s="3">
        <v>55545.839999999989</v>
      </c>
      <c r="L1966" t="s">
        <v>15</v>
      </c>
      <c r="M1966">
        <v>3.6</v>
      </c>
    </row>
    <row r="1967" spans="1:13" x14ac:dyDescent="0.25">
      <c r="A1967">
        <v>1966</v>
      </c>
      <c r="B1967" s="1">
        <v>43082</v>
      </c>
      <c r="C1967" s="1">
        <v>43285</v>
      </c>
      <c r="D1967" t="s">
        <v>23</v>
      </c>
      <c r="E1967" t="s">
        <v>29</v>
      </c>
      <c r="F1967" s="2">
        <v>63</v>
      </c>
      <c r="G1967" t="s">
        <v>11</v>
      </c>
      <c r="H1967" s="3">
        <v>9858.84</v>
      </c>
      <c r="I1967" s="3">
        <v>307481</v>
      </c>
      <c r="J1967" s="3">
        <v>245984.8</v>
      </c>
      <c r="K1967" s="3">
        <v>51637.360000000015</v>
      </c>
      <c r="L1967" t="s">
        <v>19</v>
      </c>
      <c r="M1967">
        <v>3.7</v>
      </c>
    </row>
    <row r="1968" spans="1:13" x14ac:dyDescent="0.25">
      <c r="A1968">
        <v>1967</v>
      </c>
      <c r="B1968" s="1">
        <v>43083</v>
      </c>
      <c r="C1968" s="1">
        <v>43284</v>
      </c>
      <c r="D1968" t="s">
        <v>20</v>
      </c>
      <c r="E1968" t="s">
        <v>25</v>
      </c>
      <c r="F1968" s="2">
        <v>211</v>
      </c>
      <c r="G1968" t="s">
        <v>12</v>
      </c>
      <c r="H1968" s="3">
        <v>81235.360000000001</v>
      </c>
      <c r="I1968" s="3">
        <v>2082869</v>
      </c>
      <c r="J1968" s="3">
        <v>1666295.2</v>
      </c>
      <c r="K1968" s="3">
        <v>335338.44000000006</v>
      </c>
      <c r="L1968" t="s">
        <v>15</v>
      </c>
      <c r="M1968">
        <v>3.8</v>
      </c>
    </row>
    <row r="1969" spans="1:13" x14ac:dyDescent="0.25">
      <c r="A1969">
        <v>1968</v>
      </c>
      <c r="B1969" s="1">
        <v>43084</v>
      </c>
      <c r="C1969" s="1">
        <v>43378</v>
      </c>
      <c r="D1969" t="s">
        <v>20</v>
      </c>
      <c r="E1969" t="s">
        <v>28</v>
      </c>
      <c r="F1969" s="2">
        <v>215</v>
      </c>
      <c r="G1969" t="s">
        <v>12</v>
      </c>
      <c r="H1969" s="3">
        <v>68614.84</v>
      </c>
      <c r="I1969" s="3">
        <v>1768931</v>
      </c>
      <c r="J1969" s="3">
        <v>1415144.8</v>
      </c>
      <c r="K1969" s="3">
        <v>285171.36</v>
      </c>
      <c r="L1969" t="s">
        <v>17</v>
      </c>
      <c r="M1969">
        <v>4.5</v>
      </c>
    </row>
    <row r="1970" spans="1:13" x14ac:dyDescent="0.25">
      <c r="A1970">
        <v>1969</v>
      </c>
      <c r="B1970" s="1">
        <v>43085</v>
      </c>
      <c r="C1970" s="1">
        <v>43300</v>
      </c>
      <c r="D1970" t="s">
        <v>23</v>
      </c>
      <c r="E1970" t="s">
        <v>24</v>
      </c>
      <c r="F1970" s="2">
        <v>253</v>
      </c>
      <c r="G1970" t="s">
        <v>12</v>
      </c>
      <c r="H1970" s="3">
        <v>72965.399999999994</v>
      </c>
      <c r="I1970" s="3">
        <v>1879270</v>
      </c>
      <c r="J1970" s="3">
        <v>1503416</v>
      </c>
      <c r="K1970" s="3">
        <v>302888.59999999998</v>
      </c>
      <c r="L1970" t="s">
        <v>18</v>
      </c>
      <c r="M1970">
        <v>3.6</v>
      </c>
    </row>
    <row r="1971" spans="1:13" x14ac:dyDescent="0.25">
      <c r="A1971">
        <v>1970</v>
      </c>
      <c r="B1971" s="1">
        <v>43085</v>
      </c>
      <c r="C1971" s="1">
        <v>43263</v>
      </c>
      <c r="D1971" t="s">
        <v>21</v>
      </c>
      <c r="E1971" t="s">
        <v>29</v>
      </c>
      <c r="F1971" s="2">
        <v>102</v>
      </c>
      <c r="G1971" t="s">
        <v>12</v>
      </c>
      <c r="H1971" s="3">
        <v>33381.68</v>
      </c>
      <c r="I1971" s="3">
        <v>893177</v>
      </c>
      <c r="J1971" s="3">
        <v>714541.6</v>
      </c>
      <c r="K1971" s="3">
        <v>145253.72000000003</v>
      </c>
      <c r="L1971" t="s">
        <v>18</v>
      </c>
      <c r="M1971">
        <v>4.5999999999999996</v>
      </c>
    </row>
    <row r="1972" spans="1:13" x14ac:dyDescent="0.25">
      <c r="A1972">
        <v>1971</v>
      </c>
      <c r="B1972" s="1">
        <v>43085</v>
      </c>
      <c r="C1972" s="1">
        <v>43276</v>
      </c>
      <c r="D1972" t="s">
        <v>22</v>
      </c>
      <c r="E1972" t="s">
        <v>13</v>
      </c>
      <c r="F1972" s="2">
        <v>128</v>
      </c>
      <c r="G1972" t="s">
        <v>12</v>
      </c>
      <c r="H1972" s="3">
        <v>33240</v>
      </c>
      <c r="I1972" s="3">
        <v>894410</v>
      </c>
      <c r="J1972" s="3">
        <v>715528</v>
      </c>
      <c r="K1972" s="3">
        <v>145642</v>
      </c>
      <c r="L1972" t="s">
        <v>16</v>
      </c>
      <c r="M1972">
        <v>4.2</v>
      </c>
    </row>
    <row r="1973" spans="1:13" x14ac:dyDescent="0.25">
      <c r="A1973">
        <v>1972</v>
      </c>
      <c r="B1973" s="1">
        <v>43086</v>
      </c>
      <c r="C1973" s="1">
        <v>43430</v>
      </c>
      <c r="D1973" t="s">
        <v>20</v>
      </c>
      <c r="E1973" t="s">
        <v>29</v>
      </c>
      <c r="F1973" s="2">
        <v>147</v>
      </c>
      <c r="G1973" t="s">
        <v>12</v>
      </c>
      <c r="H1973" s="3">
        <v>31731.72</v>
      </c>
      <c r="I1973" s="3">
        <v>851453</v>
      </c>
      <c r="J1973" s="3">
        <v>681162.4</v>
      </c>
      <c r="K1973" s="3">
        <v>138558.87999999998</v>
      </c>
      <c r="L1973" t="s">
        <v>18</v>
      </c>
      <c r="M1973">
        <v>3.6</v>
      </c>
    </row>
    <row r="1974" spans="1:13" x14ac:dyDescent="0.25">
      <c r="A1974">
        <v>1973</v>
      </c>
      <c r="B1974" s="1">
        <v>43086</v>
      </c>
      <c r="C1974" s="1">
        <v>43191</v>
      </c>
      <c r="D1974" t="s">
        <v>23</v>
      </c>
      <c r="E1974" t="s">
        <v>26</v>
      </c>
      <c r="F1974" s="2">
        <v>61</v>
      </c>
      <c r="G1974" t="s">
        <v>11</v>
      </c>
      <c r="H1974" s="3">
        <v>18950.28</v>
      </c>
      <c r="I1974" s="3">
        <v>526992</v>
      </c>
      <c r="J1974" s="3">
        <v>421593.59999999998</v>
      </c>
      <c r="K1974" s="3">
        <v>86448.120000000024</v>
      </c>
      <c r="L1974" t="s">
        <v>18</v>
      </c>
      <c r="M1974">
        <v>3.6</v>
      </c>
    </row>
    <row r="1975" spans="1:13" x14ac:dyDescent="0.25">
      <c r="A1975">
        <v>1974</v>
      </c>
      <c r="B1975" s="1">
        <v>43086</v>
      </c>
      <c r="C1975" s="1">
        <v>43184</v>
      </c>
      <c r="D1975" t="s">
        <v>23</v>
      </c>
      <c r="E1975" t="s">
        <v>13</v>
      </c>
      <c r="F1975" s="2">
        <v>53</v>
      </c>
      <c r="G1975" t="s">
        <v>11</v>
      </c>
      <c r="H1975" s="3">
        <v>14410.12</v>
      </c>
      <c r="I1975" s="3">
        <v>424313</v>
      </c>
      <c r="J1975" s="3">
        <v>339450.4</v>
      </c>
      <c r="K1975" s="3">
        <v>70452.479999999981</v>
      </c>
      <c r="L1975" t="s">
        <v>19</v>
      </c>
      <c r="M1975">
        <v>4.0999999999999996</v>
      </c>
    </row>
    <row r="1976" spans="1:13" x14ac:dyDescent="0.25">
      <c r="A1976">
        <v>1975</v>
      </c>
      <c r="B1976" s="1">
        <v>43086</v>
      </c>
      <c r="C1976" s="1">
        <v>43270</v>
      </c>
      <c r="D1976" t="s">
        <v>22</v>
      </c>
      <c r="E1976" t="s">
        <v>27</v>
      </c>
      <c r="F1976" s="2">
        <v>143</v>
      </c>
      <c r="G1976" t="s">
        <v>12</v>
      </c>
      <c r="H1976" s="3">
        <v>35264.480000000003</v>
      </c>
      <c r="I1976" s="3">
        <v>943622</v>
      </c>
      <c r="J1976" s="3">
        <v>754897.6</v>
      </c>
      <c r="K1976" s="3">
        <v>153459.92000000001</v>
      </c>
      <c r="L1976" t="s">
        <v>17</v>
      </c>
      <c r="M1976">
        <v>4.7</v>
      </c>
    </row>
    <row r="1977" spans="1:13" x14ac:dyDescent="0.25">
      <c r="A1977">
        <v>1976</v>
      </c>
      <c r="B1977" s="1">
        <v>43086</v>
      </c>
      <c r="C1977" s="1">
        <v>43449</v>
      </c>
      <c r="D1977" t="s">
        <v>21</v>
      </c>
      <c r="E1977" t="s">
        <v>26</v>
      </c>
      <c r="F1977" s="2">
        <v>161</v>
      </c>
      <c r="G1977" t="s">
        <v>12</v>
      </c>
      <c r="H1977" s="3">
        <v>54583.8</v>
      </c>
      <c r="I1977" s="3">
        <v>1429580</v>
      </c>
      <c r="J1977" s="3">
        <v>1143664</v>
      </c>
      <c r="K1977" s="3">
        <v>231332.2</v>
      </c>
      <c r="L1977" t="s">
        <v>14</v>
      </c>
      <c r="M1977">
        <v>4.3</v>
      </c>
    </row>
    <row r="1978" spans="1:13" x14ac:dyDescent="0.25">
      <c r="A1978">
        <v>1977</v>
      </c>
      <c r="B1978" s="1">
        <v>43087</v>
      </c>
      <c r="C1978" s="1">
        <v>43238</v>
      </c>
      <c r="D1978" t="s">
        <v>23</v>
      </c>
      <c r="E1978" t="s">
        <v>24</v>
      </c>
      <c r="F1978" s="2">
        <v>200</v>
      </c>
      <c r="G1978" t="s">
        <v>12</v>
      </c>
      <c r="H1978" s="3">
        <v>54916.480000000003</v>
      </c>
      <c r="I1978" s="3">
        <v>1431872</v>
      </c>
      <c r="J1978" s="3">
        <v>1145497.6000000001</v>
      </c>
      <c r="K1978" s="3">
        <v>231457.9199999999</v>
      </c>
      <c r="L1978" t="s">
        <v>19</v>
      </c>
      <c r="M1978">
        <v>5</v>
      </c>
    </row>
    <row r="1979" spans="1:13" x14ac:dyDescent="0.25">
      <c r="A1979">
        <v>1978</v>
      </c>
      <c r="B1979" s="1">
        <v>43088</v>
      </c>
      <c r="C1979" s="1">
        <v>43287</v>
      </c>
      <c r="D1979" t="s">
        <v>20</v>
      </c>
      <c r="E1979" t="s">
        <v>24</v>
      </c>
      <c r="F1979" s="2">
        <v>157</v>
      </c>
      <c r="G1979" t="s">
        <v>11</v>
      </c>
      <c r="H1979" s="3">
        <v>27163.48</v>
      </c>
      <c r="I1979" s="3">
        <v>733247</v>
      </c>
      <c r="J1979" s="3">
        <v>586597.6</v>
      </c>
      <c r="K1979" s="3">
        <v>119485.92000000003</v>
      </c>
      <c r="L1979" t="s">
        <v>15</v>
      </c>
      <c r="M1979">
        <v>3.8</v>
      </c>
    </row>
    <row r="1980" spans="1:13" x14ac:dyDescent="0.25">
      <c r="A1980">
        <v>1979</v>
      </c>
      <c r="B1980" s="1">
        <v>43089</v>
      </c>
      <c r="C1980" s="1">
        <v>43344</v>
      </c>
      <c r="D1980" t="s">
        <v>23</v>
      </c>
      <c r="E1980" t="s">
        <v>24</v>
      </c>
      <c r="F1980" s="2">
        <v>232</v>
      </c>
      <c r="G1980" t="s">
        <v>12</v>
      </c>
      <c r="H1980" s="3">
        <v>84301.52</v>
      </c>
      <c r="I1980" s="3">
        <v>2172773</v>
      </c>
      <c r="J1980" s="3">
        <v>1738218.4</v>
      </c>
      <c r="K1980" s="3">
        <v>350253.08000000007</v>
      </c>
      <c r="L1980" t="s">
        <v>18</v>
      </c>
      <c r="M1980">
        <v>4</v>
      </c>
    </row>
    <row r="1981" spans="1:13" x14ac:dyDescent="0.25">
      <c r="A1981">
        <v>1980</v>
      </c>
      <c r="B1981" s="1">
        <v>43089</v>
      </c>
      <c r="C1981" s="1">
        <v>43452</v>
      </c>
      <c r="D1981" t="s">
        <v>21</v>
      </c>
      <c r="E1981" t="s">
        <v>27</v>
      </c>
      <c r="F1981" s="2">
        <v>278</v>
      </c>
      <c r="G1981" t="s">
        <v>12</v>
      </c>
      <c r="H1981" s="3">
        <v>105636.92</v>
      </c>
      <c r="I1981" s="3">
        <v>2708233</v>
      </c>
      <c r="J1981" s="3">
        <v>2166586.4</v>
      </c>
      <c r="K1981" s="3">
        <v>436009.68000000011</v>
      </c>
      <c r="L1981" t="s">
        <v>14</v>
      </c>
      <c r="M1981">
        <v>4.4000000000000004</v>
      </c>
    </row>
    <row r="1982" spans="1:13" x14ac:dyDescent="0.25">
      <c r="A1982">
        <v>1981</v>
      </c>
      <c r="B1982" s="1">
        <v>43089</v>
      </c>
      <c r="C1982" s="1">
        <v>43226</v>
      </c>
      <c r="D1982" t="s">
        <v>20</v>
      </c>
      <c r="E1982" t="s">
        <v>27</v>
      </c>
      <c r="F1982" s="2">
        <v>44</v>
      </c>
      <c r="G1982" t="s">
        <v>11</v>
      </c>
      <c r="H1982" s="3">
        <v>16124.6</v>
      </c>
      <c r="I1982" s="3">
        <v>462050</v>
      </c>
      <c r="J1982" s="3">
        <v>369640</v>
      </c>
      <c r="K1982" s="3">
        <v>76285.399999999994</v>
      </c>
      <c r="L1982" t="s">
        <v>16</v>
      </c>
      <c r="M1982">
        <v>4.2</v>
      </c>
    </row>
    <row r="1983" spans="1:13" x14ac:dyDescent="0.25">
      <c r="A1983">
        <v>1982</v>
      </c>
      <c r="B1983" s="1">
        <v>43090</v>
      </c>
      <c r="C1983" s="1">
        <v>43437</v>
      </c>
      <c r="D1983" t="s">
        <v>23</v>
      </c>
      <c r="E1983" t="s">
        <v>25</v>
      </c>
      <c r="F1983" s="2">
        <v>243</v>
      </c>
      <c r="G1983" t="s">
        <v>12</v>
      </c>
      <c r="H1983" s="3">
        <v>40833.68</v>
      </c>
      <c r="I1983" s="3">
        <v>1072877</v>
      </c>
      <c r="J1983" s="3">
        <v>858301.6</v>
      </c>
      <c r="K1983" s="3">
        <v>173741.72000000003</v>
      </c>
      <c r="L1983" t="s">
        <v>19</v>
      </c>
      <c r="M1983">
        <v>3.7</v>
      </c>
    </row>
    <row r="1984" spans="1:13" x14ac:dyDescent="0.25">
      <c r="A1984">
        <v>1983</v>
      </c>
      <c r="B1984" s="1">
        <v>43090</v>
      </c>
      <c r="C1984" s="1">
        <v>43277</v>
      </c>
      <c r="D1984" t="s">
        <v>22</v>
      </c>
      <c r="E1984" t="s">
        <v>27</v>
      </c>
      <c r="F1984" s="2">
        <v>238</v>
      </c>
      <c r="G1984" t="s">
        <v>12</v>
      </c>
      <c r="H1984" s="3">
        <v>94899.36</v>
      </c>
      <c r="I1984" s="3">
        <v>2427119</v>
      </c>
      <c r="J1984" s="3">
        <v>1941695.2</v>
      </c>
      <c r="K1984" s="3">
        <v>390524.44000000006</v>
      </c>
      <c r="L1984" t="s">
        <v>19</v>
      </c>
      <c r="M1984">
        <v>4.3</v>
      </c>
    </row>
    <row r="1985" spans="1:13" x14ac:dyDescent="0.25">
      <c r="A1985">
        <v>1984</v>
      </c>
      <c r="B1985" s="1">
        <v>43090</v>
      </c>
      <c r="C1985" s="1">
        <v>43415</v>
      </c>
      <c r="D1985" t="s">
        <v>23</v>
      </c>
      <c r="E1985" t="s">
        <v>13</v>
      </c>
      <c r="F1985" s="2">
        <v>103</v>
      </c>
      <c r="G1985" t="s">
        <v>11</v>
      </c>
      <c r="H1985" s="3">
        <v>26832</v>
      </c>
      <c r="I1985" s="3">
        <v>737735</v>
      </c>
      <c r="J1985" s="3">
        <v>590188</v>
      </c>
      <c r="K1985" s="3">
        <v>120715</v>
      </c>
      <c r="L1985" t="s">
        <v>19</v>
      </c>
      <c r="M1985">
        <v>4.8</v>
      </c>
    </row>
    <row r="1986" spans="1:13" x14ac:dyDescent="0.25">
      <c r="A1986">
        <v>1985</v>
      </c>
      <c r="B1986" s="1">
        <v>43090</v>
      </c>
      <c r="C1986" s="1">
        <v>43219</v>
      </c>
      <c r="D1986" t="s">
        <v>20</v>
      </c>
      <c r="E1986" t="s">
        <v>27</v>
      </c>
      <c r="F1986" s="2">
        <v>283</v>
      </c>
      <c r="G1986" t="s">
        <v>12</v>
      </c>
      <c r="H1986" s="3">
        <v>110912.12</v>
      </c>
      <c r="I1986" s="3">
        <v>2825913</v>
      </c>
      <c r="J1986" s="3">
        <v>2260730.4</v>
      </c>
      <c r="K1986" s="3">
        <v>454270.4800000001</v>
      </c>
      <c r="L1986" t="s">
        <v>15</v>
      </c>
      <c r="M1986">
        <v>4.9000000000000004</v>
      </c>
    </row>
    <row r="1987" spans="1:13" x14ac:dyDescent="0.25">
      <c r="A1987">
        <v>1986</v>
      </c>
      <c r="B1987" s="1">
        <v>43090</v>
      </c>
      <c r="C1987" s="1">
        <v>43445</v>
      </c>
      <c r="D1987" t="s">
        <v>23</v>
      </c>
      <c r="E1987" t="s">
        <v>13</v>
      </c>
      <c r="F1987" s="2">
        <v>187</v>
      </c>
      <c r="G1987" t="s">
        <v>12</v>
      </c>
      <c r="H1987" s="3">
        <v>36706</v>
      </c>
      <c r="I1987" s="3">
        <v>976985</v>
      </c>
      <c r="J1987" s="3">
        <v>781588</v>
      </c>
      <c r="K1987" s="3">
        <v>158691</v>
      </c>
      <c r="L1987" t="s">
        <v>16</v>
      </c>
      <c r="M1987">
        <v>4.9000000000000004</v>
      </c>
    </row>
    <row r="1988" spans="1:13" x14ac:dyDescent="0.25">
      <c r="A1988">
        <v>1987</v>
      </c>
      <c r="B1988" s="1">
        <v>43090</v>
      </c>
      <c r="C1988" s="1">
        <v>43224</v>
      </c>
      <c r="D1988" t="s">
        <v>21</v>
      </c>
      <c r="E1988" t="s">
        <v>24</v>
      </c>
      <c r="F1988" s="2">
        <v>133</v>
      </c>
      <c r="G1988" t="s">
        <v>12</v>
      </c>
      <c r="H1988" s="3">
        <v>34435.120000000003</v>
      </c>
      <c r="I1988" s="3">
        <v>912463</v>
      </c>
      <c r="J1988" s="3">
        <v>729970.4</v>
      </c>
      <c r="K1988" s="3">
        <v>148057.47999999998</v>
      </c>
      <c r="L1988" t="s">
        <v>17</v>
      </c>
      <c r="M1988">
        <v>3.7</v>
      </c>
    </row>
    <row r="1989" spans="1:13" x14ac:dyDescent="0.25">
      <c r="A1989">
        <v>1988</v>
      </c>
      <c r="B1989" s="1">
        <v>43091</v>
      </c>
      <c r="C1989" s="1">
        <v>43210</v>
      </c>
      <c r="D1989" t="s">
        <v>21</v>
      </c>
      <c r="E1989" t="s">
        <v>26</v>
      </c>
      <c r="F1989" s="2">
        <v>207</v>
      </c>
      <c r="G1989" t="s">
        <v>12</v>
      </c>
      <c r="H1989" s="3">
        <v>70076.2</v>
      </c>
      <c r="I1989" s="3">
        <v>1807415</v>
      </c>
      <c r="J1989" s="3">
        <v>1445932</v>
      </c>
      <c r="K1989" s="3">
        <v>291406.8</v>
      </c>
      <c r="L1989" t="s">
        <v>18</v>
      </c>
      <c r="M1989">
        <v>5</v>
      </c>
    </row>
    <row r="1990" spans="1:13" x14ac:dyDescent="0.25">
      <c r="A1990">
        <v>1989</v>
      </c>
      <c r="B1990" s="1">
        <v>43091</v>
      </c>
      <c r="C1990" s="1">
        <v>43386</v>
      </c>
      <c r="D1990" t="s">
        <v>23</v>
      </c>
      <c r="E1990" t="s">
        <v>25</v>
      </c>
      <c r="F1990" s="2">
        <v>272</v>
      </c>
      <c r="G1990" t="s">
        <v>12</v>
      </c>
      <c r="H1990" s="3">
        <v>101294.36</v>
      </c>
      <c r="I1990" s="3">
        <v>2585069</v>
      </c>
      <c r="J1990" s="3">
        <v>2068055.2</v>
      </c>
      <c r="K1990" s="3">
        <v>415719.44000000006</v>
      </c>
      <c r="L1990" t="s">
        <v>17</v>
      </c>
      <c r="M1990">
        <v>4.5</v>
      </c>
    </row>
    <row r="1991" spans="1:13" x14ac:dyDescent="0.25">
      <c r="A1991">
        <v>1990</v>
      </c>
      <c r="B1991" s="1">
        <v>43091</v>
      </c>
      <c r="C1991" s="1">
        <v>43219</v>
      </c>
      <c r="D1991" t="s">
        <v>23</v>
      </c>
      <c r="E1991" t="s">
        <v>26</v>
      </c>
      <c r="F1991" s="2">
        <v>196</v>
      </c>
      <c r="G1991" t="s">
        <v>12</v>
      </c>
      <c r="H1991" s="3">
        <v>80090.2</v>
      </c>
      <c r="I1991" s="3">
        <v>2058365</v>
      </c>
      <c r="J1991" s="3">
        <v>1646692</v>
      </c>
      <c r="K1991" s="3">
        <v>331582.8</v>
      </c>
      <c r="L1991" t="s">
        <v>16</v>
      </c>
      <c r="M1991">
        <v>4.8</v>
      </c>
    </row>
    <row r="1992" spans="1:13" x14ac:dyDescent="0.25">
      <c r="A1992">
        <v>1991</v>
      </c>
      <c r="B1992" s="1">
        <v>43091</v>
      </c>
      <c r="C1992" s="1">
        <v>43376</v>
      </c>
      <c r="D1992" t="s">
        <v>22</v>
      </c>
      <c r="E1992" t="s">
        <v>25</v>
      </c>
      <c r="F1992" s="2">
        <v>267</v>
      </c>
      <c r="G1992" t="s">
        <v>12</v>
      </c>
      <c r="H1992" s="3">
        <v>97516.32</v>
      </c>
      <c r="I1992" s="3">
        <v>2493443</v>
      </c>
      <c r="J1992" s="3">
        <v>1994754.4</v>
      </c>
      <c r="K1992" s="3">
        <v>401172.28000000009</v>
      </c>
      <c r="L1992" t="s">
        <v>17</v>
      </c>
      <c r="M1992">
        <v>4</v>
      </c>
    </row>
    <row r="1993" spans="1:13" x14ac:dyDescent="0.25">
      <c r="A1993">
        <v>1992</v>
      </c>
      <c r="B1993" s="1">
        <v>43091</v>
      </c>
      <c r="C1993" s="1">
        <v>43255</v>
      </c>
      <c r="D1993" t="s">
        <v>22</v>
      </c>
      <c r="E1993" t="s">
        <v>13</v>
      </c>
      <c r="F1993" s="2">
        <v>113</v>
      </c>
      <c r="G1993" t="s">
        <v>12</v>
      </c>
      <c r="H1993" s="3">
        <v>38345.760000000002</v>
      </c>
      <c r="I1993" s="3">
        <v>1020629</v>
      </c>
      <c r="J1993" s="3">
        <v>816503.2</v>
      </c>
      <c r="K1993" s="3">
        <v>165780.04000000004</v>
      </c>
      <c r="L1993" t="s">
        <v>19</v>
      </c>
      <c r="M1993">
        <v>4</v>
      </c>
    </row>
    <row r="1994" spans="1:13" x14ac:dyDescent="0.25">
      <c r="A1994">
        <v>1993</v>
      </c>
      <c r="B1994" s="1">
        <v>43092</v>
      </c>
      <c r="C1994" s="1">
        <v>43203</v>
      </c>
      <c r="D1994" t="s">
        <v>20</v>
      </c>
      <c r="E1994" t="s">
        <v>26</v>
      </c>
      <c r="F1994" s="2">
        <v>296</v>
      </c>
      <c r="G1994" t="s">
        <v>12</v>
      </c>
      <c r="H1994" s="3">
        <v>83570.679999999993</v>
      </c>
      <c r="I1994" s="3">
        <v>2146827</v>
      </c>
      <c r="J1994" s="3">
        <v>1717461.6</v>
      </c>
      <c r="K1994" s="3">
        <v>345794.71999999991</v>
      </c>
      <c r="L1994" t="s">
        <v>17</v>
      </c>
      <c r="M1994">
        <v>4.5</v>
      </c>
    </row>
    <row r="1995" spans="1:13" x14ac:dyDescent="0.25">
      <c r="A1995">
        <v>1994</v>
      </c>
      <c r="B1995" s="1">
        <v>43092</v>
      </c>
      <c r="C1995" s="1">
        <v>43213</v>
      </c>
      <c r="D1995" t="s">
        <v>23</v>
      </c>
      <c r="E1995" t="s">
        <v>28</v>
      </c>
      <c r="F1995" s="2">
        <v>80</v>
      </c>
      <c r="G1995" t="s">
        <v>11</v>
      </c>
      <c r="H1995" s="3">
        <v>25168.68</v>
      </c>
      <c r="I1995" s="3">
        <v>687677</v>
      </c>
      <c r="J1995" s="3">
        <v>550141.6</v>
      </c>
      <c r="K1995" s="3">
        <v>112366.72000000003</v>
      </c>
      <c r="L1995" t="s">
        <v>19</v>
      </c>
      <c r="M1995">
        <v>4.9000000000000004</v>
      </c>
    </row>
    <row r="1996" spans="1:13" x14ac:dyDescent="0.25">
      <c r="A1996">
        <v>1995</v>
      </c>
      <c r="B1996" s="1">
        <v>43092</v>
      </c>
      <c r="C1996" s="1">
        <v>43285</v>
      </c>
      <c r="D1996" t="s">
        <v>21</v>
      </c>
      <c r="E1996" t="s">
        <v>29</v>
      </c>
      <c r="F1996" s="2">
        <v>262</v>
      </c>
      <c r="G1996" t="s">
        <v>12</v>
      </c>
      <c r="H1996" s="3">
        <v>89470.04</v>
      </c>
      <c r="I1996" s="3">
        <v>2300111</v>
      </c>
      <c r="J1996" s="3">
        <v>1840088.8</v>
      </c>
      <c r="K1996" s="3">
        <v>370552.16</v>
      </c>
      <c r="L1996" t="s">
        <v>15</v>
      </c>
      <c r="M1996">
        <v>4.0999999999999996</v>
      </c>
    </row>
    <row r="1997" spans="1:13" x14ac:dyDescent="0.25">
      <c r="A1997">
        <v>1996</v>
      </c>
      <c r="B1997" s="1">
        <v>43092</v>
      </c>
      <c r="C1997" s="1">
        <v>43452</v>
      </c>
      <c r="D1997" t="s">
        <v>23</v>
      </c>
      <c r="E1997" t="s">
        <v>27</v>
      </c>
      <c r="F1997" s="2">
        <v>174</v>
      </c>
      <c r="G1997" t="s">
        <v>12</v>
      </c>
      <c r="H1997" s="3">
        <v>64489.36</v>
      </c>
      <c r="I1997" s="3">
        <v>1679069</v>
      </c>
      <c r="J1997" s="3">
        <v>1343255.2</v>
      </c>
      <c r="K1997" s="3">
        <v>271324.44000000006</v>
      </c>
      <c r="L1997" t="s">
        <v>19</v>
      </c>
      <c r="M1997">
        <v>4.3</v>
      </c>
    </row>
    <row r="1998" spans="1:13" x14ac:dyDescent="0.25">
      <c r="A1998">
        <v>1997</v>
      </c>
      <c r="B1998" s="1">
        <v>43092</v>
      </c>
      <c r="C1998" s="1">
        <v>43192</v>
      </c>
      <c r="D1998" t="s">
        <v>22</v>
      </c>
      <c r="E1998" t="s">
        <v>25</v>
      </c>
      <c r="F1998" s="2">
        <v>202</v>
      </c>
      <c r="G1998" t="s">
        <v>12</v>
      </c>
      <c r="H1998" s="3">
        <v>41185.599999999999</v>
      </c>
      <c r="I1998" s="3">
        <v>1095325</v>
      </c>
      <c r="J1998" s="3">
        <v>876260</v>
      </c>
      <c r="K1998" s="3">
        <v>177879.4</v>
      </c>
      <c r="L1998" t="s">
        <v>17</v>
      </c>
      <c r="M1998">
        <v>3.8</v>
      </c>
    </row>
    <row r="1999" spans="1:13" x14ac:dyDescent="0.25">
      <c r="A1999">
        <v>1998</v>
      </c>
      <c r="B1999" s="1">
        <v>43093</v>
      </c>
      <c r="C1999" s="1">
        <v>43207</v>
      </c>
      <c r="D1999" t="s">
        <v>21</v>
      </c>
      <c r="E1999" t="s">
        <v>26</v>
      </c>
      <c r="F1999" s="2">
        <v>257</v>
      </c>
      <c r="G1999" t="s">
        <v>12</v>
      </c>
      <c r="H1999" s="3">
        <v>91482.12</v>
      </c>
      <c r="I1999" s="3">
        <v>2340413</v>
      </c>
      <c r="J1999" s="3">
        <v>1872330.4</v>
      </c>
      <c r="K1999" s="3">
        <v>376600.4800000001</v>
      </c>
      <c r="L1999" t="s">
        <v>19</v>
      </c>
      <c r="M1999">
        <v>4.0999999999999996</v>
      </c>
    </row>
    <row r="2000" spans="1:13" x14ac:dyDescent="0.25">
      <c r="A2000">
        <v>1999</v>
      </c>
      <c r="B2000" s="1">
        <v>43093</v>
      </c>
      <c r="C2000" s="1">
        <v>43243</v>
      </c>
      <c r="D2000" t="s">
        <v>21</v>
      </c>
      <c r="E2000" t="s">
        <v>26</v>
      </c>
      <c r="F2000" s="2">
        <v>238</v>
      </c>
      <c r="G2000" t="s">
        <v>12</v>
      </c>
      <c r="H2000" s="3">
        <v>66783.399999999994</v>
      </c>
      <c r="I2000" s="3">
        <v>1730195</v>
      </c>
      <c r="J2000" s="3">
        <v>1384156</v>
      </c>
      <c r="K2000" s="3">
        <v>279255.59999999998</v>
      </c>
      <c r="L2000" t="s">
        <v>15</v>
      </c>
      <c r="M2000">
        <v>4.9000000000000004</v>
      </c>
    </row>
    <row r="2001" spans="1:13" x14ac:dyDescent="0.25">
      <c r="A2001">
        <v>2000</v>
      </c>
      <c r="B2001" s="1">
        <v>43094</v>
      </c>
      <c r="C2001" s="1">
        <v>43282</v>
      </c>
      <c r="D2001" t="s">
        <v>22</v>
      </c>
      <c r="E2001" t="s">
        <v>29</v>
      </c>
      <c r="F2001" s="2">
        <v>93</v>
      </c>
      <c r="G2001" t="s">
        <v>11</v>
      </c>
      <c r="H2001" s="3">
        <v>17118.88</v>
      </c>
      <c r="I2001" s="3">
        <v>493157</v>
      </c>
      <c r="J2001" s="3">
        <v>394525.6</v>
      </c>
      <c r="K2001" s="3">
        <v>81512.520000000019</v>
      </c>
      <c r="L2001" t="s">
        <v>15</v>
      </c>
      <c r="M2001">
        <v>4</v>
      </c>
    </row>
    <row r="2002" spans="1:13" x14ac:dyDescent="0.25">
      <c r="A2002">
        <v>2001</v>
      </c>
      <c r="B2002" s="1">
        <v>43094</v>
      </c>
      <c r="C2002" s="1">
        <v>43300</v>
      </c>
      <c r="D2002" t="s">
        <v>21</v>
      </c>
      <c r="E2002" t="s">
        <v>29</v>
      </c>
      <c r="F2002" s="2">
        <v>259</v>
      </c>
      <c r="G2002" t="s">
        <v>12</v>
      </c>
      <c r="H2002" s="3">
        <v>53188.2</v>
      </c>
      <c r="I2002" s="3">
        <v>1384540</v>
      </c>
      <c r="J2002" s="3">
        <v>1107632</v>
      </c>
      <c r="K2002" s="3">
        <v>223719.8</v>
      </c>
      <c r="L2002" t="s">
        <v>16</v>
      </c>
      <c r="M2002">
        <v>4.4000000000000004</v>
      </c>
    </row>
    <row r="2003" spans="1:13" x14ac:dyDescent="0.25">
      <c r="A2003">
        <v>2002</v>
      </c>
      <c r="B2003" s="1">
        <v>43094</v>
      </c>
      <c r="C2003" s="1">
        <v>43340</v>
      </c>
      <c r="D2003" t="s">
        <v>23</v>
      </c>
      <c r="E2003" t="s">
        <v>29</v>
      </c>
      <c r="F2003" s="2">
        <v>279</v>
      </c>
      <c r="G2003" t="s">
        <v>12</v>
      </c>
      <c r="H2003" s="3">
        <v>64913.08</v>
      </c>
      <c r="I2003" s="3">
        <v>1690337</v>
      </c>
      <c r="J2003" s="3">
        <v>1352269.6</v>
      </c>
      <c r="K2003" s="3">
        <v>273154.31999999989</v>
      </c>
      <c r="L2003" t="s">
        <v>18</v>
      </c>
      <c r="M2003">
        <v>3.7</v>
      </c>
    </row>
    <row r="2004" spans="1:13" x14ac:dyDescent="0.25">
      <c r="A2004">
        <v>2003</v>
      </c>
      <c r="B2004" s="1">
        <v>43095</v>
      </c>
      <c r="C2004" s="1">
        <v>43272</v>
      </c>
      <c r="D2004" t="s">
        <v>22</v>
      </c>
      <c r="E2004" t="s">
        <v>24</v>
      </c>
      <c r="F2004" s="2">
        <v>296</v>
      </c>
      <c r="G2004" t="s">
        <v>12</v>
      </c>
      <c r="H2004" s="3">
        <v>56469</v>
      </c>
      <c r="I2004" s="3">
        <v>1468985</v>
      </c>
      <c r="J2004" s="3">
        <v>1175188</v>
      </c>
      <c r="K2004" s="3">
        <v>237328</v>
      </c>
      <c r="L2004" t="s">
        <v>18</v>
      </c>
      <c r="M2004">
        <v>4.5</v>
      </c>
    </row>
    <row r="2005" spans="1:13" x14ac:dyDescent="0.25">
      <c r="A2005">
        <v>2004</v>
      </c>
      <c r="B2005" s="1">
        <v>43095</v>
      </c>
      <c r="C2005" s="1">
        <v>43257</v>
      </c>
      <c r="D2005" t="s">
        <v>20</v>
      </c>
      <c r="E2005" t="s">
        <v>24</v>
      </c>
      <c r="F2005" s="2">
        <v>51</v>
      </c>
      <c r="G2005" t="s">
        <v>11</v>
      </c>
      <c r="H2005" s="3">
        <v>10657.24</v>
      </c>
      <c r="I2005" s="3">
        <v>333341</v>
      </c>
      <c r="J2005" s="3">
        <v>266672.8</v>
      </c>
      <c r="K2005" s="3">
        <v>56010.960000000014</v>
      </c>
      <c r="L2005" t="s">
        <v>18</v>
      </c>
      <c r="M2005">
        <v>3.8</v>
      </c>
    </row>
    <row r="2006" spans="1:13" x14ac:dyDescent="0.25">
      <c r="A2006">
        <v>2005</v>
      </c>
      <c r="B2006" s="1">
        <v>43095</v>
      </c>
      <c r="C2006" s="1">
        <v>43210</v>
      </c>
      <c r="D2006" t="s">
        <v>21</v>
      </c>
      <c r="E2006" t="s">
        <v>13</v>
      </c>
      <c r="F2006" s="2">
        <v>135</v>
      </c>
      <c r="G2006" t="s">
        <v>11</v>
      </c>
      <c r="H2006" s="3">
        <v>24554.12</v>
      </c>
      <c r="I2006" s="3">
        <v>666113</v>
      </c>
      <c r="J2006" s="3">
        <v>532890.4</v>
      </c>
      <c r="K2006" s="3">
        <v>108668.47999999998</v>
      </c>
      <c r="L2006" t="s">
        <v>19</v>
      </c>
      <c r="M2006">
        <v>3.7</v>
      </c>
    </row>
    <row r="2007" spans="1:13" x14ac:dyDescent="0.25">
      <c r="A2007">
        <v>2006</v>
      </c>
      <c r="B2007" s="1">
        <v>43096</v>
      </c>
      <c r="C2007" s="1">
        <v>43272</v>
      </c>
      <c r="D2007" t="s">
        <v>21</v>
      </c>
      <c r="E2007" t="s">
        <v>29</v>
      </c>
      <c r="F2007" s="2">
        <v>267</v>
      </c>
      <c r="G2007" t="s">
        <v>12</v>
      </c>
      <c r="H2007" s="3">
        <v>70272.12</v>
      </c>
      <c r="I2007" s="3">
        <v>1811013</v>
      </c>
      <c r="J2007" s="3">
        <v>1448810.4</v>
      </c>
      <c r="K2007" s="3">
        <v>291930.4800000001</v>
      </c>
      <c r="L2007" t="s">
        <v>17</v>
      </c>
      <c r="M2007">
        <v>4.2</v>
      </c>
    </row>
    <row r="2008" spans="1:13" x14ac:dyDescent="0.25">
      <c r="A2008">
        <v>2007</v>
      </c>
      <c r="B2008" s="1">
        <v>43096</v>
      </c>
      <c r="C2008" s="1">
        <v>43379</v>
      </c>
      <c r="D2008" t="s">
        <v>22</v>
      </c>
      <c r="E2008" t="s">
        <v>13</v>
      </c>
      <c r="F2008" s="2">
        <v>50</v>
      </c>
      <c r="G2008" t="s">
        <v>11</v>
      </c>
      <c r="H2008" s="3">
        <v>15009.48</v>
      </c>
      <c r="I2008" s="3">
        <v>438947</v>
      </c>
      <c r="J2008" s="3">
        <v>351157.6</v>
      </c>
      <c r="K2008" s="3">
        <v>72779.920000000027</v>
      </c>
      <c r="L2008" t="s">
        <v>15</v>
      </c>
      <c r="M2008">
        <v>3.8</v>
      </c>
    </row>
    <row r="2009" spans="1:13" x14ac:dyDescent="0.25">
      <c r="A2009">
        <v>2008</v>
      </c>
      <c r="B2009" s="1">
        <v>43096</v>
      </c>
      <c r="C2009" s="1">
        <v>43189</v>
      </c>
      <c r="D2009" t="s">
        <v>20</v>
      </c>
      <c r="E2009" t="s">
        <v>26</v>
      </c>
      <c r="F2009" s="2">
        <v>217</v>
      </c>
      <c r="G2009" t="s">
        <v>12</v>
      </c>
      <c r="H2009" s="3">
        <v>55456.44</v>
      </c>
      <c r="I2009" s="3">
        <v>1437846</v>
      </c>
      <c r="J2009" s="3">
        <v>1150276.8</v>
      </c>
      <c r="K2009" s="3">
        <v>232112.75999999995</v>
      </c>
      <c r="L2009" t="s">
        <v>17</v>
      </c>
      <c r="M2009">
        <v>4.3</v>
      </c>
    </row>
    <row r="2010" spans="1:13" x14ac:dyDescent="0.25">
      <c r="A2010">
        <v>2009</v>
      </c>
      <c r="B2010" s="1">
        <v>43096</v>
      </c>
      <c r="C2010" s="1">
        <v>43439</v>
      </c>
      <c r="D2010" t="s">
        <v>23</v>
      </c>
      <c r="E2010" t="s">
        <v>26</v>
      </c>
      <c r="F2010" s="2">
        <v>130</v>
      </c>
      <c r="G2010" t="s">
        <v>12</v>
      </c>
      <c r="H2010" s="3">
        <v>36202.080000000002</v>
      </c>
      <c r="I2010" s="3">
        <v>964112</v>
      </c>
      <c r="J2010" s="3">
        <v>771289.59999999998</v>
      </c>
      <c r="K2010" s="3">
        <v>156620.32</v>
      </c>
      <c r="L2010" t="s">
        <v>15</v>
      </c>
      <c r="M2010">
        <v>4.0999999999999996</v>
      </c>
    </row>
    <row r="2011" spans="1:13" x14ac:dyDescent="0.25">
      <c r="A2011">
        <v>2010</v>
      </c>
      <c r="B2011" s="1">
        <v>43096</v>
      </c>
      <c r="C2011" s="1">
        <v>43368</v>
      </c>
      <c r="D2011" t="s">
        <v>22</v>
      </c>
      <c r="E2011" t="s">
        <v>24</v>
      </c>
      <c r="F2011" s="2">
        <v>154</v>
      </c>
      <c r="G2011" t="s">
        <v>12</v>
      </c>
      <c r="H2011" s="3">
        <v>40446.839999999997</v>
      </c>
      <c r="I2011" s="3">
        <v>1077231</v>
      </c>
      <c r="J2011" s="3">
        <v>861784.8</v>
      </c>
      <c r="K2011" s="3">
        <v>174999.35999999996</v>
      </c>
      <c r="L2011" t="s">
        <v>19</v>
      </c>
      <c r="M2011">
        <v>4.8</v>
      </c>
    </row>
    <row r="2012" spans="1:13" x14ac:dyDescent="0.25">
      <c r="A2012">
        <v>2011</v>
      </c>
      <c r="B2012" s="1">
        <v>43097</v>
      </c>
      <c r="C2012" s="1">
        <v>43360</v>
      </c>
      <c r="D2012" t="s">
        <v>20</v>
      </c>
      <c r="E2012" t="s">
        <v>26</v>
      </c>
      <c r="F2012" s="2">
        <v>255</v>
      </c>
      <c r="G2012" t="s">
        <v>12</v>
      </c>
      <c r="H2012" s="3">
        <v>61019.519999999997</v>
      </c>
      <c r="I2012" s="3">
        <v>1592298</v>
      </c>
      <c r="J2012" s="3">
        <v>1273838.3999999999</v>
      </c>
      <c r="K2012" s="3">
        <v>257440.0800000001</v>
      </c>
      <c r="L2012" t="s">
        <v>14</v>
      </c>
      <c r="M2012">
        <v>4.9000000000000004</v>
      </c>
    </row>
    <row r="2013" spans="1:13" x14ac:dyDescent="0.25">
      <c r="A2013">
        <v>2012</v>
      </c>
      <c r="B2013" s="1">
        <v>43099</v>
      </c>
      <c r="C2013" s="1">
        <v>43457</v>
      </c>
      <c r="D2013" t="s">
        <v>22</v>
      </c>
      <c r="E2013" t="s">
        <v>27</v>
      </c>
      <c r="F2013" s="2">
        <v>87</v>
      </c>
      <c r="G2013" t="s">
        <v>12</v>
      </c>
      <c r="H2013" s="3">
        <v>35965.64</v>
      </c>
      <c r="I2013" s="3">
        <v>961351</v>
      </c>
      <c r="J2013" s="3">
        <v>769080.8</v>
      </c>
      <c r="K2013" s="3">
        <v>156304.55999999994</v>
      </c>
      <c r="L2013" t="s">
        <v>17</v>
      </c>
      <c r="M2013">
        <v>4.4000000000000004</v>
      </c>
    </row>
    <row r="2014" spans="1:13" x14ac:dyDescent="0.25">
      <c r="A2014">
        <v>2013</v>
      </c>
      <c r="B2014" s="1">
        <v>43099</v>
      </c>
      <c r="C2014" s="1">
        <v>43446</v>
      </c>
      <c r="D2014" t="s">
        <v>20</v>
      </c>
      <c r="E2014" t="s">
        <v>28</v>
      </c>
      <c r="F2014" s="2">
        <v>134</v>
      </c>
      <c r="G2014" t="s">
        <v>11</v>
      </c>
      <c r="H2014" s="3">
        <v>28393.439999999999</v>
      </c>
      <c r="I2014" s="3">
        <v>776696</v>
      </c>
      <c r="J2014" s="3">
        <v>621356.80000000005</v>
      </c>
      <c r="K2014" s="3">
        <v>126945.75999999995</v>
      </c>
      <c r="L2014" t="s">
        <v>15</v>
      </c>
      <c r="M2014">
        <v>4.5</v>
      </c>
    </row>
    <row r="2015" spans="1:13" x14ac:dyDescent="0.25">
      <c r="A2015">
        <v>2014</v>
      </c>
      <c r="B2015" s="1">
        <v>43099</v>
      </c>
      <c r="C2015" s="1">
        <v>43393</v>
      </c>
      <c r="D2015" t="s">
        <v>21</v>
      </c>
      <c r="E2015" t="s">
        <v>24</v>
      </c>
      <c r="F2015" s="2">
        <v>220</v>
      </c>
      <c r="G2015" t="s">
        <v>12</v>
      </c>
      <c r="H2015" s="3">
        <v>80313.279999999999</v>
      </c>
      <c r="I2015" s="3">
        <v>2066092</v>
      </c>
      <c r="J2015" s="3">
        <v>1652873.6</v>
      </c>
      <c r="K2015" s="3">
        <v>332905.11999999988</v>
      </c>
      <c r="L2015" t="s">
        <v>14</v>
      </c>
      <c r="M2015">
        <v>4.0999999999999996</v>
      </c>
    </row>
    <row r="2016" spans="1:13" x14ac:dyDescent="0.25">
      <c r="A2016">
        <v>2015</v>
      </c>
      <c r="B2016" s="1">
        <v>43099</v>
      </c>
      <c r="C2016" s="1">
        <v>43405</v>
      </c>
      <c r="D2016" t="s">
        <v>23</v>
      </c>
      <c r="E2016" t="s">
        <v>13</v>
      </c>
      <c r="F2016" s="2">
        <v>255</v>
      </c>
      <c r="G2016" t="s">
        <v>12</v>
      </c>
      <c r="H2016" s="3">
        <v>55282.04</v>
      </c>
      <c r="I2016" s="3">
        <v>1444211</v>
      </c>
      <c r="J2016" s="3">
        <v>1155368.8</v>
      </c>
      <c r="K2016" s="3">
        <v>233560.15999999995</v>
      </c>
      <c r="L2016" t="s">
        <v>18</v>
      </c>
      <c r="M2016">
        <v>4.3</v>
      </c>
    </row>
    <row r="2017" spans="1:13" x14ac:dyDescent="0.25">
      <c r="A2017">
        <v>2016</v>
      </c>
      <c r="B2017" s="1">
        <v>43100</v>
      </c>
      <c r="C2017" s="1">
        <v>43441</v>
      </c>
      <c r="D2017" t="s">
        <v>23</v>
      </c>
      <c r="E2017" t="s">
        <v>26</v>
      </c>
      <c r="F2017" s="2">
        <v>279</v>
      </c>
      <c r="G2017" t="s">
        <v>12</v>
      </c>
      <c r="H2017" s="3">
        <v>111798.68</v>
      </c>
      <c r="I2017" s="3">
        <v>2851777</v>
      </c>
      <c r="J2017" s="3">
        <v>2281421.6</v>
      </c>
      <c r="K2017" s="3">
        <v>458556.71999999991</v>
      </c>
      <c r="L2017" t="s">
        <v>17</v>
      </c>
      <c r="M2017">
        <v>4</v>
      </c>
    </row>
    <row r="2018" spans="1:13" x14ac:dyDescent="0.25">
      <c r="A2018">
        <v>2017</v>
      </c>
      <c r="B2018" s="1">
        <v>43100</v>
      </c>
      <c r="C2018" s="1">
        <v>43395</v>
      </c>
      <c r="D2018" t="s">
        <v>21</v>
      </c>
      <c r="E2018" t="s">
        <v>28</v>
      </c>
      <c r="F2018" s="2">
        <v>198</v>
      </c>
      <c r="G2018" t="s">
        <v>12</v>
      </c>
      <c r="H2018" s="3">
        <v>52488.72</v>
      </c>
      <c r="I2018" s="3">
        <v>1366453</v>
      </c>
      <c r="J2018" s="3">
        <v>1093162.3999999999</v>
      </c>
      <c r="K2018" s="3">
        <v>220801.88000000009</v>
      </c>
      <c r="L2018" t="s">
        <v>18</v>
      </c>
      <c r="M2018">
        <v>4.9000000000000004</v>
      </c>
    </row>
    <row r="2019" spans="1:13" x14ac:dyDescent="0.25">
      <c r="A2019">
        <v>2018</v>
      </c>
      <c r="B2019" s="1">
        <v>43101</v>
      </c>
      <c r="C2019" s="1">
        <v>43351</v>
      </c>
      <c r="D2019" t="s">
        <v>21</v>
      </c>
      <c r="E2019" t="s">
        <v>27</v>
      </c>
      <c r="F2019" s="2">
        <v>69</v>
      </c>
      <c r="G2019" t="s">
        <v>11</v>
      </c>
      <c r="H2019" s="3">
        <v>20995</v>
      </c>
      <c r="I2019" s="3">
        <v>582410</v>
      </c>
      <c r="J2019" s="3">
        <v>465928</v>
      </c>
      <c r="K2019" s="3">
        <v>95487</v>
      </c>
      <c r="L2019" t="s">
        <v>16</v>
      </c>
      <c r="M2019">
        <v>4.2</v>
      </c>
    </row>
    <row r="2020" spans="1:13" x14ac:dyDescent="0.25">
      <c r="A2020">
        <v>2019</v>
      </c>
      <c r="B2020" s="1">
        <v>43101</v>
      </c>
      <c r="C2020" s="1">
        <v>43294</v>
      </c>
      <c r="D2020" t="s">
        <v>20</v>
      </c>
      <c r="E2020" t="s">
        <v>28</v>
      </c>
      <c r="F2020" s="2">
        <v>201</v>
      </c>
      <c r="G2020" t="s">
        <v>12</v>
      </c>
      <c r="H2020" s="3">
        <v>52731.8</v>
      </c>
      <c r="I2020" s="3">
        <v>1383905</v>
      </c>
      <c r="J2020" s="3">
        <v>1107124</v>
      </c>
      <c r="K2020" s="3">
        <v>224049.2</v>
      </c>
      <c r="L2020" t="s">
        <v>17</v>
      </c>
      <c r="M2020">
        <v>4.0999999999999996</v>
      </c>
    </row>
    <row r="2021" spans="1:13" x14ac:dyDescent="0.25">
      <c r="A2021">
        <v>2020</v>
      </c>
      <c r="B2021" s="1">
        <v>43101</v>
      </c>
      <c r="C2021" s="1">
        <v>43462</v>
      </c>
      <c r="D2021" t="s">
        <v>20</v>
      </c>
      <c r="E2021" t="s">
        <v>28</v>
      </c>
      <c r="F2021" s="2">
        <v>74</v>
      </c>
      <c r="G2021" t="s">
        <v>11</v>
      </c>
      <c r="H2021" s="3">
        <v>12324.4</v>
      </c>
      <c r="I2021" s="3">
        <v>359445</v>
      </c>
      <c r="J2021" s="3">
        <v>287556</v>
      </c>
      <c r="K2021" s="3">
        <v>59564.6</v>
      </c>
      <c r="L2021" t="s">
        <v>15</v>
      </c>
      <c r="M2021">
        <v>4.0999999999999996</v>
      </c>
    </row>
    <row r="2022" spans="1:13" x14ac:dyDescent="0.25">
      <c r="A2022">
        <v>2021</v>
      </c>
      <c r="B2022" s="1">
        <v>43101</v>
      </c>
      <c r="C2022" s="1">
        <v>43451</v>
      </c>
      <c r="D2022" t="s">
        <v>21</v>
      </c>
      <c r="E2022" t="s">
        <v>13</v>
      </c>
      <c r="F2022" s="2">
        <v>144</v>
      </c>
      <c r="G2022" t="s">
        <v>12</v>
      </c>
      <c r="H2022" s="3">
        <v>33778</v>
      </c>
      <c r="I2022" s="3">
        <v>909485</v>
      </c>
      <c r="J2022" s="3">
        <v>727588</v>
      </c>
      <c r="K2022" s="3">
        <v>148119</v>
      </c>
      <c r="L2022" t="s">
        <v>17</v>
      </c>
      <c r="M2022">
        <v>3.7</v>
      </c>
    </row>
    <row r="2023" spans="1:13" x14ac:dyDescent="0.25">
      <c r="A2023">
        <v>2022</v>
      </c>
      <c r="B2023" s="1">
        <v>43102</v>
      </c>
      <c r="C2023" s="1">
        <v>43348</v>
      </c>
      <c r="D2023" t="s">
        <v>20</v>
      </c>
      <c r="E2023" t="s">
        <v>27</v>
      </c>
      <c r="F2023" s="2">
        <v>122</v>
      </c>
      <c r="G2023" t="s">
        <v>11</v>
      </c>
      <c r="H2023" s="3">
        <v>22751.24</v>
      </c>
      <c r="I2023" s="3">
        <v>625241</v>
      </c>
      <c r="J2023" s="3">
        <v>500192.8</v>
      </c>
      <c r="K2023" s="3">
        <v>102296.96000000001</v>
      </c>
      <c r="L2023" t="s">
        <v>14</v>
      </c>
      <c r="M2023">
        <v>3.7</v>
      </c>
    </row>
    <row r="2024" spans="1:13" x14ac:dyDescent="0.25">
      <c r="A2024">
        <v>2023</v>
      </c>
      <c r="B2024" s="1">
        <v>43102</v>
      </c>
      <c r="C2024" s="1">
        <v>43460</v>
      </c>
      <c r="D2024" t="s">
        <v>20</v>
      </c>
      <c r="E2024" t="s">
        <v>24</v>
      </c>
      <c r="F2024" s="2">
        <v>138</v>
      </c>
      <c r="G2024" t="s">
        <v>11</v>
      </c>
      <c r="H2024" s="3">
        <v>29516.32</v>
      </c>
      <c r="I2024" s="3">
        <v>799718</v>
      </c>
      <c r="J2024" s="3">
        <v>639774.4</v>
      </c>
      <c r="K2024" s="3">
        <v>130427.27999999997</v>
      </c>
      <c r="L2024" t="s">
        <v>19</v>
      </c>
      <c r="M2024">
        <v>4.0999999999999996</v>
      </c>
    </row>
    <row r="2025" spans="1:13" x14ac:dyDescent="0.25">
      <c r="A2025">
        <v>2024</v>
      </c>
      <c r="B2025" s="1">
        <v>43102</v>
      </c>
      <c r="C2025" s="1">
        <v>43194</v>
      </c>
      <c r="D2025" t="s">
        <v>20</v>
      </c>
      <c r="E2025" t="s">
        <v>26</v>
      </c>
      <c r="F2025" s="2">
        <v>267</v>
      </c>
      <c r="G2025" t="s">
        <v>12</v>
      </c>
      <c r="H2025" s="3">
        <v>97740.96</v>
      </c>
      <c r="I2025" s="3">
        <v>2507734</v>
      </c>
      <c r="J2025" s="3">
        <v>2006187.2</v>
      </c>
      <c r="K2025" s="3">
        <v>403805.84</v>
      </c>
      <c r="L2025" t="s">
        <v>16</v>
      </c>
      <c r="M2025">
        <v>5</v>
      </c>
    </row>
    <row r="2026" spans="1:13" x14ac:dyDescent="0.25">
      <c r="A2026">
        <v>2025</v>
      </c>
      <c r="B2026" s="1">
        <v>43102</v>
      </c>
      <c r="C2026" s="1">
        <v>43407</v>
      </c>
      <c r="D2026" t="s">
        <v>22</v>
      </c>
      <c r="E2026" t="s">
        <v>28</v>
      </c>
      <c r="F2026" s="2">
        <v>272</v>
      </c>
      <c r="G2026" t="s">
        <v>12</v>
      </c>
      <c r="H2026" s="3">
        <v>58881.120000000003</v>
      </c>
      <c r="I2026" s="3">
        <v>1536163</v>
      </c>
      <c r="J2026" s="3">
        <v>1228930.3999999999</v>
      </c>
      <c r="K2026" s="3">
        <v>248351.4800000001</v>
      </c>
      <c r="L2026" t="s">
        <v>19</v>
      </c>
      <c r="M2026">
        <v>4.4000000000000004</v>
      </c>
    </row>
    <row r="2027" spans="1:13" x14ac:dyDescent="0.25">
      <c r="A2027">
        <v>2026</v>
      </c>
      <c r="B2027" s="1">
        <v>43103</v>
      </c>
      <c r="C2027" s="1">
        <v>43275</v>
      </c>
      <c r="D2027" t="s">
        <v>23</v>
      </c>
      <c r="E2027" t="s">
        <v>29</v>
      </c>
      <c r="F2027" s="2">
        <v>210</v>
      </c>
      <c r="G2027" t="s">
        <v>12</v>
      </c>
      <c r="H2027" s="3">
        <v>43707.32</v>
      </c>
      <c r="I2027" s="3">
        <v>1146293</v>
      </c>
      <c r="J2027" s="3">
        <v>917034.4</v>
      </c>
      <c r="K2027" s="3">
        <v>185551.27999999997</v>
      </c>
      <c r="L2027" t="s">
        <v>16</v>
      </c>
      <c r="M2027">
        <v>4.5999999999999996</v>
      </c>
    </row>
    <row r="2028" spans="1:13" x14ac:dyDescent="0.25">
      <c r="A2028">
        <v>2027</v>
      </c>
      <c r="B2028" s="1">
        <v>43103</v>
      </c>
      <c r="C2028" s="1">
        <v>43341</v>
      </c>
      <c r="D2028" t="s">
        <v>20</v>
      </c>
      <c r="E2028" t="s">
        <v>24</v>
      </c>
      <c r="F2028" s="2">
        <v>35</v>
      </c>
      <c r="G2028" t="s">
        <v>11</v>
      </c>
      <c r="H2028" s="3">
        <v>14116.36</v>
      </c>
      <c r="I2028" s="3">
        <v>405444</v>
      </c>
      <c r="J2028" s="3">
        <v>324355.20000000001</v>
      </c>
      <c r="K2028" s="3">
        <v>66972.439999999988</v>
      </c>
      <c r="L2028" t="s">
        <v>14</v>
      </c>
      <c r="M2028">
        <v>4.4000000000000004</v>
      </c>
    </row>
    <row r="2029" spans="1:13" x14ac:dyDescent="0.25">
      <c r="A2029">
        <v>2028</v>
      </c>
      <c r="B2029" s="1">
        <v>43103</v>
      </c>
      <c r="C2029" s="1">
        <v>43221</v>
      </c>
      <c r="D2029" t="s">
        <v>23</v>
      </c>
      <c r="E2029" t="s">
        <v>27</v>
      </c>
      <c r="F2029" s="2">
        <v>118</v>
      </c>
      <c r="G2029" t="s">
        <v>11</v>
      </c>
      <c r="H2029" s="3">
        <v>26091.4</v>
      </c>
      <c r="I2029" s="3">
        <v>717245</v>
      </c>
      <c r="J2029" s="3">
        <v>573796</v>
      </c>
      <c r="K2029" s="3">
        <v>117357.6</v>
      </c>
      <c r="L2029" t="s">
        <v>18</v>
      </c>
      <c r="M2029">
        <v>3.8</v>
      </c>
    </row>
    <row r="2030" spans="1:13" x14ac:dyDescent="0.25">
      <c r="A2030">
        <v>2029</v>
      </c>
      <c r="B2030" s="1">
        <v>43103</v>
      </c>
      <c r="C2030" s="1">
        <v>43280</v>
      </c>
      <c r="D2030" t="s">
        <v>21</v>
      </c>
      <c r="E2030" t="s">
        <v>28</v>
      </c>
      <c r="F2030" s="2">
        <v>172</v>
      </c>
      <c r="G2030" t="s">
        <v>12</v>
      </c>
      <c r="H2030" s="3">
        <v>45809.36</v>
      </c>
      <c r="I2030" s="3">
        <v>1212694</v>
      </c>
      <c r="J2030" s="3">
        <v>970155.2</v>
      </c>
      <c r="K2030" s="3">
        <v>196729.44000000006</v>
      </c>
      <c r="L2030" t="s">
        <v>14</v>
      </c>
      <c r="M2030">
        <v>3.7</v>
      </c>
    </row>
    <row r="2031" spans="1:13" x14ac:dyDescent="0.25">
      <c r="A2031">
        <v>2030</v>
      </c>
      <c r="B2031" s="1">
        <v>43103</v>
      </c>
      <c r="C2031" s="1">
        <v>43293</v>
      </c>
      <c r="D2031" t="s">
        <v>20</v>
      </c>
      <c r="E2031" t="s">
        <v>26</v>
      </c>
      <c r="F2031" s="2">
        <v>224</v>
      </c>
      <c r="G2031" t="s">
        <v>12</v>
      </c>
      <c r="H2031" s="3">
        <v>87989.72</v>
      </c>
      <c r="I2031" s="3">
        <v>2255953</v>
      </c>
      <c r="J2031" s="3">
        <v>1804762.4</v>
      </c>
      <c r="K2031" s="3">
        <v>363200.88000000012</v>
      </c>
      <c r="L2031" t="s">
        <v>19</v>
      </c>
      <c r="M2031">
        <v>5</v>
      </c>
    </row>
    <row r="2032" spans="1:13" x14ac:dyDescent="0.25">
      <c r="A2032">
        <v>2031</v>
      </c>
      <c r="B2032" s="1">
        <v>43103</v>
      </c>
      <c r="C2032" s="1">
        <v>43297</v>
      </c>
      <c r="D2032" t="s">
        <v>23</v>
      </c>
      <c r="E2032" t="s">
        <v>13</v>
      </c>
      <c r="F2032" s="2">
        <v>227</v>
      </c>
      <c r="G2032" t="s">
        <v>12</v>
      </c>
      <c r="H2032" s="3">
        <v>56869</v>
      </c>
      <c r="I2032" s="3">
        <v>1486910</v>
      </c>
      <c r="J2032" s="3">
        <v>1189528</v>
      </c>
      <c r="K2032" s="3">
        <v>240513</v>
      </c>
      <c r="L2032" t="s">
        <v>19</v>
      </c>
      <c r="M2032">
        <v>5</v>
      </c>
    </row>
    <row r="2033" spans="1:13" x14ac:dyDescent="0.25">
      <c r="A2033">
        <v>2032</v>
      </c>
      <c r="B2033" s="1">
        <v>43103</v>
      </c>
      <c r="C2033" s="1">
        <v>43241</v>
      </c>
      <c r="D2033" t="s">
        <v>22</v>
      </c>
      <c r="E2033" t="s">
        <v>26</v>
      </c>
      <c r="F2033" s="2">
        <v>110</v>
      </c>
      <c r="G2033" t="s">
        <v>11</v>
      </c>
      <c r="H2033" s="3">
        <v>23628.68</v>
      </c>
      <c r="I2033" s="3">
        <v>652677</v>
      </c>
      <c r="J2033" s="3">
        <v>522141.6</v>
      </c>
      <c r="K2033" s="3">
        <v>106906.72000000003</v>
      </c>
      <c r="L2033" t="s">
        <v>18</v>
      </c>
      <c r="M2033">
        <v>4.2</v>
      </c>
    </row>
    <row r="2034" spans="1:13" x14ac:dyDescent="0.25">
      <c r="A2034">
        <v>2033</v>
      </c>
      <c r="B2034" s="1">
        <v>43103</v>
      </c>
      <c r="C2034" s="1">
        <v>43354</v>
      </c>
      <c r="D2034" t="s">
        <v>23</v>
      </c>
      <c r="E2034" t="s">
        <v>24</v>
      </c>
      <c r="F2034" s="2">
        <v>149</v>
      </c>
      <c r="G2034" t="s">
        <v>12</v>
      </c>
      <c r="H2034" s="3">
        <v>48987</v>
      </c>
      <c r="I2034" s="3">
        <v>1284235</v>
      </c>
      <c r="J2034" s="3">
        <v>1027388</v>
      </c>
      <c r="K2034" s="3">
        <v>207860</v>
      </c>
      <c r="L2034" t="s">
        <v>18</v>
      </c>
      <c r="M2034">
        <v>4.7</v>
      </c>
    </row>
    <row r="2035" spans="1:13" x14ac:dyDescent="0.25">
      <c r="A2035">
        <v>2034</v>
      </c>
      <c r="B2035" s="1">
        <v>43105</v>
      </c>
      <c r="C2035" s="1">
        <v>43389</v>
      </c>
      <c r="D2035" t="s">
        <v>21</v>
      </c>
      <c r="E2035" t="s">
        <v>27</v>
      </c>
      <c r="F2035" s="2">
        <v>156</v>
      </c>
      <c r="G2035" t="s">
        <v>11</v>
      </c>
      <c r="H2035" s="3">
        <v>29521.88</v>
      </c>
      <c r="I2035" s="3">
        <v>797532</v>
      </c>
      <c r="J2035" s="3">
        <v>638025.6</v>
      </c>
      <c r="K2035" s="3">
        <v>129984.52000000002</v>
      </c>
      <c r="L2035" t="s">
        <v>19</v>
      </c>
      <c r="M2035">
        <v>3.8</v>
      </c>
    </row>
    <row r="2036" spans="1:13" x14ac:dyDescent="0.25">
      <c r="A2036">
        <v>2035</v>
      </c>
      <c r="B2036" s="1">
        <v>43105</v>
      </c>
      <c r="C2036" s="1">
        <v>43355</v>
      </c>
      <c r="D2036" t="s">
        <v>21</v>
      </c>
      <c r="E2036" t="s">
        <v>24</v>
      </c>
      <c r="F2036" s="2">
        <v>285</v>
      </c>
      <c r="G2036" t="s">
        <v>12</v>
      </c>
      <c r="H2036" s="3">
        <v>71457.600000000006</v>
      </c>
      <c r="I2036" s="3">
        <v>1845625</v>
      </c>
      <c r="J2036" s="3">
        <v>1476500</v>
      </c>
      <c r="K2036" s="3">
        <v>297667.40000000002</v>
      </c>
      <c r="L2036" t="s">
        <v>16</v>
      </c>
      <c r="M2036">
        <v>3.8</v>
      </c>
    </row>
    <row r="2037" spans="1:13" x14ac:dyDescent="0.25">
      <c r="A2037">
        <v>2036</v>
      </c>
      <c r="B2037" s="1">
        <v>43105</v>
      </c>
      <c r="C2037" s="1">
        <v>43277</v>
      </c>
      <c r="D2037" t="s">
        <v>21</v>
      </c>
      <c r="E2037" t="s">
        <v>26</v>
      </c>
      <c r="F2037" s="2">
        <v>87</v>
      </c>
      <c r="G2037" t="s">
        <v>11</v>
      </c>
      <c r="H2037" s="3">
        <v>16747.599999999999</v>
      </c>
      <c r="I2037" s="3">
        <v>483425</v>
      </c>
      <c r="J2037" s="3">
        <v>386740</v>
      </c>
      <c r="K2037" s="3">
        <v>79937.399999999994</v>
      </c>
      <c r="L2037" t="s">
        <v>18</v>
      </c>
      <c r="M2037">
        <v>3.7</v>
      </c>
    </row>
    <row r="2038" spans="1:13" x14ac:dyDescent="0.25">
      <c r="A2038">
        <v>2037</v>
      </c>
      <c r="B2038" s="1">
        <v>43106</v>
      </c>
      <c r="C2038" s="1">
        <v>43210</v>
      </c>
      <c r="D2038" t="s">
        <v>20</v>
      </c>
      <c r="E2038" t="s">
        <v>27</v>
      </c>
      <c r="F2038" s="2">
        <v>107</v>
      </c>
      <c r="G2038" t="s">
        <v>11</v>
      </c>
      <c r="H2038" s="3">
        <v>26865</v>
      </c>
      <c r="I2038" s="3">
        <v>737185</v>
      </c>
      <c r="J2038" s="3">
        <v>589748</v>
      </c>
      <c r="K2038" s="3">
        <v>120572</v>
      </c>
      <c r="L2038" t="s">
        <v>15</v>
      </c>
      <c r="M2038">
        <v>4.5999999999999996</v>
      </c>
    </row>
    <row r="2039" spans="1:13" x14ac:dyDescent="0.25">
      <c r="A2039">
        <v>2038</v>
      </c>
      <c r="B2039" s="1">
        <v>43106</v>
      </c>
      <c r="C2039" s="1">
        <v>43209</v>
      </c>
      <c r="D2039" t="s">
        <v>21</v>
      </c>
      <c r="E2039" t="s">
        <v>24</v>
      </c>
      <c r="F2039" s="2">
        <v>280</v>
      </c>
      <c r="G2039" t="s">
        <v>12</v>
      </c>
      <c r="H2039" s="3">
        <v>83350.36</v>
      </c>
      <c r="I2039" s="3">
        <v>2144269</v>
      </c>
      <c r="J2039" s="3">
        <v>1715415.2</v>
      </c>
      <c r="K2039" s="3">
        <v>345503.44000000006</v>
      </c>
      <c r="L2039" t="s">
        <v>18</v>
      </c>
      <c r="M2039">
        <v>4</v>
      </c>
    </row>
    <row r="2040" spans="1:13" x14ac:dyDescent="0.25">
      <c r="A2040">
        <v>2039</v>
      </c>
      <c r="B2040" s="1">
        <v>43106</v>
      </c>
      <c r="C2040" s="1">
        <v>43272</v>
      </c>
      <c r="D2040" t="s">
        <v>23</v>
      </c>
      <c r="E2040" t="s">
        <v>29</v>
      </c>
      <c r="F2040" s="2">
        <v>194</v>
      </c>
      <c r="G2040" t="s">
        <v>12</v>
      </c>
      <c r="H2040" s="3">
        <v>44702.04</v>
      </c>
      <c r="I2040" s="3">
        <v>1175561</v>
      </c>
      <c r="J2040" s="3">
        <v>940448.8</v>
      </c>
      <c r="K2040" s="3">
        <v>190410.15999999995</v>
      </c>
      <c r="L2040" t="s">
        <v>16</v>
      </c>
      <c r="M2040">
        <v>5</v>
      </c>
    </row>
    <row r="2041" spans="1:13" x14ac:dyDescent="0.25">
      <c r="A2041">
        <v>2040</v>
      </c>
      <c r="B2041" s="1">
        <v>43107</v>
      </c>
      <c r="C2041" s="1">
        <v>43405</v>
      </c>
      <c r="D2041" t="s">
        <v>22</v>
      </c>
      <c r="E2041" t="s">
        <v>27</v>
      </c>
      <c r="F2041" s="2">
        <v>202</v>
      </c>
      <c r="G2041" t="s">
        <v>12</v>
      </c>
      <c r="H2041" s="3">
        <v>79826.399999999994</v>
      </c>
      <c r="I2041" s="3">
        <v>2050595</v>
      </c>
      <c r="J2041" s="3">
        <v>1640476</v>
      </c>
      <c r="K2041" s="3">
        <v>330292.59999999998</v>
      </c>
      <c r="L2041" t="s">
        <v>16</v>
      </c>
      <c r="M2041">
        <v>4.7</v>
      </c>
    </row>
    <row r="2042" spans="1:13" x14ac:dyDescent="0.25">
      <c r="A2042">
        <v>2041</v>
      </c>
      <c r="B2042" s="1">
        <v>43107</v>
      </c>
      <c r="C2042" s="1">
        <v>43345</v>
      </c>
      <c r="D2042" t="s">
        <v>21</v>
      </c>
      <c r="E2042" t="s">
        <v>27</v>
      </c>
      <c r="F2042" s="2">
        <v>117</v>
      </c>
      <c r="G2042" t="s">
        <v>12</v>
      </c>
      <c r="H2042" s="3">
        <v>32178</v>
      </c>
      <c r="I2042" s="3">
        <v>859685</v>
      </c>
      <c r="J2042" s="3">
        <v>687748</v>
      </c>
      <c r="K2042" s="3">
        <v>139759</v>
      </c>
      <c r="L2042" t="s">
        <v>18</v>
      </c>
      <c r="M2042">
        <v>4.2</v>
      </c>
    </row>
    <row r="2043" spans="1:13" x14ac:dyDescent="0.25">
      <c r="A2043">
        <v>2042</v>
      </c>
      <c r="B2043" s="1">
        <v>43108</v>
      </c>
      <c r="C2043" s="1">
        <v>43313</v>
      </c>
      <c r="D2043" t="s">
        <v>21</v>
      </c>
      <c r="E2043" t="s">
        <v>27</v>
      </c>
      <c r="F2043" s="2">
        <v>77</v>
      </c>
      <c r="G2043" t="s">
        <v>11</v>
      </c>
      <c r="H2043" s="3">
        <v>20601.2</v>
      </c>
      <c r="I2043" s="3">
        <v>575765</v>
      </c>
      <c r="J2043" s="3">
        <v>460612</v>
      </c>
      <c r="K2043" s="3">
        <v>94551.8</v>
      </c>
      <c r="L2043" t="s">
        <v>18</v>
      </c>
      <c r="M2043">
        <v>4.5999999999999996</v>
      </c>
    </row>
    <row r="2044" spans="1:13" x14ac:dyDescent="0.25">
      <c r="A2044">
        <v>2043</v>
      </c>
      <c r="B2044" s="1">
        <v>43108</v>
      </c>
      <c r="C2044" s="1">
        <v>43227</v>
      </c>
      <c r="D2044" t="s">
        <v>22</v>
      </c>
      <c r="E2044" t="s">
        <v>28</v>
      </c>
      <c r="F2044" s="2">
        <v>275</v>
      </c>
      <c r="G2044" t="s">
        <v>12</v>
      </c>
      <c r="H2044" s="3">
        <v>92704</v>
      </c>
      <c r="I2044" s="3">
        <v>2382885</v>
      </c>
      <c r="J2044" s="3">
        <v>1906308</v>
      </c>
      <c r="K2044" s="3">
        <v>383873</v>
      </c>
      <c r="L2044" t="s">
        <v>18</v>
      </c>
      <c r="M2044">
        <v>3.6</v>
      </c>
    </row>
    <row r="2045" spans="1:13" x14ac:dyDescent="0.25">
      <c r="A2045">
        <v>2044</v>
      </c>
      <c r="B2045" s="1">
        <v>43108</v>
      </c>
      <c r="C2045" s="1">
        <v>43362</v>
      </c>
      <c r="D2045" t="s">
        <v>21</v>
      </c>
      <c r="E2045" t="s">
        <v>24</v>
      </c>
      <c r="F2045" s="2">
        <v>103</v>
      </c>
      <c r="G2045" t="s">
        <v>11</v>
      </c>
      <c r="H2045" s="3">
        <v>21962.68</v>
      </c>
      <c r="I2045" s="3">
        <v>604227</v>
      </c>
      <c r="J2045" s="3">
        <v>483381.6</v>
      </c>
      <c r="K2045" s="3">
        <v>98882.72000000003</v>
      </c>
      <c r="L2045" t="s">
        <v>17</v>
      </c>
      <c r="M2045">
        <v>3.6</v>
      </c>
    </row>
    <row r="2046" spans="1:13" x14ac:dyDescent="0.25">
      <c r="A2046">
        <v>2045</v>
      </c>
      <c r="B2046" s="1">
        <v>43109</v>
      </c>
      <c r="C2046" s="1">
        <v>43225</v>
      </c>
      <c r="D2046" t="s">
        <v>20</v>
      </c>
      <c r="E2046" t="s">
        <v>27</v>
      </c>
      <c r="F2046" s="2">
        <v>191</v>
      </c>
      <c r="G2046" t="s">
        <v>12</v>
      </c>
      <c r="H2046" s="3">
        <v>70570.399999999994</v>
      </c>
      <c r="I2046" s="3">
        <v>1829045</v>
      </c>
      <c r="J2046" s="3">
        <v>1463236</v>
      </c>
      <c r="K2046" s="3">
        <v>295238.59999999998</v>
      </c>
      <c r="L2046" t="s">
        <v>16</v>
      </c>
      <c r="M2046">
        <v>4</v>
      </c>
    </row>
    <row r="2047" spans="1:13" x14ac:dyDescent="0.25">
      <c r="A2047">
        <v>2046</v>
      </c>
      <c r="B2047" s="1">
        <v>43109</v>
      </c>
      <c r="C2047" s="1">
        <v>43430</v>
      </c>
      <c r="D2047" t="s">
        <v>23</v>
      </c>
      <c r="E2047" t="s">
        <v>27</v>
      </c>
      <c r="F2047" s="2">
        <v>249</v>
      </c>
      <c r="G2047" t="s">
        <v>12</v>
      </c>
      <c r="H2047" s="3">
        <v>92371.92</v>
      </c>
      <c r="I2047" s="3">
        <v>2368133</v>
      </c>
      <c r="J2047" s="3">
        <v>1894506.4</v>
      </c>
      <c r="K2047" s="3">
        <v>381254.68000000011</v>
      </c>
      <c r="L2047" t="s">
        <v>19</v>
      </c>
      <c r="M2047">
        <v>4.3</v>
      </c>
    </row>
    <row r="2048" spans="1:13" x14ac:dyDescent="0.25">
      <c r="A2048">
        <v>2047</v>
      </c>
      <c r="B2048" s="1">
        <v>43109</v>
      </c>
      <c r="C2048" s="1">
        <v>43305</v>
      </c>
      <c r="D2048" t="s">
        <v>20</v>
      </c>
      <c r="E2048" t="s">
        <v>28</v>
      </c>
      <c r="F2048" s="2">
        <v>244</v>
      </c>
      <c r="G2048" t="s">
        <v>12</v>
      </c>
      <c r="H2048" s="3">
        <v>81022.2</v>
      </c>
      <c r="I2048" s="3">
        <v>2089490</v>
      </c>
      <c r="J2048" s="3">
        <v>1671592</v>
      </c>
      <c r="K2048" s="3">
        <v>336875.8</v>
      </c>
      <c r="L2048" t="s">
        <v>19</v>
      </c>
      <c r="M2048">
        <v>3.8</v>
      </c>
    </row>
    <row r="2049" spans="1:13" x14ac:dyDescent="0.25">
      <c r="A2049">
        <v>2048</v>
      </c>
      <c r="B2049" s="1">
        <v>43110</v>
      </c>
      <c r="C2049" s="1">
        <v>43317</v>
      </c>
      <c r="D2049" t="s">
        <v>22</v>
      </c>
      <c r="E2049" t="s">
        <v>29</v>
      </c>
      <c r="F2049" s="2">
        <v>166</v>
      </c>
      <c r="G2049" t="s">
        <v>12</v>
      </c>
      <c r="H2049" s="3">
        <v>42903.199999999997</v>
      </c>
      <c r="I2049" s="3">
        <v>1138765</v>
      </c>
      <c r="J2049" s="3">
        <v>911012</v>
      </c>
      <c r="K2049" s="3">
        <v>184849.8</v>
      </c>
      <c r="L2049" t="s">
        <v>15</v>
      </c>
      <c r="M2049">
        <v>4.9000000000000004</v>
      </c>
    </row>
    <row r="2050" spans="1:13" x14ac:dyDescent="0.25">
      <c r="A2050">
        <v>2049</v>
      </c>
      <c r="B2050" s="1">
        <v>43110</v>
      </c>
      <c r="C2050" s="1">
        <v>43347</v>
      </c>
      <c r="D2050" t="s">
        <v>22</v>
      </c>
      <c r="E2050" t="s">
        <v>24</v>
      </c>
      <c r="F2050" s="2">
        <v>272</v>
      </c>
      <c r="G2050" t="s">
        <v>12</v>
      </c>
      <c r="H2050" s="3">
        <v>73561</v>
      </c>
      <c r="I2050" s="3">
        <v>1893010</v>
      </c>
      <c r="J2050" s="3">
        <v>1514408</v>
      </c>
      <c r="K2050" s="3">
        <v>305041</v>
      </c>
      <c r="L2050" t="s">
        <v>17</v>
      </c>
      <c r="M2050">
        <v>3.8</v>
      </c>
    </row>
    <row r="2051" spans="1:13" x14ac:dyDescent="0.25">
      <c r="A2051">
        <v>2050</v>
      </c>
      <c r="B2051" s="1">
        <v>43110</v>
      </c>
      <c r="C2051" s="1">
        <v>43259</v>
      </c>
      <c r="D2051" t="s">
        <v>23</v>
      </c>
      <c r="E2051" t="s">
        <v>29</v>
      </c>
      <c r="F2051" s="2">
        <v>173</v>
      </c>
      <c r="G2051" t="s">
        <v>12</v>
      </c>
      <c r="H2051" s="3">
        <v>68517.8</v>
      </c>
      <c r="I2051" s="3">
        <v>1777805</v>
      </c>
      <c r="J2051" s="3">
        <v>1422244</v>
      </c>
      <c r="K2051" s="3">
        <v>287043.20000000001</v>
      </c>
      <c r="L2051" t="s">
        <v>18</v>
      </c>
      <c r="M2051">
        <v>4.7</v>
      </c>
    </row>
    <row r="2052" spans="1:13" x14ac:dyDescent="0.25">
      <c r="A2052">
        <v>2051</v>
      </c>
      <c r="B2052" s="1">
        <v>43111</v>
      </c>
      <c r="C2052" s="1">
        <v>43417</v>
      </c>
      <c r="D2052" t="s">
        <v>21</v>
      </c>
      <c r="E2052" t="s">
        <v>27</v>
      </c>
      <c r="F2052" s="2">
        <v>127</v>
      </c>
      <c r="G2052" t="s">
        <v>12</v>
      </c>
      <c r="H2052" s="3">
        <v>50211.4</v>
      </c>
      <c r="I2052" s="3">
        <v>1312045</v>
      </c>
      <c r="J2052" s="3">
        <v>1049636</v>
      </c>
      <c r="K2052" s="3">
        <v>212197.6</v>
      </c>
      <c r="L2052" t="s">
        <v>18</v>
      </c>
      <c r="M2052">
        <v>3.7</v>
      </c>
    </row>
    <row r="2053" spans="1:13" x14ac:dyDescent="0.25">
      <c r="A2053">
        <v>2052</v>
      </c>
      <c r="B2053" s="1">
        <v>43111</v>
      </c>
      <c r="C2053" s="1">
        <v>43387</v>
      </c>
      <c r="D2053" t="s">
        <v>22</v>
      </c>
      <c r="E2053" t="s">
        <v>27</v>
      </c>
      <c r="F2053" s="2">
        <v>61</v>
      </c>
      <c r="G2053" t="s">
        <v>11</v>
      </c>
      <c r="H2053" s="3">
        <v>14489.44</v>
      </c>
      <c r="I2053" s="3">
        <v>422521</v>
      </c>
      <c r="J2053" s="3">
        <v>338016.8</v>
      </c>
      <c r="K2053" s="3">
        <v>70014.760000000009</v>
      </c>
      <c r="L2053" t="s">
        <v>17</v>
      </c>
      <c r="M2053">
        <v>4.5999999999999996</v>
      </c>
    </row>
    <row r="2054" spans="1:13" x14ac:dyDescent="0.25">
      <c r="A2054">
        <v>2053</v>
      </c>
      <c r="B2054" s="1">
        <v>43111</v>
      </c>
      <c r="C2054" s="1">
        <v>43380</v>
      </c>
      <c r="D2054" t="s">
        <v>22</v>
      </c>
      <c r="E2054" t="s">
        <v>24</v>
      </c>
      <c r="F2054" s="2">
        <v>178</v>
      </c>
      <c r="G2054" t="s">
        <v>12</v>
      </c>
      <c r="H2054" s="3">
        <v>68055</v>
      </c>
      <c r="I2054" s="3">
        <v>1767160</v>
      </c>
      <c r="J2054" s="3">
        <v>1413728</v>
      </c>
      <c r="K2054" s="3">
        <v>285377</v>
      </c>
      <c r="L2054" t="s">
        <v>18</v>
      </c>
      <c r="M2054">
        <v>4.4000000000000004</v>
      </c>
    </row>
    <row r="2055" spans="1:13" x14ac:dyDescent="0.25">
      <c r="A2055">
        <v>2054</v>
      </c>
      <c r="B2055" s="1">
        <v>43111</v>
      </c>
      <c r="C2055" s="1">
        <v>43234</v>
      </c>
      <c r="D2055" t="s">
        <v>22</v>
      </c>
      <c r="E2055" t="s">
        <v>29</v>
      </c>
      <c r="F2055" s="2">
        <v>241</v>
      </c>
      <c r="G2055" t="s">
        <v>12</v>
      </c>
      <c r="H2055" s="3">
        <v>62095.88</v>
      </c>
      <c r="I2055" s="3">
        <v>1605182</v>
      </c>
      <c r="J2055" s="3">
        <v>1284145.6000000001</v>
      </c>
      <c r="K2055" s="3">
        <v>258940.5199999999</v>
      </c>
      <c r="L2055" t="s">
        <v>19</v>
      </c>
      <c r="M2055">
        <v>4.2</v>
      </c>
    </row>
    <row r="2056" spans="1:13" x14ac:dyDescent="0.25">
      <c r="A2056">
        <v>2055</v>
      </c>
      <c r="B2056" s="1">
        <v>43111</v>
      </c>
      <c r="C2056" s="1">
        <v>43317</v>
      </c>
      <c r="D2056" t="s">
        <v>23</v>
      </c>
      <c r="E2056" t="s">
        <v>25</v>
      </c>
      <c r="F2056" s="2">
        <v>265</v>
      </c>
      <c r="G2056" t="s">
        <v>12</v>
      </c>
      <c r="H2056" s="3">
        <v>47035.6</v>
      </c>
      <c r="I2056" s="3">
        <v>1232950</v>
      </c>
      <c r="J2056" s="3">
        <v>986360</v>
      </c>
      <c r="K2056" s="3">
        <v>199554.4</v>
      </c>
      <c r="L2056" t="s">
        <v>17</v>
      </c>
      <c r="M2056">
        <v>4.4000000000000004</v>
      </c>
    </row>
    <row r="2057" spans="1:13" x14ac:dyDescent="0.25">
      <c r="A2057">
        <v>2056</v>
      </c>
      <c r="B2057" s="1">
        <v>43112</v>
      </c>
      <c r="C2057" s="1">
        <v>43470</v>
      </c>
      <c r="D2057" t="s">
        <v>23</v>
      </c>
      <c r="E2057" t="s">
        <v>29</v>
      </c>
      <c r="F2057" s="2">
        <v>284</v>
      </c>
      <c r="G2057" t="s">
        <v>12</v>
      </c>
      <c r="H2057" s="3">
        <v>97512.2</v>
      </c>
      <c r="I2057" s="3">
        <v>2498765</v>
      </c>
      <c r="J2057" s="3">
        <v>1999012</v>
      </c>
      <c r="K2057" s="3">
        <v>402240.8</v>
      </c>
      <c r="L2057" t="s">
        <v>17</v>
      </c>
      <c r="M2057">
        <v>4.0999999999999996</v>
      </c>
    </row>
    <row r="2058" spans="1:13" x14ac:dyDescent="0.25">
      <c r="A2058">
        <v>2057</v>
      </c>
      <c r="B2058" s="1">
        <v>43112</v>
      </c>
      <c r="C2058" s="1">
        <v>43434</v>
      </c>
      <c r="D2058" t="s">
        <v>23</v>
      </c>
      <c r="E2058" t="s">
        <v>28</v>
      </c>
      <c r="F2058" s="2">
        <v>48</v>
      </c>
      <c r="G2058" t="s">
        <v>11</v>
      </c>
      <c r="H2058" s="3">
        <v>15925.24</v>
      </c>
      <c r="I2058" s="3">
        <v>455741</v>
      </c>
      <c r="J2058" s="3">
        <v>364592.8</v>
      </c>
      <c r="K2058" s="3">
        <v>75222.960000000006</v>
      </c>
      <c r="L2058" t="s">
        <v>18</v>
      </c>
      <c r="M2058">
        <v>4</v>
      </c>
    </row>
    <row r="2059" spans="1:13" x14ac:dyDescent="0.25">
      <c r="A2059">
        <v>2058</v>
      </c>
      <c r="B2059" s="1">
        <v>43113</v>
      </c>
      <c r="C2059" s="1">
        <v>43376</v>
      </c>
      <c r="D2059" t="s">
        <v>22</v>
      </c>
      <c r="E2059" t="s">
        <v>27</v>
      </c>
      <c r="F2059" s="2">
        <v>115</v>
      </c>
      <c r="G2059" t="s">
        <v>12</v>
      </c>
      <c r="H2059" s="3">
        <v>46760.04</v>
      </c>
      <c r="I2059" s="3">
        <v>1220861</v>
      </c>
      <c r="J2059" s="3">
        <v>976688.8</v>
      </c>
      <c r="K2059" s="3">
        <v>197412.15999999995</v>
      </c>
      <c r="L2059" t="s">
        <v>19</v>
      </c>
      <c r="M2059">
        <v>4.5999999999999996</v>
      </c>
    </row>
    <row r="2060" spans="1:13" x14ac:dyDescent="0.25">
      <c r="A2060">
        <v>2059</v>
      </c>
      <c r="B2060" s="1">
        <v>43113</v>
      </c>
      <c r="C2060" s="1">
        <v>43462</v>
      </c>
      <c r="D2060" t="s">
        <v>22</v>
      </c>
      <c r="E2060" t="s">
        <v>26</v>
      </c>
      <c r="F2060" s="2">
        <v>92</v>
      </c>
      <c r="G2060" t="s">
        <v>11</v>
      </c>
      <c r="H2060" s="3">
        <v>28649.200000000001</v>
      </c>
      <c r="I2060" s="3">
        <v>774915</v>
      </c>
      <c r="J2060" s="3">
        <v>619932</v>
      </c>
      <c r="K2060" s="3">
        <v>126333.8</v>
      </c>
      <c r="L2060" t="s">
        <v>19</v>
      </c>
      <c r="M2060">
        <v>5</v>
      </c>
    </row>
    <row r="2061" spans="1:13" x14ac:dyDescent="0.25">
      <c r="A2061">
        <v>2060</v>
      </c>
      <c r="B2061" s="1">
        <v>43113</v>
      </c>
      <c r="C2061" s="1">
        <v>43333</v>
      </c>
      <c r="D2061" t="s">
        <v>21</v>
      </c>
      <c r="E2061" t="s">
        <v>24</v>
      </c>
      <c r="F2061" s="2">
        <v>200</v>
      </c>
      <c r="G2061" t="s">
        <v>12</v>
      </c>
      <c r="H2061" s="3">
        <v>56666.32</v>
      </c>
      <c r="I2061" s="3">
        <v>1473893</v>
      </c>
      <c r="J2061" s="3">
        <v>1179114.3999999999</v>
      </c>
      <c r="K2061" s="3">
        <v>238112.28000000009</v>
      </c>
      <c r="L2061" t="s">
        <v>18</v>
      </c>
      <c r="M2061">
        <v>4.9000000000000004</v>
      </c>
    </row>
    <row r="2062" spans="1:13" x14ac:dyDescent="0.25">
      <c r="A2062">
        <v>2061</v>
      </c>
      <c r="B2062" s="1">
        <v>43113</v>
      </c>
      <c r="C2062" s="1">
        <v>43459</v>
      </c>
      <c r="D2062" t="s">
        <v>21</v>
      </c>
      <c r="E2062" t="s">
        <v>13</v>
      </c>
      <c r="F2062" s="2">
        <v>255</v>
      </c>
      <c r="G2062" t="s">
        <v>12</v>
      </c>
      <c r="H2062" s="3">
        <v>63693.04</v>
      </c>
      <c r="I2062" s="3">
        <v>1652336</v>
      </c>
      <c r="J2062" s="3">
        <v>1321868.8</v>
      </c>
      <c r="K2062" s="3">
        <v>266774.15999999997</v>
      </c>
      <c r="L2062" t="s">
        <v>17</v>
      </c>
      <c r="M2062">
        <v>4.5999999999999996</v>
      </c>
    </row>
    <row r="2063" spans="1:13" x14ac:dyDescent="0.25">
      <c r="A2063">
        <v>2062</v>
      </c>
      <c r="B2063" s="1">
        <v>43113</v>
      </c>
      <c r="C2063" s="1">
        <v>43241</v>
      </c>
      <c r="D2063" t="s">
        <v>23</v>
      </c>
      <c r="E2063" t="s">
        <v>25</v>
      </c>
      <c r="F2063" s="2">
        <v>49</v>
      </c>
      <c r="G2063" t="s">
        <v>11</v>
      </c>
      <c r="H2063" s="3">
        <v>17887.88</v>
      </c>
      <c r="I2063" s="3">
        <v>503207</v>
      </c>
      <c r="J2063" s="3">
        <v>402565.6</v>
      </c>
      <c r="K2063" s="3">
        <v>82753.520000000019</v>
      </c>
      <c r="L2063" t="s">
        <v>17</v>
      </c>
      <c r="M2063">
        <v>4</v>
      </c>
    </row>
    <row r="2064" spans="1:13" x14ac:dyDescent="0.25">
      <c r="A2064">
        <v>2063</v>
      </c>
      <c r="B2064" s="1">
        <v>43113</v>
      </c>
      <c r="C2064" s="1">
        <v>43346</v>
      </c>
      <c r="D2064" t="s">
        <v>22</v>
      </c>
      <c r="E2064" t="s">
        <v>25</v>
      </c>
      <c r="F2064" s="2">
        <v>267</v>
      </c>
      <c r="G2064" t="s">
        <v>12</v>
      </c>
      <c r="H2064" s="3">
        <v>57177.24</v>
      </c>
      <c r="I2064" s="3">
        <v>1487041</v>
      </c>
      <c r="J2064" s="3">
        <v>1189632.8</v>
      </c>
      <c r="K2064" s="3">
        <v>240230.95999999996</v>
      </c>
      <c r="L2064" t="s">
        <v>18</v>
      </c>
      <c r="M2064">
        <v>3.8</v>
      </c>
    </row>
    <row r="2065" spans="1:13" x14ac:dyDescent="0.25">
      <c r="A2065">
        <v>2064</v>
      </c>
      <c r="B2065" s="1">
        <v>43114</v>
      </c>
      <c r="C2065" s="1">
        <v>43453</v>
      </c>
      <c r="D2065" t="s">
        <v>21</v>
      </c>
      <c r="E2065" t="s">
        <v>27</v>
      </c>
      <c r="F2065" s="2">
        <v>138</v>
      </c>
      <c r="G2065" t="s">
        <v>12</v>
      </c>
      <c r="H2065" s="3">
        <v>52205.24</v>
      </c>
      <c r="I2065" s="3">
        <v>1368341</v>
      </c>
      <c r="J2065" s="3">
        <v>1094672.8</v>
      </c>
      <c r="K2065" s="3">
        <v>221462.95999999996</v>
      </c>
      <c r="L2065" t="s">
        <v>19</v>
      </c>
      <c r="M2065">
        <v>4.4000000000000004</v>
      </c>
    </row>
    <row r="2066" spans="1:13" x14ac:dyDescent="0.25">
      <c r="A2066">
        <v>2065</v>
      </c>
      <c r="B2066" s="1">
        <v>43114</v>
      </c>
      <c r="C2066" s="1">
        <v>43369</v>
      </c>
      <c r="D2066" t="s">
        <v>20</v>
      </c>
      <c r="E2066" t="s">
        <v>24</v>
      </c>
      <c r="F2066" s="2">
        <v>143</v>
      </c>
      <c r="G2066" t="s">
        <v>12</v>
      </c>
      <c r="H2066" s="3">
        <v>33864</v>
      </c>
      <c r="I2066" s="3">
        <v>909685</v>
      </c>
      <c r="J2066" s="3">
        <v>727748</v>
      </c>
      <c r="K2066" s="3">
        <v>148073</v>
      </c>
      <c r="L2066" t="s">
        <v>15</v>
      </c>
      <c r="M2066">
        <v>4.5999999999999996</v>
      </c>
    </row>
    <row r="2067" spans="1:13" x14ac:dyDescent="0.25">
      <c r="A2067">
        <v>2066</v>
      </c>
      <c r="B2067" s="1">
        <v>43114</v>
      </c>
      <c r="C2067" s="1">
        <v>43390</v>
      </c>
      <c r="D2067" t="s">
        <v>21</v>
      </c>
      <c r="E2067" t="s">
        <v>13</v>
      </c>
      <c r="F2067" s="2">
        <v>162</v>
      </c>
      <c r="G2067" t="s">
        <v>12</v>
      </c>
      <c r="H2067" s="3">
        <v>57479.8</v>
      </c>
      <c r="I2067" s="3">
        <v>1498055</v>
      </c>
      <c r="J2067" s="3">
        <v>1198444</v>
      </c>
      <c r="K2067" s="3">
        <v>242131.20000000001</v>
      </c>
      <c r="L2067" t="s">
        <v>14</v>
      </c>
      <c r="M2067">
        <v>3.7</v>
      </c>
    </row>
    <row r="2068" spans="1:13" x14ac:dyDescent="0.25">
      <c r="A2068">
        <v>2067</v>
      </c>
      <c r="B2068" s="1">
        <v>43114</v>
      </c>
      <c r="C2068" s="1">
        <v>43420</v>
      </c>
      <c r="D2068" t="s">
        <v>22</v>
      </c>
      <c r="E2068" t="s">
        <v>24</v>
      </c>
      <c r="F2068" s="2">
        <v>122</v>
      </c>
      <c r="G2068" t="s">
        <v>11</v>
      </c>
      <c r="H2068" s="3">
        <v>21575.08</v>
      </c>
      <c r="I2068" s="3">
        <v>599312</v>
      </c>
      <c r="J2068" s="3">
        <v>479449.59999999998</v>
      </c>
      <c r="K2068" s="3">
        <v>98287.320000000022</v>
      </c>
      <c r="L2068" t="s">
        <v>16</v>
      </c>
      <c r="M2068">
        <v>4.5</v>
      </c>
    </row>
    <row r="2069" spans="1:13" x14ac:dyDescent="0.25">
      <c r="A2069">
        <v>2068</v>
      </c>
      <c r="B2069" s="1">
        <v>43114</v>
      </c>
      <c r="C2069" s="1">
        <v>43426</v>
      </c>
      <c r="D2069" t="s">
        <v>22</v>
      </c>
      <c r="E2069" t="s">
        <v>27</v>
      </c>
      <c r="F2069" s="2">
        <v>250</v>
      </c>
      <c r="G2069" t="s">
        <v>12</v>
      </c>
      <c r="H2069" s="3">
        <v>98581.4</v>
      </c>
      <c r="I2069" s="3">
        <v>2530895</v>
      </c>
      <c r="J2069" s="3">
        <v>2024716</v>
      </c>
      <c r="K2069" s="3">
        <v>407597.6</v>
      </c>
      <c r="L2069" t="s">
        <v>19</v>
      </c>
      <c r="M2069">
        <v>4.7</v>
      </c>
    </row>
    <row r="2070" spans="1:13" x14ac:dyDescent="0.25">
      <c r="A2070">
        <v>2069</v>
      </c>
      <c r="B2070" s="1">
        <v>43115</v>
      </c>
      <c r="C2070" s="1">
        <v>43411</v>
      </c>
      <c r="D2070" t="s">
        <v>20</v>
      </c>
      <c r="E2070" t="s">
        <v>25</v>
      </c>
      <c r="F2070" s="2">
        <v>193</v>
      </c>
      <c r="G2070" t="s">
        <v>12</v>
      </c>
      <c r="H2070" s="3">
        <v>66661.279999999999</v>
      </c>
      <c r="I2070" s="3">
        <v>1721617</v>
      </c>
      <c r="J2070" s="3">
        <v>1377293.6</v>
      </c>
      <c r="K2070" s="3">
        <v>277662.11999999988</v>
      </c>
      <c r="L2070" t="s">
        <v>16</v>
      </c>
      <c r="M2070">
        <v>3.6</v>
      </c>
    </row>
    <row r="2071" spans="1:13" x14ac:dyDescent="0.25">
      <c r="A2071">
        <v>2070</v>
      </c>
      <c r="B2071" s="1">
        <v>43115</v>
      </c>
      <c r="C2071" s="1">
        <v>43251</v>
      </c>
      <c r="D2071" t="s">
        <v>23</v>
      </c>
      <c r="E2071" t="s">
        <v>24</v>
      </c>
      <c r="F2071" s="2">
        <v>239</v>
      </c>
      <c r="G2071" t="s">
        <v>12</v>
      </c>
      <c r="H2071" s="3">
        <v>94860.6</v>
      </c>
      <c r="I2071" s="3">
        <v>2435525</v>
      </c>
      <c r="J2071" s="3">
        <v>1948420</v>
      </c>
      <c r="K2071" s="3">
        <v>392244.4</v>
      </c>
      <c r="L2071" t="s">
        <v>16</v>
      </c>
      <c r="M2071">
        <v>4.5999999999999996</v>
      </c>
    </row>
    <row r="2072" spans="1:13" x14ac:dyDescent="0.25">
      <c r="A2072">
        <v>2071</v>
      </c>
      <c r="B2072" s="1">
        <v>43115</v>
      </c>
      <c r="C2072" s="1">
        <v>43215</v>
      </c>
      <c r="D2072" t="s">
        <v>23</v>
      </c>
      <c r="E2072" t="s">
        <v>13</v>
      </c>
      <c r="F2072" s="2">
        <v>268</v>
      </c>
      <c r="G2072" t="s">
        <v>12</v>
      </c>
      <c r="H2072" s="3">
        <v>98407.48</v>
      </c>
      <c r="I2072" s="3">
        <v>2524197</v>
      </c>
      <c r="J2072" s="3">
        <v>2019357.6</v>
      </c>
      <c r="K2072" s="3">
        <v>406431.91999999993</v>
      </c>
      <c r="L2072" t="s">
        <v>14</v>
      </c>
      <c r="M2072">
        <v>3.6</v>
      </c>
    </row>
    <row r="2073" spans="1:13" x14ac:dyDescent="0.25">
      <c r="A2073">
        <v>2072</v>
      </c>
      <c r="B2073" s="1">
        <v>43115</v>
      </c>
      <c r="C2073" s="1">
        <v>43284</v>
      </c>
      <c r="D2073" t="s">
        <v>23</v>
      </c>
      <c r="E2073" t="s">
        <v>13</v>
      </c>
      <c r="F2073" s="2">
        <v>90</v>
      </c>
      <c r="G2073" t="s">
        <v>12</v>
      </c>
      <c r="H2073" s="3">
        <v>31396.799999999999</v>
      </c>
      <c r="I2073" s="3">
        <v>844655</v>
      </c>
      <c r="J2073" s="3">
        <v>675724</v>
      </c>
      <c r="K2073" s="3">
        <v>137534.20000000001</v>
      </c>
      <c r="L2073" t="s">
        <v>17</v>
      </c>
      <c r="M2073">
        <v>4.5999999999999996</v>
      </c>
    </row>
    <row r="2074" spans="1:13" x14ac:dyDescent="0.25">
      <c r="A2074">
        <v>2073</v>
      </c>
      <c r="B2074" s="1">
        <v>43115</v>
      </c>
      <c r="C2074" s="1">
        <v>43450</v>
      </c>
      <c r="D2074" t="s">
        <v>21</v>
      </c>
      <c r="E2074" t="s">
        <v>28</v>
      </c>
      <c r="F2074" s="2">
        <v>233</v>
      </c>
      <c r="G2074" t="s">
        <v>12</v>
      </c>
      <c r="H2074" s="3">
        <v>80464.320000000007</v>
      </c>
      <c r="I2074" s="3">
        <v>2067268</v>
      </c>
      <c r="J2074" s="3">
        <v>1653814.4</v>
      </c>
      <c r="K2074" s="3">
        <v>332989.28000000009</v>
      </c>
      <c r="L2074" t="s">
        <v>18</v>
      </c>
      <c r="M2074">
        <v>3.6</v>
      </c>
    </row>
    <row r="2075" spans="1:13" x14ac:dyDescent="0.25">
      <c r="A2075">
        <v>2074</v>
      </c>
      <c r="B2075" s="1">
        <v>43116</v>
      </c>
      <c r="C2075" s="1">
        <v>43453</v>
      </c>
      <c r="D2075" t="s">
        <v>20</v>
      </c>
      <c r="E2075" t="s">
        <v>28</v>
      </c>
      <c r="F2075" s="2">
        <v>75</v>
      </c>
      <c r="G2075" t="s">
        <v>11</v>
      </c>
      <c r="H2075" s="3">
        <v>13389.2</v>
      </c>
      <c r="I2075" s="3">
        <v>399765</v>
      </c>
      <c r="J2075" s="3">
        <v>319812</v>
      </c>
      <c r="K2075" s="3">
        <v>66563.8</v>
      </c>
      <c r="L2075" t="s">
        <v>15</v>
      </c>
      <c r="M2075">
        <v>5</v>
      </c>
    </row>
    <row r="2076" spans="1:13" x14ac:dyDescent="0.25">
      <c r="A2076">
        <v>2075</v>
      </c>
      <c r="B2076" s="1">
        <v>43116</v>
      </c>
      <c r="C2076" s="1">
        <v>43282</v>
      </c>
      <c r="D2076" t="s">
        <v>22</v>
      </c>
      <c r="E2076" t="s">
        <v>13</v>
      </c>
      <c r="F2076" s="2">
        <v>202</v>
      </c>
      <c r="G2076" t="s">
        <v>12</v>
      </c>
      <c r="H2076" s="3">
        <v>53380.6</v>
      </c>
      <c r="I2076" s="3">
        <v>1391850</v>
      </c>
      <c r="J2076" s="3">
        <v>1113480</v>
      </c>
      <c r="K2076" s="3">
        <v>224989.4</v>
      </c>
      <c r="L2076" t="s">
        <v>16</v>
      </c>
      <c r="M2076">
        <v>4.9000000000000004</v>
      </c>
    </row>
    <row r="2077" spans="1:13" x14ac:dyDescent="0.25">
      <c r="A2077">
        <v>2076</v>
      </c>
      <c r="B2077" s="1">
        <v>43117</v>
      </c>
      <c r="C2077" s="1">
        <v>43393</v>
      </c>
      <c r="D2077" t="s">
        <v>22</v>
      </c>
      <c r="E2077" t="s">
        <v>13</v>
      </c>
      <c r="F2077" s="2">
        <v>260</v>
      </c>
      <c r="G2077" t="s">
        <v>12</v>
      </c>
      <c r="H2077" s="3">
        <v>42319</v>
      </c>
      <c r="I2077" s="3">
        <v>1111160</v>
      </c>
      <c r="J2077" s="3">
        <v>888928</v>
      </c>
      <c r="K2077" s="3">
        <v>179913</v>
      </c>
      <c r="L2077" t="s">
        <v>14</v>
      </c>
      <c r="M2077">
        <v>4.8</v>
      </c>
    </row>
    <row r="2078" spans="1:13" x14ac:dyDescent="0.25">
      <c r="A2078">
        <v>2077</v>
      </c>
      <c r="B2078" s="1">
        <v>43117</v>
      </c>
      <c r="C2078" s="1">
        <v>43242</v>
      </c>
      <c r="D2078" t="s">
        <v>23</v>
      </c>
      <c r="E2078" t="s">
        <v>24</v>
      </c>
      <c r="F2078" s="2">
        <v>240</v>
      </c>
      <c r="G2078" t="s">
        <v>12</v>
      </c>
      <c r="H2078" s="3">
        <v>94741.32</v>
      </c>
      <c r="I2078" s="3">
        <v>2434493</v>
      </c>
      <c r="J2078" s="3">
        <v>1947594.4</v>
      </c>
      <c r="K2078" s="3">
        <v>392157.28000000009</v>
      </c>
      <c r="L2078" t="s">
        <v>17</v>
      </c>
      <c r="M2078">
        <v>4</v>
      </c>
    </row>
    <row r="2079" spans="1:13" x14ac:dyDescent="0.25">
      <c r="A2079">
        <v>2078</v>
      </c>
      <c r="B2079" s="1">
        <v>43117</v>
      </c>
      <c r="C2079" s="1">
        <v>43230</v>
      </c>
      <c r="D2079" t="s">
        <v>21</v>
      </c>
      <c r="E2079" t="s">
        <v>25</v>
      </c>
      <c r="F2079" s="2">
        <v>118</v>
      </c>
      <c r="G2079" t="s">
        <v>11</v>
      </c>
      <c r="H2079" s="3">
        <v>23369.68</v>
      </c>
      <c r="I2079" s="3">
        <v>645827</v>
      </c>
      <c r="J2079" s="3">
        <v>516661.6</v>
      </c>
      <c r="K2079" s="3">
        <v>105795.72000000003</v>
      </c>
      <c r="L2079" t="s">
        <v>14</v>
      </c>
      <c r="M2079">
        <v>3.6</v>
      </c>
    </row>
    <row r="2080" spans="1:13" x14ac:dyDescent="0.25">
      <c r="A2080">
        <v>2079</v>
      </c>
      <c r="B2080" s="1">
        <v>43117</v>
      </c>
      <c r="C2080" s="1">
        <v>43307</v>
      </c>
      <c r="D2080" t="s">
        <v>21</v>
      </c>
      <c r="E2080" t="s">
        <v>27</v>
      </c>
      <c r="F2080" s="2">
        <v>216</v>
      </c>
      <c r="G2080" t="s">
        <v>12</v>
      </c>
      <c r="H2080" s="3">
        <v>55419.76</v>
      </c>
      <c r="I2080" s="3">
        <v>1448454</v>
      </c>
      <c r="J2080" s="3">
        <v>1158763.2</v>
      </c>
      <c r="K2080" s="3">
        <v>234271.04000000004</v>
      </c>
      <c r="L2080" t="s">
        <v>15</v>
      </c>
      <c r="M2080">
        <v>4.2</v>
      </c>
    </row>
    <row r="2081" spans="1:13" x14ac:dyDescent="0.25">
      <c r="A2081">
        <v>2080</v>
      </c>
      <c r="B2081" s="1">
        <v>43118</v>
      </c>
      <c r="C2081" s="1">
        <v>43211</v>
      </c>
      <c r="D2081" t="s">
        <v>22</v>
      </c>
      <c r="E2081" t="s">
        <v>25</v>
      </c>
      <c r="F2081" s="2">
        <v>229</v>
      </c>
      <c r="G2081" t="s">
        <v>12</v>
      </c>
      <c r="H2081" s="3">
        <v>80817.240000000005</v>
      </c>
      <c r="I2081" s="3">
        <v>2086091</v>
      </c>
      <c r="J2081" s="3">
        <v>1668872.8</v>
      </c>
      <c r="K2081" s="3">
        <v>336400.95999999996</v>
      </c>
      <c r="L2081" t="s">
        <v>18</v>
      </c>
      <c r="M2081">
        <v>4.5999999999999996</v>
      </c>
    </row>
    <row r="2082" spans="1:13" x14ac:dyDescent="0.25">
      <c r="A2082">
        <v>2081</v>
      </c>
      <c r="B2082" s="1">
        <v>43118</v>
      </c>
      <c r="C2082" s="1">
        <v>43235</v>
      </c>
      <c r="D2082" t="s">
        <v>21</v>
      </c>
      <c r="E2082" t="s">
        <v>25</v>
      </c>
      <c r="F2082" s="2">
        <v>62</v>
      </c>
      <c r="G2082" t="s">
        <v>11</v>
      </c>
      <c r="H2082" s="3">
        <v>19396.400000000001</v>
      </c>
      <c r="I2082" s="3">
        <v>537095</v>
      </c>
      <c r="J2082" s="3">
        <v>429676</v>
      </c>
      <c r="K2082" s="3">
        <v>88022.6</v>
      </c>
      <c r="L2082" t="s">
        <v>19</v>
      </c>
      <c r="M2082">
        <v>3.9</v>
      </c>
    </row>
    <row r="2083" spans="1:13" x14ac:dyDescent="0.25">
      <c r="A2083">
        <v>2082</v>
      </c>
      <c r="B2083" s="1">
        <v>43119</v>
      </c>
      <c r="C2083" s="1">
        <v>43267</v>
      </c>
      <c r="D2083" t="s">
        <v>21</v>
      </c>
      <c r="E2083" t="s">
        <v>29</v>
      </c>
      <c r="F2083" s="2">
        <v>110</v>
      </c>
      <c r="G2083" t="s">
        <v>12</v>
      </c>
      <c r="H2083" s="3">
        <v>36424.480000000003</v>
      </c>
      <c r="I2083" s="3">
        <v>975047</v>
      </c>
      <c r="J2083" s="3">
        <v>780037.6</v>
      </c>
      <c r="K2083" s="3">
        <v>158584.92000000001</v>
      </c>
      <c r="L2083" t="s">
        <v>18</v>
      </c>
      <c r="M2083">
        <v>4.2</v>
      </c>
    </row>
    <row r="2084" spans="1:13" x14ac:dyDescent="0.25">
      <c r="A2084">
        <v>2083</v>
      </c>
      <c r="B2084" s="1">
        <v>43119</v>
      </c>
      <c r="C2084" s="1">
        <v>43309</v>
      </c>
      <c r="D2084" t="s">
        <v>20</v>
      </c>
      <c r="E2084" t="s">
        <v>13</v>
      </c>
      <c r="F2084" s="2">
        <v>263</v>
      </c>
      <c r="G2084" t="s">
        <v>12</v>
      </c>
      <c r="H2084" s="3">
        <v>89052.12</v>
      </c>
      <c r="I2084" s="3">
        <v>2281688</v>
      </c>
      <c r="J2084" s="3">
        <v>1825350.4</v>
      </c>
      <c r="K2084" s="3">
        <v>367285.4800000001</v>
      </c>
      <c r="L2084" t="s">
        <v>18</v>
      </c>
      <c r="M2084">
        <v>4.2</v>
      </c>
    </row>
    <row r="2085" spans="1:13" x14ac:dyDescent="0.25">
      <c r="A2085">
        <v>2084</v>
      </c>
      <c r="B2085" s="1">
        <v>43119</v>
      </c>
      <c r="C2085" s="1">
        <v>43301</v>
      </c>
      <c r="D2085" t="s">
        <v>22</v>
      </c>
      <c r="E2085" t="s">
        <v>24</v>
      </c>
      <c r="F2085" s="2">
        <v>181</v>
      </c>
      <c r="G2085" t="s">
        <v>12</v>
      </c>
      <c r="H2085" s="3">
        <v>56138.8</v>
      </c>
      <c r="I2085" s="3">
        <v>1458705</v>
      </c>
      <c r="J2085" s="3">
        <v>1166964</v>
      </c>
      <c r="K2085" s="3">
        <v>235602.2</v>
      </c>
      <c r="L2085" t="s">
        <v>18</v>
      </c>
      <c r="M2085">
        <v>3.9</v>
      </c>
    </row>
    <row r="2086" spans="1:13" x14ac:dyDescent="0.25">
      <c r="A2086">
        <v>2085</v>
      </c>
      <c r="B2086" s="1">
        <v>43119</v>
      </c>
      <c r="C2086" s="1">
        <v>43279</v>
      </c>
      <c r="D2086" t="s">
        <v>23</v>
      </c>
      <c r="E2086" t="s">
        <v>27</v>
      </c>
      <c r="F2086" s="2">
        <v>291</v>
      </c>
      <c r="G2086" t="s">
        <v>12</v>
      </c>
      <c r="H2086" s="3">
        <v>94636.28</v>
      </c>
      <c r="I2086" s="3">
        <v>2424317</v>
      </c>
      <c r="J2086" s="3">
        <v>1939453.6</v>
      </c>
      <c r="K2086" s="3">
        <v>390227.11999999988</v>
      </c>
      <c r="L2086" t="s">
        <v>18</v>
      </c>
      <c r="M2086">
        <v>4.3</v>
      </c>
    </row>
    <row r="2087" spans="1:13" x14ac:dyDescent="0.25">
      <c r="A2087">
        <v>2086</v>
      </c>
      <c r="B2087" s="1">
        <v>43120</v>
      </c>
      <c r="C2087" s="1">
        <v>43277</v>
      </c>
      <c r="D2087" t="s">
        <v>22</v>
      </c>
      <c r="E2087" t="s">
        <v>29</v>
      </c>
      <c r="F2087" s="2">
        <v>250</v>
      </c>
      <c r="G2087" t="s">
        <v>12</v>
      </c>
      <c r="H2087" s="3">
        <v>56123.199999999997</v>
      </c>
      <c r="I2087" s="3">
        <v>1464965</v>
      </c>
      <c r="J2087" s="3">
        <v>1171972</v>
      </c>
      <c r="K2087" s="3">
        <v>236869.8</v>
      </c>
      <c r="L2087" t="s">
        <v>15</v>
      </c>
      <c r="M2087">
        <v>3.9</v>
      </c>
    </row>
    <row r="2088" spans="1:13" x14ac:dyDescent="0.25">
      <c r="A2088">
        <v>2087</v>
      </c>
      <c r="B2088" s="1">
        <v>43120</v>
      </c>
      <c r="C2088" s="1">
        <v>43388</v>
      </c>
      <c r="D2088" t="s">
        <v>20</v>
      </c>
      <c r="E2088" t="s">
        <v>27</v>
      </c>
      <c r="F2088" s="2">
        <v>261</v>
      </c>
      <c r="G2088" t="s">
        <v>12</v>
      </c>
      <c r="H2088" s="3">
        <v>83749.399999999994</v>
      </c>
      <c r="I2088" s="3">
        <v>2156220</v>
      </c>
      <c r="J2088" s="3">
        <v>1724976</v>
      </c>
      <c r="K2088" s="3">
        <v>347494.6</v>
      </c>
      <c r="L2088" t="s">
        <v>15</v>
      </c>
      <c r="M2088">
        <v>4.0999999999999996</v>
      </c>
    </row>
    <row r="2089" spans="1:13" x14ac:dyDescent="0.25">
      <c r="A2089">
        <v>2088</v>
      </c>
      <c r="B2089" s="1">
        <v>43121</v>
      </c>
      <c r="C2089" s="1">
        <v>43403</v>
      </c>
      <c r="D2089" t="s">
        <v>22</v>
      </c>
      <c r="E2089" t="s">
        <v>26</v>
      </c>
      <c r="F2089" s="2">
        <v>98</v>
      </c>
      <c r="G2089" t="s">
        <v>11</v>
      </c>
      <c r="H2089" s="3">
        <v>26369.040000000001</v>
      </c>
      <c r="I2089" s="3">
        <v>710761</v>
      </c>
      <c r="J2089" s="3">
        <v>568608.80000000005</v>
      </c>
      <c r="K2089" s="3">
        <v>115783.15999999995</v>
      </c>
      <c r="L2089" t="s">
        <v>19</v>
      </c>
      <c r="M2089">
        <v>4.7</v>
      </c>
    </row>
    <row r="2090" spans="1:13" x14ac:dyDescent="0.25">
      <c r="A2090">
        <v>2089</v>
      </c>
      <c r="B2090" s="1">
        <v>43121</v>
      </c>
      <c r="C2090" s="1">
        <v>43449</v>
      </c>
      <c r="D2090" t="s">
        <v>23</v>
      </c>
      <c r="E2090" t="s">
        <v>25</v>
      </c>
      <c r="F2090" s="2">
        <v>35</v>
      </c>
      <c r="G2090" t="s">
        <v>11</v>
      </c>
      <c r="H2090" s="3">
        <v>9086.44</v>
      </c>
      <c r="I2090" s="3">
        <v>291546</v>
      </c>
      <c r="J2090" s="3">
        <v>233236.8</v>
      </c>
      <c r="K2090" s="3">
        <v>49222.760000000009</v>
      </c>
      <c r="L2090" t="s">
        <v>15</v>
      </c>
      <c r="M2090">
        <v>4.3</v>
      </c>
    </row>
    <row r="2091" spans="1:13" x14ac:dyDescent="0.25">
      <c r="A2091">
        <v>2090</v>
      </c>
      <c r="B2091" s="1">
        <v>43121</v>
      </c>
      <c r="C2091" s="1">
        <v>43259</v>
      </c>
      <c r="D2091" t="s">
        <v>22</v>
      </c>
      <c r="E2091" t="s">
        <v>27</v>
      </c>
      <c r="F2091" s="2">
        <v>175</v>
      </c>
      <c r="G2091" t="s">
        <v>12</v>
      </c>
      <c r="H2091" s="3">
        <v>43416.84</v>
      </c>
      <c r="I2091" s="3">
        <v>1141331</v>
      </c>
      <c r="J2091" s="3">
        <v>913064.8</v>
      </c>
      <c r="K2091" s="3">
        <v>184849.35999999996</v>
      </c>
      <c r="L2091" t="s">
        <v>17</v>
      </c>
      <c r="M2091">
        <v>3.8</v>
      </c>
    </row>
    <row r="2092" spans="1:13" x14ac:dyDescent="0.25">
      <c r="A2092">
        <v>2091</v>
      </c>
      <c r="B2092" s="1">
        <v>43123</v>
      </c>
      <c r="C2092" s="1">
        <v>43343</v>
      </c>
      <c r="D2092" t="s">
        <v>22</v>
      </c>
      <c r="E2092" t="s">
        <v>24</v>
      </c>
      <c r="F2092" s="2">
        <v>164</v>
      </c>
      <c r="G2092" t="s">
        <v>12</v>
      </c>
      <c r="H2092" s="3">
        <v>51110.12</v>
      </c>
      <c r="I2092" s="3">
        <v>1334888</v>
      </c>
      <c r="J2092" s="3">
        <v>1067910.3999999999</v>
      </c>
      <c r="K2092" s="3">
        <v>215867.4800000001</v>
      </c>
      <c r="L2092" t="s">
        <v>14</v>
      </c>
      <c r="M2092">
        <v>4.0999999999999996</v>
      </c>
    </row>
    <row r="2093" spans="1:13" x14ac:dyDescent="0.25">
      <c r="A2093">
        <v>2092</v>
      </c>
      <c r="B2093" s="1">
        <v>43123</v>
      </c>
      <c r="C2093" s="1">
        <v>43344</v>
      </c>
      <c r="D2093" t="s">
        <v>20</v>
      </c>
      <c r="E2093" t="s">
        <v>28</v>
      </c>
      <c r="F2093" s="2">
        <v>78</v>
      </c>
      <c r="G2093" t="s">
        <v>11</v>
      </c>
      <c r="H2093" s="3">
        <v>17811.400000000001</v>
      </c>
      <c r="I2093" s="3">
        <v>509170</v>
      </c>
      <c r="J2093" s="3">
        <v>407336</v>
      </c>
      <c r="K2093" s="3">
        <v>84022.6</v>
      </c>
      <c r="L2093" t="s">
        <v>15</v>
      </c>
      <c r="M2093">
        <v>4.5</v>
      </c>
    </row>
    <row r="2094" spans="1:13" x14ac:dyDescent="0.25">
      <c r="A2094">
        <v>2093</v>
      </c>
      <c r="B2094" s="1">
        <v>43123</v>
      </c>
      <c r="C2094" s="1">
        <v>43266</v>
      </c>
      <c r="D2094" t="s">
        <v>21</v>
      </c>
      <c r="E2094" t="s">
        <v>27</v>
      </c>
      <c r="F2094" s="2">
        <v>287</v>
      </c>
      <c r="G2094" t="s">
        <v>12</v>
      </c>
      <c r="H2094" s="3">
        <v>46491.64</v>
      </c>
      <c r="I2094" s="3">
        <v>1219326</v>
      </c>
      <c r="J2094" s="3">
        <v>975460.8</v>
      </c>
      <c r="K2094" s="3">
        <v>197373.55999999994</v>
      </c>
      <c r="L2094" t="s">
        <v>18</v>
      </c>
      <c r="M2094">
        <v>4.8</v>
      </c>
    </row>
    <row r="2095" spans="1:13" x14ac:dyDescent="0.25">
      <c r="A2095">
        <v>2094</v>
      </c>
      <c r="B2095" s="1">
        <v>43123</v>
      </c>
      <c r="C2095" s="1">
        <v>43376</v>
      </c>
      <c r="D2095" t="s">
        <v>20</v>
      </c>
      <c r="E2095" t="s">
        <v>26</v>
      </c>
      <c r="F2095" s="2">
        <v>149</v>
      </c>
      <c r="G2095" t="s">
        <v>12</v>
      </c>
      <c r="H2095" s="3">
        <v>56389.72</v>
      </c>
      <c r="I2095" s="3">
        <v>1463603</v>
      </c>
      <c r="J2095" s="3">
        <v>1170882.3999999999</v>
      </c>
      <c r="K2095" s="3">
        <v>236330.88000000009</v>
      </c>
      <c r="L2095" t="s">
        <v>15</v>
      </c>
      <c r="M2095">
        <v>4.4000000000000004</v>
      </c>
    </row>
    <row r="2096" spans="1:13" x14ac:dyDescent="0.25">
      <c r="A2096">
        <v>2095</v>
      </c>
      <c r="B2096" s="1">
        <v>43123</v>
      </c>
      <c r="C2096" s="1">
        <v>43344</v>
      </c>
      <c r="D2096" t="s">
        <v>23</v>
      </c>
      <c r="E2096" t="s">
        <v>13</v>
      </c>
      <c r="F2096" s="2">
        <v>37</v>
      </c>
      <c r="G2096" t="s">
        <v>11</v>
      </c>
      <c r="H2096" s="3">
        <v>10058.200000000001</v>
      </c>
      <c r="I2096" s="3">
        <v>309365</v>
      </c>
      <c r="J2096" s="3">
        <v>247492</v>
      </c>
      <c r="K2096" s="3">
        <v>51814.8</v>
      </c>
      <c r="L2096" t="s">
        <v>18</v>
      </c>
      <c r="M2096">
        <v>3.8</v>
      </c>
    </row>
    <row r="2097" spans="1:13" x14ac:dyDescent="0.25">
      <c r="A2097">
        <v>2096</v>
      </c>
      <c r="B2097" s="1">
        <v>43123</v>
      </c>
      <c r="C2097" s="1">
        <v>43415</v>
      </c>
      <c r="D2097" t="s">
        <v>22</v>
      </c>
      <c r="E2097" t="s">
        <v>29</v>
      </c>
      <c r="F2097" s="2">
        <v>133</v>
      </c>
      <c r="G2097" t="s">
        <v>12</v>
      </c>
      <c r="H2097" s="3">
        <v>32489.64</v>
      </c>
      <c r="I2097" s="3">
        <v>867801</v>
      </c>
      <c r="J2097" s="3">
        <v>694240.8</v>
      </c>
      <c r="K2097" s="3">
        <v>141070.55999999994</v>
      </c>
      <c r="L2097" t="s">
        <v>17</v>
      </c>
      <c r="M2097">
        <v>4.4000000000000004</v>
      </c>
    </row>
    <row r="2098" spans="1:13" x14ac:dyDescent="0.25">
      <c r="A2098">
        <v>2097</v>
      </c>
      <c r="B2098" s="1">
        <v>43123</v>
      </c>
      <c r="C2098" s="1">
        <v>43475</v>
      </c>
      <c r="D2098" t="s">
        <v>20</v>
      </c>
      <c r="E2098" t="s">
        <v>28</v>
      </c>
      <c r="F2098" s="2">
        <v>184</v>
      </c>
      <c r="G2098" t="s">
        <v>12</v>
      </c>
      <c r="H2098" s="3">
        <v>57812.4</v>
      </c>
      <c r="I2098" s="3">
        <v>1505945</v>
      </c>
      <c r="J2098" s="3">
        <v>1204756</v>
      </c>
      <c r="K2098" s="3">
        <v>243376.6</v>
      </c>
      <c r="L2098" t="s">
        <v>14</v>
      </c>
      <c r="M2098">
        <v>4.5999999999999996</v>
      </c>
    </row>
    <row r="2099" spans="1:13" x14ac:dyDescent="0.25">
      <c r="A2099">
        <v>2098</v>
      </c>
      <c r="B2099" s="1">
        <v>43124</v>
      </c>
      <c r="C2099" s="1">
        <v>43366</v>
      </c>
      <c r="D2099" t="s">
        <v>20</v>
      </c>
      <c r="E2099" t="s">
        <v>25</v>
      </c>
      <c r="F2099" s="2">
        <v>116</v>
      </c>
      <c r="G2099" t="s">
        <v>12</v>
      </c>
      <c r="H2099" s="3">
        <v>44498.96</v>
      </c>
      <c r="I2099" s="3">
        <v>1169684</v>
      </c>
      <c r="J2099" s="3">
        <v>935747.2</v>
      </c>
      <c r="K2099" s="3">
        <v>189437.84000000005</v>
      </c>
      <c r="L2099" t="s">
        <v>19</v>
      </c>
      <c r="M2099">
        <v>3.7</v>
      </c>
    </row>
    <row r="2100" spans="1:13" x14ac:dyDescent="0.25">
      <c r="A2100">
        <v>2099</v>
      </c>
      <c r="B2100" s="1">
        <v>43124</v>
      </c>
      <c r="C2100" s="1">
        <v>43315</v>
      </c>
      <c r="D2100" t="s">
        <v>20</v>
      </c>
      <c r="E2100" t="s">
        <v>13</v>
      </c>
      <c r="F2100" s="2">
        <v>140</v>
      </c>
      <c r="G2100" t="s">
        <v>12</v>
      </c>
      <c r="H2100" s="3">
        <v>48986.400000000001</v>
      </c>
      <c r="I2100" s="3">
        <v>1284245</v>
      </c>
      <c r="J2100" s="3">
        <v>1027396</v>
      </c>
      <c r="K2100" s="3">
        <v>207862.6</v>
      </c>
      <c r="L2100" t="s">
        <v>19</v>
      </c>
      <c r="M2100">
        <v>4.5</v>
      </c>
    </row>
    <row r="2101" spans="1:13" x14ac:dyDescent="0.25">
      <c r="A2101">
        <v>2100</v>
      </c>
      <c r="B2101" s="1">
        <v>43124</v>
      </c>
      <c r="C2101" s="1">
        <v>43293</v>
      </c>
      <c r="D2101" t="s">
        <v>23</v>
      </c>
      <c r="E2101" t="s">
        <v>25</v>
      </c>
      <c r="F2101" s="2">
        <v>74</v>
      </c>
      <c r="G2101" t="s">
        <v>11</v>
      </c>
      <c r="H2101" s="3">
        <v>28338.2</v>
      </c>
      <c r="I2101" s="3">
        <v>764165</v>
      </c>
      <c r="J2101" s="3">
        <v>611332</v>
      </c>
      <c r="K2101" s="3">
        <v>124494.8</v>
      </c>
      <c r="L2101" t="s">
        <v>16</v>
      </c>
      <c r="M2101">
        <v>4.7</v>
      </c>
    </row>
    <row r="2102" spans="1:13" x14ac:dyDescent="0.25">
      <c r="A2102">
        <v>2101</v>
      </c>
      <c r="B2102" s="1">
        <v>43124</v>
      </c>
      <c r="C2102" s="1">
        <v>43222</v>
      </c>
      <c r="D2102" t="s">
        <v>23</v>
      </c>
      <c r="E2102" t="s">
        <v>13</v>
      </c>
      <c r="F2102" s="2">
        <v>215</v>
      </c>
      <c r="G2102" t="s">
        <v>12</v>
      </c>
      <c r="H2102" s="3">
        <v>60256.6</v>
      </c>
      <c r="I2102" s="3">
        <v>1559325</v>
      </c>
      <c r="J2102" s="3">
        <v>1247460</v>
      </c>
      <c r="K2102" s="3">
        <v>251608.4</v>
      </c>
      <c r="L2102" t="s">
        <v>18</v>
      </c>
      <c r="M2102">
        <v>3.9</v>
      </c>
    </row>
    <row r="2103" spans="1:13" x14ac:dyDescent="0.25">
      <c r="A2103">
        <v>2102</v>
      </c>
      <c r="B2103" s="1">
        <v>43124</v>
      </c>
      <c r="C2103" s="1">
        <v>43214</v>
      </c>
      <c r="D2103" t="s">
        <v>23</v>
      </c>
      <c r="E2103" t="s">
        <v>29</v>
      </c>
      <c r="F2103" s="2">
        <v>191</v>
      </c>
      <c r="G2103" t="s">
        <v>12</v>
      </c>
      <c r="H2103" s="3">
        <v>58450.44</v>
      </c>
      <c r="I2103" s="3">
        <v>1526396</v>
      </c>
      <c r="J2103" s="3">
        <v>1221116.8</v>
      </c>
      <c r="K2103" s="3">
        <v>246828.75999999995</v>
      </c>
      <c r="L2103" t="s">
        <v>14</v>
      </c>
      <c r="M2103">
        <v>4</v>
      </c>
    </row>
    <row r="2104" spans="1:13" x14ac:dyDescent="0.25">
      <c r="A2104">
        <v>2103</v>
      </c>
      <c r="B2104" s="1">
        <v>43125</v>
      </c>
      <c r="C2104" s="1">
        <v>43219</v>
      </c>
      <c r="D2104" t="s">
        <v>21</v>
      </c>
      <c r="E2104" t="s">
        <v>24</v>
      </c>
      <c r="F2104" s="2">
        <v>226</v>
      </c>
      <c r="G2104" t="s">
        <v>12</v>
      </c>
      <c r="H2104" s="3">
        <v>56745.36</v>
      </c>
      <c r="I2104" s="3">
        <v>1483994</v>
      </c>
      <c r="J2104" s="3">
        <v>1187195.2</v>
      </c>
      <c r="K2104" s="3">
        <v>240053.44000000006</v>
      </c>
      <c r="L2104" t="s">
        <v>16</v>
      </c>
      <c r="M2104">
        <v>4.5999999999999996</v>
      </c>
    </row>
    <row r="2105" spans="1:13" x14ac:dyDescent="0.25">
      <c r="A2105">
        <v>2104</v>
      </c>
      <c r="B2105" s="1">
        <v>43125</v>
      </c>
      <c r="C2105" s="1">
        <v>43259</v>
      </c>
      <c r="D2105" t="s">
        <v>21</v>
      </c>
      <c r="E2105" t="s">
        <v>26</v>
      </c>
      <c r="F2105" s="2">
        <v>218</v>
      </c>
      <c r="G2105" t="s">
        <v>12</v>
      </c>
      <c r="H2105" s="3">
        <v>77669.960000000006</v>
      </c>
      <c r="I2105" s="3">
        <v>2007359</v>
      </c>
      <c r="J2105" s="3">
        <v>1605887.2</v>
      </c>
      <c r="K2105" s="3">
        <v>323801.84000000003</v>
      </c>
      <c r="L2105" t="s">
        <v>16</v>
      </c>
      <c r="M2105">
        <v>4.2</v>
      </c>
    </row>
    <row r="2106" spans="1:13" x14ac:dyDescent="0.25">
      <c r="A2106">
        <v>2105</v>
      </c>
      <c r="B2106" s="1">
        <v>43125</v>
      </c>
      <c r="C2106" s="1">
        <v>43232</v>
      </c>
      <c r="D2106" t="s">
        <v>23</v>
      </c>
      <c r="E2106" t="s">
        <v>29</v>
      </c>
      <c r="F2106" s="2">
        <v>232</v>
      </c>
      <c r="G2106" t="s">
        <v>12</v>
      </c>
      <c r="H2106" s="3">
        <v>56665.08</v>
      </c>
      <c r="I2106" s="3">
        <v>1475312</v>
      </c>
      <c r="J2106" s="3">
        <v>1180249.6000000001</v>
      </c>
      <c r="K2106" s="3">
        <v>238397.31999999989</v>
      </c>
      <c r="L2106" t="s">
        <v>15</v>
      </c>
      <c r="M2106">
        <v>3.8</v>
      </c>
    </row>
    <row r="2107" spans="1:13" x14ac:dyDescent="0.25">
      <c r="A2107">
        <v>2106</v>
      </c>
      <c r="B2107" s="1">
        <v>43125</v>
      </c>
      <c r="C2107" s="1">
        <v>43383</v>
      </c>
      <c r="D2107" t="s">
        <v>22</v>
      </c>
      <c r="E2107" t="s">
        <v>27</v>
      </c>
      <c r="F2107" s="2">
        <v>206</v>
      </c>
      <c r="G2107" t="s">
        <v>12</v>
      </c>
      <c r="H2107" s="3">
        <v>56419.6</v>
      </c>
      <c r="I2107" s="3">
        <v>1477025</v>
      </c>
      <c r="J2107" s="3">
        <v>1181620</v>
      </c>
      <c r="K2107" s="3">
        <v>238985.4</v>
      </c>
      <c r="L2107" t="s">
        <v>17</v>
      </c>
      <c r="M2107">
        <v>4.5</v>
      </c>
    </row>
    <row r="2108" spans="1:13" x14ac:dyDescent="0.25">
      <c r="A2108">
        <v>2107</v>
      </c>
      <c r="B2108" s="1">
        <v>43125</v>
      </c>
      <c r="C2108" s="1">
        <v>43456</v>
      </c>
      <c r="D2108" t="s">
        <v>23</v>
      </c>
      <c r="E2108" t="s">
        <v>13</v>
      </c>
      <c r="F2108" s="2">
        <v>80</v>
      </c>
      <c r="G2108" t="s">
        <v>12</v>
      </c>
      <c r="H2108" s="3">
        <v>31681.119999999999</v>
      </c>
      <c r="I2108" s="3">
        <v>852713</v>
      </c>
      <c r="J2108" s="3">
        <v>682170.4</v>
      </c>
      <c r="K2108" s="3">
        <v>138861.47999999998</v>
      </c>
      <c r="L2108" t="s">
        <v>17</v>
      </c>
      <c r="M2108">
        <v>5</v>
      </c>
    </row>
    <row r="2109" spans="1:13" x14ac:dyDescent="0.25">
      <c r="A2109">
        <v>2108</v>
      </c>
      <c r="B2109" s="1">
        <v>43126</v>
      </c>
      <c r="C2109" s="1">
        <v>43489</v>
      </c>
      <c r="D2109" t="s">
        <v>22</v>
      </c>
      <c r="E2109" t="s">
        <v>29</v>
      </c>
      <c r="F2109" s="2">
        <v>132</v>
      </c>
      <c r="G2109" t="s">
        <v>12</v>
      </c>
      <c r="H2109" s="3">
        <v>47082.400000000001</v>
      </c>
      <c r="I2109" s="3">
        <v>1233970</v>
      </c>
      <c r="J2109" s="3">
        <v>987176</v>
      </c>
      <c r="K2109" s="3">
        <v>199711.6</v>
      </c>
      <c r="L2109" t="s">
        <v>15</v>
      </c>
      <c r="M2109">
        <v>4.2</v>
      </c>
    </row>
    <row r="2110" spans="1:13" x14ac:dyDescent="0.25">
      <c r="A2110">
        <v>2109</v>
      </c>
      <c r="B2110" s="1">
        <v>43126</v>
      </c>
      <c r="C2110" s="1">
        <v>43448</v>
      </c>
      <c r="D2110" t="s">
        <v>23</v>
      </c>
      <c r="E2110" t="s">
        <v>27</v>
      </c>
      <c r="F2110" s="2">
        <v>87</v>
      </c>
      <c r="G2110" t="s">
        <v>11</v>
      </c>
      <c r="H2110" s="3">
        <v>20332.68</v>
      </c>
      <c r="I2110" s="3">
        <v>565377</v>
      </c>
      <c r="J2110" s="3">
        <v>452301.6</v>
      </c>
      <c r="K2110" s="3">
        <v>92742.72000000003</v>
      </c>
      <c r="L2110" t="s">
        <v>18</v>
      </c>
      <c r="M2110">
        <v>3.8</v>
      </c>
    </row>
    <row r="2111" spans="1:13" x14ac:dyDescent="0.25">
      <c r="A2111">
        <v>2110</v>
      </c>
      <c r="B2111" s="1">
        <v>43126</v>
      </c>
      <c r="C2111" s="1">
        <v>43266</v>
      </c>
      <c r="D2111" t="s">
        <v>20</v>
      </c>
      <c r="E2111" t="s">
        <v>25</v>
      </c>
      <c r="F2111" s="2">
        <v>267</v>
      </c>
      <c r="G2111" t="s">
        <v>12</v>
      </c>
      <c r="H2111" s="3">
        <v>60217.16</v>
      </c>
      <c r="I2111" s="3">
        <v>1564739</v>
      </c>
      <c r="J2111" s="3">
        <v>1251791.2</v>
      </c>
      <c r="K2111" s="3">
        <v>252730.64000000004</v>
      </c>
      <c r="L2111" t="s">
        <v>15</v>
      </c>
      <c r="M2111">
        <v>4</v>
      </c>
    </row>
    <row r="2112" spans="1:13" x14ac:dyDescent="0.25">
      <c r="A2112">
        <v>2111</v>
      </c>
      <c r="B2112" s="1">
        <v>43126</v>
      </c>
      <c r="C2112" s="1">
        <v>43402</v>
      </c>
      <c r="D2112" t="s">
        <v>22</v>
      </c>
      <c r="E2112" t="s">
        <v>27</v>
      </c>
      <c r="F2112" s="2">
        <v>255</v>
      </c>
      <c r="G2112" t="s">
        <v>12</v>
      </c>
      <c r="H2112" s="3">
        <v>88693.96</v>
      </c>
      <c r="I2112" s="3">
        <v>2270384</v>
      </c>
      <c r="J2112" s="3">
        <v>1816307.2</v>
      </c>
      <c r="K2112" s="3">
        <v>365382.84</v>
      </c>
      <c r="L2112" t="s">
        <v>19</v>
      </c>
      <c r="M2112">
        <v>4</v>
      </c>
    </row>
    <row r="2113" spans="1:13" x14ac:dyDescent="0.25">
      <c r="A2113">
        <v>2112</v>
      </c>
      <c r="B2113" s="1">
        <v>43126</v>
      </c>
      <c r="C2113" s="1">
        <v>43279</v>
      </c>
      <c r="D2113" t="s">
        <v>20</v>
      </c>
      <c r="E2113" t="s">
        <v>26</v>
      </c>
      <c r="F2113" s="2">
        <v>74</v>
      </c>
      <c r="G2113" t="s">
        <v>11</v>
      </c>
      <c r="H2113" s="3">
        <v>27303.4</v>
      </c>
      <c r="I2113" s="3">
        <v>746045</v>
      </c>
      <c r="J2113" s="3">
        <v>596836</v>
      </c>
      <c r="K2113" s="3">
        <v>121905.60000000001</v>
      </c>
      <c r="L2113" t="s">
        <v>16</v>
      </c>
      <c r="M2113">
        <v>4.4000000000000004</v>
      </c>
    </row>
    <row r="2114" spans="1:13" x14ac:dyDescent="0.25">
      <c r="A2114">
        <v>2113</v>
      </c>
      <c r="B2114" s="1">
        <v>43126</v>
      </c>
      <c r="C2114" s="1">
        <v>43251</v>
      </c>
      <c r="D2114" t="s">
        <v>23</v>
      </c>
      <c r="E2114" t="s">
        <v>24</v>
      </c>
      <c r="F2114" s="2">
        <v>251</v>
      </c>
      <c r="G2114" t="s">
        <v>12</v>
      </c>
      <c r="H2114" s="3">
        <v>83664.88</v>
      </c>
      <c r="I2114" s="3">
        <v>2147957</v>
      </c>
      <c r="J2114" s="3">
        <v>1718365.6</v>
      </c>
      <c r="K2114" s="3">
        <v>345926.5199999999</v>
      </c>
      <c r="L2114" t="s">
        <v>16</v>
      </c>
      <c r="M2114">
        <v>3.6</v>
      </c>
    </row>
    <row r="2115" spans="1:13" x14ac:dyDescent="0.25">
      <c r="A2115">
        <v>2114</v>
      </c>
      <c r="B2115" s="1">
        <v>43127</v>
      </c>
      <c r="C2115" s="1">
        <v>43235</v>
      </c>
      <c r="D2115" t="s">
        <v>22</v>
      </c>
      <c r="E2115" t="s">
        <v>26</v>
      </c>
      <c r="F2115" s="2">
        <v>130</v>
      </c>
      <c r="G2115" t="s">
        <v>11</v>
      </c>
      <c r="H2115" s="3">
        <v>25367.759999999998</v>
      </c>
      <c r="I2115" s="3">
        <v>693229</v>
      </c>
      <c r="J2115" s="3">
        <v>554583.19999999995</v>
      </c>
      <c r="K2115" s="3">
        <v>113278.04000000005</v>
      </c>
      <c r="L2115" t="s">
        <v>19</v>
      </c>
      <c r="M2115">
        <v>4.9000000000000004</v>
      </c>
    </row>
    <row r="2116" spans="1:13" x14ac:dyDescent="0.25">
      <c r="A2116">
        <v>2115</v>
      </c>
      <c r="B2116" s="1">
        <v>43128</v>
      </c>
      <c r="C2116" s="1">
        <v>43289</v>
      </c>
      <c r="D2116" t="s">
        <v>20</v>
      </c>
      <c r="E2116" t="s">
        <v>28</v>
      </c>
      <c r="F2116" s="2">
        <v>249</v>
      </c>
      <c r="G2116" t="s">
        <v>12</v>
      </c>
      <c r="H2116" s="3">
        <v>67752.679999999993</v>
      </c>
      <c r="I2116" s="3">
        <v>1750477</v>
      </c>
      <c r="J2116" s="3">
        <v>1400381.6</v>
      </c>
      <c r="K2116" s="3">
        <v>282342.71999999991</v>
      </c>
      <c r="L2116" t="s">
        <v>15</v>
      </c>
      <c r="M2116">
        <v>4.5</v>
      </c>
    </row>
    <row r="2117" spans="1:13" x14ac:dyDescent="0.25">
      <c r="A2117">
        <v>2116</v>
      </c>
      <c r="B2117" s="1">
        <v>43128</v>
      </c>
      <c r="C2117" s="1">
        <v>43375</v>
      </c>
      <c r="D2117" t="s">
        <v>22</v>
      </c>
      <c r="E2117" t="s">
        <v>28</v>
      </c>
      <c r="F2117" s="2">
        <v>289</v>
      </c>
      <c r="G2117" t="s">
        <v>12</v>
      </c>
      <c r="H2117" s="3">
        <v>53024.84</v>
      </c>
      <c r="I2117" s="3">
        <v>1391531</v>
      </c>
      <c r="J2117" s="3">
        <v>1113224.8</v>
      </c>
      <c r="K2117" s="3">
        <v>225281.35999999996</v>
      </c>
      <c r="L2117" t="s">
        <v>17</v>
      </c>
      <c r="M2117">
        <v>4.9000000000000004</v>
      </c>
    </row>
    <row r="2118" spans="1:13" x14ac:dyDescent="0.25">
      <c r="A2118">
        <v>2117</v>
      </c>
      <c r="B2118" s="1">
        <v>43129</v>
      </c>
      <c r="C2118" s="1">
        <v>43473</v>
      </c>
      <c r="D2118" t="s">
        <v>22</v>
      </c>
      <c r="E2118" t="s">
        <v>26</v>
      </c>
      <c r="F2118" s="2">
        <v>89</v>
      </c>
      <c r="G2118" t="s">
        <v>11</v>
      </c>
      <c r="H2118" s="3">
        <v>28844.6</v>
      </c>
      <c r="I2118" s="3">
        <v>785275</v>
      </c>
      <c r="J2118" s="3">
        <v>628220</v>
      </c>
      <c r="K2118" s="3">
        <v>128210.4</v>
      </c>
      <c r="L2118" t="s">
        <v>19</v>
      </c>
      <c r="M2118">
        <v>3.9</v>
      </c>
    </row>
    <row r="2119" spans="1:13" x14ac:dyDescent="0.25">
      <c r="A2119">
        <v>2118</v>
      </c>
      <c r="B2119" s="1">
        <v>43129</v>
      </c>
      <c r="C2119" s="1">
        <v>43321</v>
      </c>
      <c r="D2119" t="s">
        <v>20</v>
      </c>
      <c r="E2119" t="s">
        <v>26</v>
      </c>
      <c r="F2119" s="2">
        <v>241</v>
      </c>
      <c r="G2119" t="s">
        <v>12</v>
      </c>
      <c r="H2119" s="3">
        <v>50730.68</v>
      </c>
      <c r="I2119" s="3">
        <v>1322327</v>
      </c>
      <c r="J2119" s="3">
        <v>1057861.6000000001</v>
      </c>
      <c r="K2119" s="3">
        <v>213734.71999999991</v>
      </c>
      <c r="L2119" t="s">
        <v>17</v>
      </c>
      <c r="M2119">
        <v>4.5999999999999996</v>
      </c>
    </row>
    <row r="2120" spans="1:13" x14ac:dyDescent="0.25">
      <c r="A2120">
        <v>2119</v>
      </c>
      <c r="B2120" s="1">
        <v>43129</v>
      </c>
      <c r="C2120" s="1">
        <v>43414</v>
      </c>
      <c r="D2120" t="s">
        <v>20</v>
      </c>
      <c r="E2120" t="s">
        <v>28</v>
      </c>
      <c r="F2120" s="2">
        <v>93</v>
      </c>
      <c r="G2120" t="s">
        <v>11</v>
      </c>
      <c r="H2120" s="3">
        <v>19658</v>
      </c>
      <c r="I2120" s="3">
        <v>546085</v>
      </c>
      <c r="J2120" s="3">
        <v>436868</v>
      </c>
      <c r="K2120" s="3">
        <v>89559</v>
      </c>
      <c r="L2120" t="s">
        <v>15</v>
      </c>
      <c r="M2120">
        <v>4.0999999999999996</v>
      </c>
    </row>
    <row r="2121" spans="1:13" x14ac:dyDescent="0.25">
      <c r="A2121">
        <v>2120</v>
      </c>
      <c r="B2121" s="1">
        <v>43130</v>
      </c>
      <c r="C2121" s="1">
        <v>43450</v>
      </c>
      <c r="D2121" t="s">
        <v>22</v>
      </c>
      <c r="E2121" t="s">
        <v>24</v>
      </c>
      <c r="F2121" s="2">
        <v>70</v>
      </c>
      <c r="G2121" t="s">
        <v>11</v>
      </c>
      <c r="H2121" s="3">
        <v>13953</v>
      </c>
      <c r="I2121" s="3">
        <v>415385</v>
      </c>
      <c r="J2121" s="3">
        <v>332308</v>
      </c>
      <c r="K2121" s="3">
        <v>69124</v>
      </c>
      <c r="L2121" t="s">
        <v>14</v>
      </c>
      <c r="M2121">
        <v>4.4000000000000004</v>
      </c>
    </row>
    <row r="2122" spans="1:13" x14ac:dyDescent="0.25">
      <c r="A2122">
        <v>2121</v>
      </c>
      <c r="B2122" s="1">
        <v>43130</v>
      </c>
      <c r="C2122" s="1">
        <v>43439</v>
      </c>
      <c r="D2122" t="s">
        <v>21</v>
      </c>
      <c r="E2122" t="s">
        <v>29</v>
      </c>
      <c r="F2122" s="2">
        <v>166</v>
      </c>
      <c r="G2122" t="s">
        <v>12</v>
      </c>
      <c r="H2122" s="3">
        <v>31346.44</v>
      </c>
      <c r="I2122" s="3">
        <v>846671</v>
      </c>
      <c r="J2122" s="3">
        <v>677336.8</v>
      </c>
      <c r="K2122" s="3">
        <v>137987.75999999995</v>
      </c>
      <c r="L2122" t="s">
        <v>16</v>
      </c>
      <c r="M2122">
        <v>4.8</v>
      </c>
    </row>
    <row r="2123" spans="1:13" x14ac:dyDescent="0.25">
      <c r="A2123">
        <v>2122</v>
      </c>
      <c r="B2123" s="1">
        <v>43130</v>
      </c>
      <c r="C2123" s="1">
        <v>43335</v>
      </c>
      <c r="D2123" t="s">
        <v>21</v>
      </c>
      <c r="E2123" t="s">
        <v>13</v>
      </c>
      <c r="F2123" s="2">
        <v>119</v>
      </c>
      <c r="G2123" t="s">
        <v>11</v>
      </c>
      <c r="H2123" s="3">
        <v>29643.360000000001</v>
      </c>
      <c r="I2123" s="3">
        <v>793919</v>
      </c>
      <c r="J2123" s="3">
        <v>635135.19999999995</v>
      </c>
      <c r="K2123" s="3">
        <v>129140.44000000005</v>
      </c>
      <c r="L2123" t="s">
        <v>15</v>
      </c>
      <c r="M2123">
        <v>3.8</v>
      </c>
    </row>
    <row r="2124" spans="1:13" x14ac:dyDescent="0.25">
      <c r="A2124">
        <v>2123</v>
      </c>
      <c r="B2124" s="1">
        <v>43131</v>
      </c>
      <c r="C2124" s="1">
        <v>43437</v>
      </c>
      <c r="D2124" t="s">
        <v>21</v>
      </c>
      <c r="E2124" t="s">
        <v>27</v>
      </c>
      <c r="F2124" s="2">
        <v>52</v>
      </c>
      <c r="G2124" t="s">
        <v>11</v>
      </c>
      <c r="H2124" s="3">
        <v>21010.639999999999</v>
      </c>
      <c r="I2124" s="3">
        <v>587301</v>
      </c>
      <c r="J2124" s="3">
        <v>469840.8</v>
      </c>
      <c r="K2124" s="3">
        <v>96449.560000000012</v>
      </c>
      <c r="L2124" t="s">
        <v>17</v>
      </c>
      <c r="M2124">
        <v>4.0999999999999996</v>
      </c>
    </row>
    <row r="2125" spans="1:13" x14ac:dyDescent="0.25">
      <c r="A2125">
        <v>2124</v>
      </c>
      <c r="B2125" s="1">
        <v>43132</v>
      </c>
      <c r="C2125" s="1">
        <v>43385</v>
      </c>
      <c r="D2125" t="s">
        <v>23</v>
      </c>
      <c r="E2125" t="s">
        <v>13</v>
      </c>
      <c r="F2125" s="2">
        <v>86</v>
      </c>
      <c r="G2125" t="s">
        <v>11</v>
      </c>
      <c r="H2125" s="3">
        <v>18344.84</v>
      </c>
      <c r="I2125" s="3">
        <v>511656</v>
      </c>
      <c r="J2125" s="3">
        <v>409324.79999999999</v>
      </c>
      <c r="K2125" s="3">
        <v>83986.360000000015</v>
      </c>
      <c r="L2125" t="s">
        <v>19</v>
      </c>
      <c r="M2125">
        <v>3.7</v>
      </c>
    </row>
    <row r="2126" spans="1:13" x14ac:dyDescent="0.25">
      <c r="A2126">
        <v>2125</v>
      </c>
      <c r="B2126" s="1">
        <v>43132</v>
      </c>
      <c r="C2126" s="1">
        <v>43367</v>
      </c>
      <c r="D2126" t="s">
        <v>20</v>
      </c>
      <c r="E2126" t="s">
        <v>13</v>
      </c>
      <c r="F2126" s="2">
        <v>90</v>
      </c>
      <c r="G2126" t="s">
        <v>11</v>
      </c>
      <c r="H2126" s="3">
        <v>25161</v>
      </c>
      <c r="I2126" s="3">
        <v>687235</v>
      </c>
      <c r="J2126" s="3">
        <v>549788</v>
      </c>
      <c r="K2126" s="3">
        <v>112286</v>
      </c>
      <c r="L2126" t="s">
        <v>14</v>
      </c>
      <c r="M2126">
        <v>4.5999999999999996</v>
      </c>
    </row>
    <row r="2127" spans="1:13" x14ac:dyDescent="0.25">
      <c r="A2127">
        <v>2126</v>
      </c>
      <c r="B2127" s="1">
        <v>43132</v>
      </c>
      <c r="C2127" s="1">
        <v>43264</v>
      </c>
      <c r="D2127" t="s">
        <v>21</v>
      </c>
      <c r="E2127" t="s">
        <v>28</v>
      </c>
      <c r="F2127" s="2">
        <v>245</v>
      </c>
      <c r="G2127" t="s">
        <v>12</v>
      </c>
      <c r="H2127" s="3">
        <v>94235</v>
      </c>
      <c r="I2127" s="3">
        <v>2417885</v>
      </c>
      <c r="J2127" s="3">
        <v>1934308</v>
      </c>
      <c r="K2127" s="3">
        <v>389342</v>
      </c>
      <c r="L2127" t="s">
        <v>18</v>
      </c>
      <c r="M2127">
        <v>5</v>
      </c>
    </row>
    <row r="2128" spans="1:13" x14ac:dyDescent="0.25">
      <c r="A2128">
        <v>2127</v>
      </c>
      <c r="B2128" s="1">
        <v>43132</v>
      </c>
      <c r="C2128" s="1">
        <v>43470</v>
      </c>
      <c r="D2128" t="s">
        <v>21</v>
      </c>
      <c r="E2128" t="s">
        <v>27</v>
      </c>
      <c r="F2128" s="2">
        <v>154</v>
      </c>
      <c r="G2128" t="s">
        <v>12</v>
      </c>
      <c r="H2128" s="3">
        <v>55152.84</v>
      </c>
      <c r="I2128" s="3">
        <v>1446031</v>
      </c>
      <c r="J2128" s="3">
        <v>1156824.8</v>
      </c>
      <c r="K2128" s="3">
        <v>234053.35999999996</v>
      </c>
      <c r="L2128" t="s">
        <v>15</v>
      </c>
      <c r="M2128">
        <v>3.6</v>
      </c>
    </row>
    <row r="2129" spans="1:13" x14ac:dyDescent="0.25">
      <c r="A2129">
        <v>2128</v>
      </c>
      <c r="B2129" s="1">
        <v>43133</v>
      </c>
      <c r="C2129" s="1">
        <v>43459</v>
      </c>
      <c r="D2129" t="s">
        <v>22</v>
      </c>
      <c r="E2129" t="s">
        <v>25</v>
      </c>
      <c r="F2129" s="2">
        <v>258</v>
      </c>
      <c r="G2129" t="s">
        <v>12</v>
      </c>
      <c r="H2129" s="3">
        <v>86126.28</v>
      </c>
      <c r="I2129" s="3">
        <v>2217917</v>
      </c>
      <c r="J2129" s="3">
        <v>1774333.6</v>
      </c>
      <c r="K2129" s="3">
        <v>357457.11999999988</v>
      </c>
      <c r="L2129" t="s">
        <v>18</v>
      </c>
      <c r="M2129">
        <v>4</v>
      </c>
    </row>
    <row r="2130" spans="1:13" x14ac:dyDescent="0.25">
      <c r="A2130">
        <v>2129</v>
      </c>
      <c r="B2130" s="1">
        <v>43133</v>
      </c>
      <c r="C2130" s="1">
        <v>43385</v>
      </c>
      <c r="D2130" t="s">
        <v>23</v>
      </c>
      <c r="E2130" t="s">
        <v>27</v>
      </c>
      <c r="F2130" s="2">
        <v>227</v>
      </c>
      <c r="G2130" t="s">
        <v>12</v>
      </c>
      <c r="H2130" s="3">
        <v>50635.64</v>
      </c>
      <c r="I2130" s="3">
        <v>1323251</v>
      </c>
      <c r="J2130" s="3">
        <v>1058600.8</v>
      </c>
      <c r="K2130" s="3">
        <v>214014.55999999994</v>
      </c>
      <c r="L2130" t="s">
        <v>19</v>
      </c>
      <c r="M2130">
        <v>4.0999999999999996</v>
      </c>
    </row>
    <row r="2131" spans="1:13" x14ac:dyDescent="0.25">
      <c r="A2131">
        <v>2130</v>
      </c>
      <c r="B2131" s="1">
        <v>43133</v>
      </c>
      <c r="C2131" s="1">
        <v>43459</v>
      </c>
      <c r="D2131" t="s">
        <v>21</v>
      </c>
      <c r="E2131" t="s">
        <v>29</v>
      </c>
      <c r="F2131" s="2">
        <v>162</v>
      </c>
      <c r="G2131" t="s">
        <v>12</v>
      </c>
      <c r="H2131" s="3">
        <v>35909.72</v>
      </c>
      <c r="I2131" s="3">
        <v>964853</v>
      </c>
      <c r="J2131" s="3">
        <v>771882.4</v>
      </c>
      <c r="K2131" s="3">
        <v>157060.87999999998</v>
      </c>
      <c r="L2131" t="s">
        <v>17</v>
      </c>
      <c r="M2131">
        <v>4.4000000000000004</v>
      </c>
    </row>
    <row r="2132" spans="1:13" x14ac:dyDescent="0.25">
      <c r="A2132">
        <v>2131</v>
      </c>
      <c r="B2132" s="1">
        <v>43133</v>
      </c>
      <c r="C2132" s="1">
        <v>43417</v>
      </c>
      <c r="D2132" t="s">
        <v>21</v>
      </c>
      <c r="E2132" t="s">
        <v>13</v>
      </c>
      <c r="F2132" s="2">
        <v>283</v>
      </c>
      <c r="G2132" t="s">
        <v>12</v>
      </c>
      <c r="H2132" s="3">
        <v>71916.92</v>
      </c>
      <c r="I2132" s="3">
        <v>1856933</v>
      </c>
      <c r="J2132" s="3">
        <v>1485546.4</v>
      </c>
      <c r="K2132" s="3">
        <v>299469.68000000011</v>
      </c>
      <c r="L2132" t="s">
        <v>16</v>
      </c>
      <c r="M2132">
        <v>4.5999999999999996</v>
      </c>
    </row>
    <row r="2133" spans="1:13" x14ac:dyDescent="0.25">
      <c r="A2133">
        <v>2132</v>
      </c>
      <c r="B2133" s="1">
        <v>43134</v>
      </c>
      <c r="C2133" s="1">
        <v>43427</v>
      </c>
      <c r="D2133" t="s">
        <v>22</v>
      </c>
      <c r="E2133" t="s">
        <v>28</v>
      </c>
      <c r="F2133" s="2">
        <v>207</v>
      </c>
      <c r="G2133" t="s">
        <v>12</v>
      </c>
      <c r="H2133" s="3">
        <v>58594.400000000001</v>
      </c>
      <c r="I2133" s="3">
        <v>1519295</v>
      </c>
      <c r="J2133" s="3">
        <v>1215436</v>
      </c>
      <c r="K2133" s="3">
        <v>245264.6</v>
      </c>
      <c r="L2133" t="s">
        <v>14</v>
      </c>
      <c r="M2133">
        <v>4.2</v>
      </c>
    </row>
    <row r="2134" spans="1:13" x14ac:dyDescent="0.25">
      <c r="A2134">
        <v>2133</v>
      </c>
      <c r="B2134" s="1">
        <v>43134</v>
      </c>
      <c r="C2134" s="1">
        <v>43426</v>
      </c>
      <c r="D2134" t="s">
        <v>21</v>
      </c>
      <c r="E2134" t="s">
        <v>26</v>
      </c>
      <c r="F2134" s="2">
        <v>37</v>
      </c>
      <c r="G2134" t="s">
        <v>11</v>
      </c>
      <c r="H2134" s="3">
        <v>6795.2</v>
      </c>
      <c r="I2134" s="3">
        <v>226765</v>
      </c>
      <c r="J2134" s="3">
        <v>181412</v>
      </c>
      <c r="K2134" s="3">
        <v>38557.800000000003</v>
      </c>
      <c r="L2134" t="s">
        <v>16</v>
      </c>
      <c r="M2134">
        <v>4.0999999999999996</v>
      </c>
    </row>
    <row r="2135" spans="1:13" x14ac:dyDescent="0.25">
      <c r="A2135">
        <v>2134</v>
      </c>
      <c r="B2135" s="1">
        <v>43134</v>
      </c>
      <c r="C2135" s="1">
        <v>43334</v>
      </c>
      <c r="D2135" t="s">
        <v>23</v>
      </c>
      <c r="E2135" t="s">
        <v>29</v>
      </c>
      <c r="F2135" s="2">
        <v>230</v>
      </c>
      <c r="G2135" t="s">
        <v>12</v>
      </c>
      <c r="H2135" s="3">
        <v>90889.8</v>
      </c>
      <c r="I2135" s="3">
        <v>2327030</v>
      </c>
      <c r="J2135" s="3">
        <v>1861624</v>
      </c>
      <c r="K2135" s="3">
        <v>374516.2</v>
      </c>
      <c r="L2135" t="s">
        <v>14</v>
      </c>
      <c r="M2135">
        <v>4.9000000000000004</v>
      </c>
    </row>
    <row r="2136" spans="1:13" x14ac:dyDescent="0.25">
      <c r="A2136">
        <v>2135</v>
      </c>
      <c r="B2136" s="1">
        <v>43135</v>
      </c>
      <c r="C2136" s="1">
        <v>43295</v>
      </c>
      <c r="D2136" t="s">
        <v>21</v>
      </c>
      <c r="E2136" t="s">
        <v>27</v>
      </c>
      <c r="F2136" s="2">
        <v>280</v>
      </c>
      <c r="G2136" t="s">
        <v>12</v>
      </c>
      <c r="H2136" s="3">
        <v>67143.48</v>
      </c>
      <c r="I2136" s="3">
        <v>1745522</v>
      </c>
      <c r="J2136" s="3">
        <v>1396417.6</v>
      </c>
      <c r="K2136" s="3">
        <v>281960.91999999993</v>
      </c>
      <c r="L2136" t="s">
        <v>14</v>
      </c>
      <c r="M2136">
        <v>4.5</v>
      </c>
    </row>
    <row r="2137" spans="1:13" x14ac:dyDescent="0.25">
      <c r="A2137">
        <v>2136</v>
      </c>
      <c r="B2137" s="1">
        <v>43135</v>
      </c>
      <c r="C2137" s="1">
        <v>43249</v>
      </c>
      <c r="D2137" t="s">
        <v>22</v>
      </c>
      <c r="E2137" t="s">
        <v>28</v>
      </c>
      <c r="F2137" s="2">
        <v>64</v>
      </c>
      <c r="G2137" t="s">
        <v>11</v>
      </c>
      <c r="H2137" s="3">
        <v>25576.560000000001</v>
      </c>
      <c r="I2137" s="3">
        <v>706149</v>
      </c>
      <c r="J2137" s="3">
        <v>564919.19999999995</v>
      </c>
      <c r="K2137" s="3">
        <v>115653.24000000005</v>
      </c>
      <c r="L2137" t="s">
        <v>17</v>
      </c>
      <c r="M2137">
        <v>3.7</v>
      </c>
    </row>
    <row r="2138" spans="1:13" x14ac:dyDescent="0.25">
      <c r="A2138">
        <v>2137</v>
      </c>
      <c r="B2138" s="1">
        <v>43135</v>
      </c>
      <c r="C2138" s="1">
        <v>43482</v>
      </c>
      <c r="D2138" t="s">
        <v>21</v>
      </c>
      <c r="E2138" t="s">
        <v>28</v>
      </c>
      <c r="F2138" s="2">
        <v>211</v>
      </c>
      <c r="G2138" t="s">
        <v>12</v>
      </c>
      <c r="H2138" s="3">
        <v>47136</v>
      </c>
      <c r="I2138" s="3">
        <v>1240685</v>
      </c>
      <c r="J2138" s="3">
        <v>992548</v>
      </c>
      <c r="K2138" s="3">
        <v>201001</v>
      </c>
      <c r="L2138" t="s">
        <v>16</v>
      </c>
      <c r="M2138">
        <v>4.2</v>
      </c>
    </row>
    <row r="2139" spans="1:13" x14ac:dyDescent="0.25">
      <c r="A2139">
        <v>2138</v>
      </c>
      <c r="B2139" s="1">
        <v>43135</v>
      </c>
      <c r="C2139" s="1">
        <v>43227</v>
      </c>
      <c r="D2139" t="s">
        <v>23</v>
      </c>
      <c r="E2139" t="s">
        <v>27</v>
      </c>
      <c r="F2139" s="2">
        <v>103</v>
      </c>
      <c r="G2139" t="s">
        <v>12</v>
      </c>
      <c r="H2139" s="3">
        <v>40989.800000000003</v>
      </c>
      <c r="I2139" s="3">
        <v>1077605</v>
      </c>
      <c r="J2139" s="3">
        <v>862084</v>
      </c>
      <c r="K2139" s="3">
        <v>174531.20000000001</v>
      </c>
      <c r="L2139" t="s">
        <v>15</v>
      </c>
      <c r="M2139">
        <v>4.8</v>
      </c>
    </row>
    <row r="2140" spans="1:13" x14ac:dyDescent="0.25">
      <c r="A2140">
        <v>2139</v>
      </c>
      <c r="B2140" s="1">
        <v>43136</v>
      </c>
      <c r="C2140" s="1">
        <v>43283</v>
      </c>
      <c r="D2140" t="s">
        <v>21</v>
      </c>
      <c r="E2140" t="s">
        <v>29</v>
      </c>
      <c r="F2140" s="2">
        <v>123</v>
      </c>
      <c r="G2140" t="s">
        <v>12</v>
      </c>
      <c r="H2140" s="3">
        <v>44437.04</v>
      </c>
      <c r="I2140" s="3">
        <v>1177361</v>
      </c>
      <c r="J2140" s="3">
        <v>941888.8</v>
      </c>
      <c r="K2140" s="3">
        <v>191035.15999999995</v>
      </c>
      <c r="L2140" t="s">
        <v>15</v>
      </c>
      <c r="M2140">
        <v>4.7</v>
      </c>
    </row>
    <row r="2141" spans="1:13" x14ac:dyDescent="0.25">
      <c r="A2141">
        <v>2140</v>
      </c>
      <c r="B2141" s="1">
        <v>43136</v>
      </c>
      <c r="C2141" s="1">
        <v>43354</v>
      </c>
      <c r="D2141" t="s">
        <v>21</v>
      </c>
      <c r="E2141" t="s">
        <v>25</v>
      </c>
      <c r="F2141" s="2">
        <v>191</v>
      </c>
      <c r="G2141" t="s">
        <v>12</v>
      </c>
      <c r="H2141" s="3">
        <v>51542.04</v>
      </c>
      <c r="I2141" s="3">
        <v>1351611</v>
      </c>
      <c r="J2141" s="3">
        <v>1081288.8</v>
      </c>
      <c r="K2141" s="3">
        <v>218780.15999999995</v>
      </c>
      <c r="L2141" t="s">
        <v>19</v>
      </c>
      <c r="M2141">
        <v>4.0999999999999996</v>
      </c>
    </row>
    <row r="2142" spans="1:13" x14ac:dyDescent="0.25">
      <c r="A2142">
        <v>2141</v>
      </c>
      <c r="B2142" s="1">
        <v>43137</v>
      </c>
      <c r="C2142" s="1">
        <v>43274</v>
      </c>
      <c r="D2142" t="s">
        <v>21</v>
      </c>
      <c r="E2142" t="s">
        <v>26</v>
      </c>
      <c r="F2142" s="2">
        <v>60</v>
      </c>
      <c r="G2142" t="s">
        <v>11</v>
      </c>
      <c r="H2142" s="3">
        <v>9820.7999999999993</v>
      </c>
      <c r="I2142" s="3">
        <v>309030</v>
      </c>
      <c r="J2142" s="3">
        <v>247224</v>
      </c>
      <c r="K2142" s="3">
        <v>51985.2</v>
      </c>
      <c r="L2142" t="s">
        <v>14</v>
      </c>
      <c r="M2142">
        <v>3.6</v>
      </c>
    </row>
    <row r="2143" spans="1:13" x14ac:dyDescent="0.25">
      <c r="A2143">
        <v>2142</v>
      </c>
      <c r="B2143" s="1">
        <v>43137</v>
      </c>
      <c r="C2143" s="1">
        <v>43482</v>
      </c>
      <c r="D2143" t="s">
        <v>21</v>
      </c>
      <c r="E2143" t="s">
        <v>24</v>
      </c>
      <c r="F2143" s="2">
        <v>83</v>
      </c>
      <c r="G2143" t="s">
        <v>12</v>
      </c>
      <c r="H2143" s="3">
        <v>31517.68</v>
      </c>
      <c r="I2143" s="3">
        <v>844677</v>
      </c>
      <c r="J2143" s="3">
        <v>675741.6</v>
      </c>
      <c r="K2143" s="3">
        <v>137417.72000000003</v>
      </c>
      <c r="L2143" t="s">
        <v>14</v>
      </c>
      <c r="M2143">
        <v>4.2</v>
      </c>
    </row>
    <row r="2144" spans="1:13" x14ac:dyDescent="0.25">
      <c r="A2144">
        <v>2143</v>
      </c>
      <c r="B2144" s="1">
        <v>43137</v>
      </c>
      <c r="C2144" s="1">
        <v>43495</v>
      </c>
      <c r="D2144" t="s">
        <v>22</v>
      </c>
      <c r="E2144" t="s">
        <v>29</v>
      </c>
      <c r="F2144" s="2">
        <v>118</v>
      </c>
      <c r="G2144" t="s">
        <v>11</v>
      </c>
      <c r="H2144" s="3">
        <v>20839.88</v>
      </c>
      <c r="I2144" s="3">
        <v>573157</v>
      </c>
      <c r="J2144" s="3">
        <v>458525.6</v>
      </c>
      <c r="K2144" s="3">
        <v>93791.520000000019</v>
      </c>
      <c r="L2144" t="s">
        <v>18</v>
      </c>
      <c r="M2144">
        <v>3.9</v>
      </c>
    </row>
    <row r="2145" spans="1:13" x14ac:dyDescent="0.25">
      <c r="A2145">
        <v>2144</v>
      </c>
      <c r="B2145" s="1">
        <v>43138</v>
      </c>
      <c r="C2145" s="1">
        <v>43239</v>
      </c>
      <c r="D2145" t="s">
        <v>23</v>
      </c>
      <c r="E2145" t="s">
        <v>28</v>
      </c>
      <c r="F2145" s="2">
        <v>211</v>
      </c>
      <c r="G2145" t="s">
        <v>12</v>
      </c>
      <c r="H2145" s="3">
        <v>66171.12</v>
      </c>
      <c r="I2145" s="3">
        <v>1714213</v>
      </c>
      <c r="J2145" s="3">
        <v>1371370.4</v>
      </c>
      <c r="K2145" s="3">
        <v>276671.4800000001</v>
      </c>
      <c r="L2145" t="s">
        <v>15</v>
      </c>
      <c r="M2145">
        <v>3.9</v>
      </c>
    </row>
    <row r="2146" spans="1:13" x14ac:dyDescent="0.25">
      <c r="A2146">
        <v>2145</v>
      </c>
      <c r="B2146" s="1">
        <v>43138</v>
      </c>
      <c r="C2146" s="1">
        <v>43265</v>
      </c>
      <c r="D2146" t="s">
        <v>22</v>
      </c>
      <c r="E2146" t="s">
        <v>26</v>
      </c>
      <c r="F2146" s="2">
        <v>43</v>
      </c>
      <c r="G2146" t="s">
        <v>11</v>
      </c>
      <c r="H2146" s="3">
        <v>7942.68</v>
      </c>
      <c r="I2146" s="3">
        <v>260827</v>
      </c>
      <c r="J2146" s="3">
        <v>208661.6</v>
      </c>
      <c r="K2146" s="3">
        <v>44222.719999999994</v>
      </c>
      <c r="L2146" t="s">
        <v>17</v>
      </c>
      <c r="M2146">
        <v>3.9</v>
      </c>
    </row>
    <row r="2147" spans="1:13" x14ac:dyDescent="0.25">
      <c r="A2147">
        <v>2146</v>
      </c>
      <c r="B2147" s="1">
        <v>43138</v>
      </c>
      <c r="C2147" s="1">
        <v>43282</v>
      </c>
      <c r="D2147" t="s">
        <v>21</v>
      </c>
      <c r="E2147" t="s">
        <v>29</v>
      </c>
      <c r="F2147" s="2">
        <v>92</v>
      </c>
      <c r="G2147" t="s">
        <v>11</v>
      </c>
      <c r="H2147" s="3">
        <v>22058.400000000001</v>
      </c>
      <c r="I2147" s="3">
        <v>607245</v>
      </c>
      <c r="J2147" s="3">
        <v>485796</v>
      </c>
      <c r="K2147" s="3">
        <v>99390.6</v>
      </c>
      <c r="L2147" t="s">
        <v>18</v>
      </c>
      <c r="M2147">
        <v>3.6</v>
      </c>
    </row>
    <row r="2148" spans="1:13" x14ac:dyDescent="0.25">
      <c r="A2148">
        <v>2147</v>
      </c>
      <c r="B2148" s="1">
        <v>43138</v>
      </c>
      <c r="C2148" s="1">
        <v>43342</v>
      </c>
      <c r="D2148" t="s">
        <v>23</v>
      </c>
      <c r="E2148" t="s">
        <v>26</v>
      </c>
      <c r="F2148" s="2">
        <v>97</v>
      </c>
      <c r="G2148" t="s">
        <v>11</v>
      </c>
      <c r="H2148" s="3">
        <v>26231.599999999999</v>
      </c>
      <c r="I2148" s="3">
        <v>718725</v>
      </c>
      <c r="J2148" s="3">
        <v>574980</v>
      </c>
      <c r="K2148" s="3">
        <v>117513.4</v>
      </c>
      <c r="L2148" t="s">
        <v>17</v>
      </c>
      <c r="M2148">
        <v>4.0999999999999996</v>
      </c>
    </row>
    <row r="2149" spans="1:13" x14ac:dyDescent="0.25">
      <c r="A2149">
        <v>2148</v>
      </c>
      <c r="B2149" s="1">
        <v>43138</v>
      </c>
      <c r="C2149" s="1">
        <v>43262</v>
      </c>
      <c r="D2149" t="s">
        <v>23</v>
      </c>
      <c r="E2149" t="s">
        <v>13</v>
      </c>
      <c r="F2149" s="2">
        <v>199</v>
      </c>
      <c r="G2149" t="s">
        <v>12</v>
      </c>
      <c r="H2149" s="3">
        <v>69038.679999999993</v>
      </c>
      <c r="I2149" s="3">
        <v>1783777</v>
      </c>
      <c r="J2149" s="3">
        <v>1427021.6</v>
      </c>
      <c r="K2149" s="3">
        <v>287716.71999999991</v>
      </c>
      <c r="L2149" t="s">
        <v>14</v>
      </c>
      <c r="M2149">
        <v>3.7</v>
      </c>
    </row>
    <row r="2150" spans="1:13" x14ac:dyDescent="0.25">
      <c r="A2150">
        <v>2149</v>
      </c>
      <c r="B2150" s="1">
        <v>43139</v>
      </c>
      <c r="C2150" s="1">
        <v>43362</v>
      </c>
      <c r="D2150" t="s">
        <v>21</v>
      </c>
      <c r="E2150" t="s">
        <v>28</v>
      </c>
      <c r="F2150" s="2">
        <v>136</v>
      </c>
      <c r="G2150" t="s">
        <v>11</v>
      </c>
      <c r="H2150" s="3">
        <v>26858.76</v>
      </c>
      <c r="I2150" s="3">
        <v>729729</v>
      </c>
      <c r="J2150" s="3">
        <v>583783.19999999995</v>
      </c>
      <c r="K2150" s="3">
        <v>119087.04000000005</v>
      </c>
      <c r="L2150" t="s">
        <v>17</v>
      </c>
      <c r="M2150">
        <v>4.9000000000000004</v>
      </c>
    </row>
    <row r="2151" spans="1:13" x14ac:dyDescent="0.25">
      <c r="A2151">
        <v>2150</v>
      </c>
      <c r="B2151" s="1">
        <v>43139</v>
      </c>
      <c r="C2151" s="1">
        <v>43461</v>
      </c>
      <c r="D2151" t="s">
        <v>21</v>
      </c>
      <c r="E2151" t="s">
        <v>29</v>
      </c>
      <c r="F2151" s="2">
        <v>204</v>
      </c>
      <c r="G2151" t="s">
        <v>12</v>
      </c>
      <c r="H2151" s="3">
        <v>45452.44</v>
      </c>
      <c r="I2151" s="3">
        <v>1191921</v>
      </c>
      <c r="J2151" s="3">
        <v>953536.8</v>
      </c>
      <c r="K2151" s="3">
        <v>192931.75999999995</v>
      </c>
      <c r="L2151" t="s">
        <v>15</v>
      </c>
      <c r="M2151">
        <v>4.2</v>
      </c>
    </row>
    <row r="2152" spans="1:13" x14ac:dyDescent="0.25">
      <c r="A2152">
        <v>2151</v>
      </c>
      <c r="B2152" s="1">
        <v>43140</v>
      </c>
      <c r="C2152" s="1">
        <v>43458</v>
      </c>
      <c r="D2152" t="s">
        <v>22</v>
      </c>
      <c r="E2152" t="s">
        <v>27</v>
      </c>
      <c r="F2152" s="2">
        <v>36</v>
      </c>
      <c r="G2152" t="s">
        <v>11</v>
      </c>
      <c r="H2152" s="3">
        <v>11538.6</v>
      </c>
      <c r="I2152" s="3">
        <v>339850</v>
      </c>
      <c r="J2152" s="3">
        <v>271880</v>
      </c>
      <c r="K2152" s="3">
        <v>56431.4</v>
      </c>
      <c r="L2152" t="s">
        <v>15</v>
      </c>
      <c r="M2152">
        <v>5</v>
      </c>
    </row>
    <row r="2153" spans="1:13" x14ac:dyDescent="0.25">
      <c r="A2153">
        <v>2152</v>
      </c>
      <c r="B2153" s="1">
        <v>43140</v>
      </c>
      <c r="C2153" s="1">
        <v>43292</v>
      </c>
      <c r="D2153" t="s">
        <v>20</v>
      </c>
      <c r="E2153" t="s">
        <v>29</v>
      </c>
      <c r="F2153" s="2">
        <v>288</v>
      </c>
      <c r="G2153" t="s">
        <v>12</v>
      </c>
      <c r="H2153" s="3">
        <v>51142.76</v>
      </c>
      <c r="I2153" s="3">
        <v>1335354</v>
      </c>
      <c r="J2153" s="3">
        <v>1068283.2</v>
      </c>
      <c r="K2153" s="3">
        <v>215928.04000000004</v>
      </c>
      <c r="L2153" t="s">
        <v>17</v>
      </c>
      <c r="M2153">
        <v>4.3</v>
      </c>
    </row>
    <row r="2154" spans="1:13" x14ac:dyDescent="0.25">
      <c r="A2154">
        <v>2153</v>
      </c>
      <c r="B2154" s="1">
        <v>43140</v>
      </c>
      <c r="C2154" s="1">
        <v>43440</v>
      </c>
      <c r="D2154" t="s">
        <v>20</v>
      </c>
      <c r="E2154" t="s">
        <v>24</v>
      </c>
      <c r="F2154" s="2">
        <v>221</v>
      </c>
      <c r="G2154" t="s">
        <v>12</v>
      </c>
      <c r="H2154" s="3">
        <v>79288.28</v>
      </c>
      <c r="I2154" s="3">
        <v>2037717</v>
      </c>
      <c r="J2154" s="3">
        <v>1630173.6</v>
      </c>
      <c r="K2154" s="3">
        <v>328255.11999999988</v>
      </c>
      <c r="L2154" t="s">
        <v>18</v>
      </c>
      <c r="M2154">
        <v>4.2</v>
      </c>
    </row>
    <row r="2155" spans="1:13" x14ac:dyDescent="0.25">
      <c r="A2155">
        <v>2154</v>
      </c>
      <c r="B2155" s="1">
        <v>43140</v>
      </c>
      <c r="C2155" s="1">
        <v>43459</v>
      </c>
      <c r="D2155" t="s">
        <v>20</v>
      </c>
      <c r="E2155" t="s">
        <v>28</v>
      </c>
      <c r="F2155" s="2">
        <v>194</v>
      </c>
      <c r="G2155" t="s">
        <v>12</v>
      </c>
      <c r="H2155" s="3">
        <v>60434</v>
      </c>
      <c r="I2155" s="3">
        <v>1576285</v>
      </c>
      <c r="J2155" s="3">
        <v>1261028</v>
      </c>
      <c r="K2155" s="3">
        <v>254823</v>
      </c>
      <c r="L2155" t="s">
        <v>14</v>
      </c>
      <c r="M2155">
        <v>4.9000000000000004</v>
      </c>
    </row>
    <row r="2156" spans="1:13" x14ac:dyDescent="0.25">
      <c r="A2156">
        <v>2155</v>
      </c>
      <c r="B2156" s="1">
        <v>43140</v>
      </c>
      <c r="C2156" s="1">
        <v>43393</v>
      </c>
      <c r="D2156" t="s">
        <v>21</v>
      </c>
      <c r="E2156" t="s">
        <v>27</v>
      </c>
      <c r="F2156" s="2">
        <v>245</v>
      </c>
      <c r="G2156" t="s">
        <v>12</v>
      </c>
      <c r="H2156" s="3">
        <v>77129.8</v>
      </c>
      <c r="I2156" s="3">
        <v>1985705</v>
      </c>
      <c r="J2156" s="3">
        <v>1588564</v>
      </c>
      <c r="K2156" s="3">
        <v>320011.2</v>
      </c>
      <c r="L2156" t="s">
        <v>14</v>
      </c>
      <c r="M2156">
        <v>3.7</v>
      </c>
    </row>
    <row r="2157" spans="1:13" x14ac:dyDescent="0.25">
      <c r="A2157">
        <v>2156</v>
      </c>
      <c r="B2157" s="1">
        <v>43140</v>
      </c>
      <c r="C2157" s="1">
        <v>43250</v>
      </c>
      <c r="D2157" t="s">
        <v>21</v>
      </c>
      <c r="E2157" t="s">
        <v>29</v>
      </c>
      <c r="F2157" s="2">
        <v>253</v>
      </c>
      <c r="G2157" t="s">
        <v>12</v>
      </c>
      <c r="H2157" s="3">
        <v>64120.24</v>
      </c>
      <c r="I2157" s="3">
        <v>1664041</v>
      </c>
      <c r="J2157" s="3">
        <v>1331232.8</v>
      </c>
      <c r="K2157" s="3">
        <v>268687.95999999996</v>
      </c>
      <c r="L2157" t="s">
        <v>18</v>
      </c>
      <c r="M2157">
        <v>4.9000000000000004</v>
      </c>
    </row>
    <row r="2158" spans="1:13" x14ac:dyDescent="0.25">
      <c r="A2158">
        <v>2157</v>
      </c>
      <c r="B2158" s="1">
        <v>43141</v>
      </c>
      <c r="C2158" s="1">
        <v>43501</v>
      </c>
      <c r="D2158" t="s">
        <v>22</v>
      </c>
      <c r="E2158" t="s">
        <v>28</v>
      </c>
      <c r="F2158" s="2">
        <v>248</v>
      </c>
      <c r="G2158" t="s">
        <v>12</v>
      </c>
      <c r="H2158" s="3">
        <v>60283.88</v>
      </c>
      <c r="I2158" s="3">
        <v>1558707</v>
      </c>
      <c r="J2158" s="3">
        <v>1246965.6000000001</v>
      </c>
      <c r="K2158" s="3">
        <v>251457.5199999999</v>
      </c>
      <c r="L2158" t="s">
        <v>18</v>
      </c>
      <c r="M2158">
        <v>4.4000000000000004</v>
      </c>
    </row>
    <row r="2159" spans="1:13" x14ac:dyDescent="0.25">
      <c r="A2159">
        <v>2158</v>
      </c>
      <c r="B2159" s="1">
        <v>43142</v>
      </c>
      <c r="C2159" s="1">
        <v>43411</v>
      </c>
      <c r="D2159" t="s">
        <v>22</v>
      </c>
      <c r="E2159" t="s">
        <v>26</v>
      </c>
      <c r="F2159" s="2">
        <v>92</v>
      </c>
      <c r="G2159" t="s">
        <v>11</v>
      </c>
      <c r="H2159" s="3">
        <v>25373.84</v>
      </c>
      <c r="I2159" s="3">
        <v>689381</v>
      </c>
      <c r="J2159" s="3">
        <v>551504.80000000005</v>
      </c>
      <c r="K2159" s="3">
        <v>112502.35999999996</v>
      </c>
      <c r="L2159" t="s">
        <v>16</v>
      </c>
      <c r="M2159">
        <v>4.3</v>
      </c>
    </row>
    <row r="2160" spans="1:13" x14ac:dyDescent="0.25">
      <c r="A2160">
        <v>2159</v>
      </c>
      <c r="B2160" s="1">
        <v>43142</v>
      </c>
      <c r="C2160" s="1">
        <v>43261</v>
      </c>
      <c r="D2160" t="s">
        <v>23</v>
      </c>
      <c r="E2160" t="s">
        <v>28</v>
      </c>
      <c r="F2160" s="2">
        <v>226</v>
      </c>
      <c r="G2160" t="s">
        <v>12</v>
      </c>
      <c r="H2160" s="3">
        <v>45188.76</v>
      </c>
      <c r="I2160" s="3">
        <v>1194029</v>
      </c>
      <c r="J2160" s="3">
        <v>955223.2</v>
      </c>
      <c r="K2160" s="3">
        <v>193617.04000000004</v>
      </c>
      <c r="L2160" t="s">
        <v>17</v>
      </c>
      <c r="M2160">
        <v>3.8</v>
      </c>
    </row>
    <row r="2161" spans="1:13" x14ac:dyDescent="0.25">
      <c r="A2161">
        <v>2160</v>
      </c>
      <c r="B2161" s="1">
        <v>43143</v>
      </c>
      <c r="C2161" s="1">
        <v>43300</v>
      </c>
      <c r="D2161" t="s">
        <v>22</v>
      </c>
      <c r="E2161" t="s">
        <v>26</v>
      </c>
      <c r="F2161" s="2">
        <v>114</v>
      </c>
      <c r="G2161" t="s">
        <v>11</v>
      </c>
      <c r="H2161" s="3">
        <v>28324.44</v>
      </c>
      <c r="I2161" s="3">
        <v>771271</v>
      </c>
      <c r="J2161" s="3">
        <v>617016.80000000005</v>
      </c>
      <c r="K2161" s="3">
        <v>125929.75999999995</v>
      </c>
      <c r="L2161" t="s">
        <v>16</v>
      </c>
      <c r="M2161">
        <v>4.2</v>
      </c>
    </row>
    <row r="2162" spans="1:13" x14ac:dyDescent="0.25">
      <c r="A2162">
        <v>2161</v>
      </c>
      <c r="B2162" s="1">
        <v>43143</v>
      </c>
      <c r="C2162" s="1">
        <v>43394</v>
      </c>
      <c r="D2162" t="s">
        <v>23</v>
      </c>
      <c r="E2162" t="s">
        <v>13</v>
      </c>
      <c r="F2162" s="2">
        <v>206</v>
      </c>
      <c r="G2162" t="s">
        <v>12</v>
      </c>
      <c r="H2162" s="3">
        <v>59523.4</v>
      </c>
      <c r="I2162" s="3">
        <v>1547645</v>
      </c>
      <c r="J2162" s="3">
        <v>1238116</v>
      </c>
      <c r="K2162" s="3">
        <v>250005.6</v>
      </c>
      <c r="L2162" t="s">
        <v>19</v>
      </c>
      <c r="M2162">
        <v>4.7</v>
      </c>
    </row>
    <row r="2163" spans="1:13" x14ac:dyDescent="0.25">
      <c r="A2163">
        <v>2162</v>
      </c>
      <c r="B2163" s="1">
        <v>43143</v>
      </c>
      <c r="C2163" s="1">
        <v>43299</v>
      </c>
      <c r="D2163" t="s">
        <v>23</v>
      </c>
      <c r="E2163" t="s">
        <v>25</v>
      </c>
      <c r="F2163" s="2">
        <v>178</v>
      </c>
      <c r="G2163" t="s">
        <v>12</v>
      </c>
      <c r="H2163" s="3">
        <v>33591.919999999998</v>
      </c>
      <c r="I2163" s="3">
        <v>900733</v>
      </c>
      <c r="J2163" s="3">
        <v>720586.4</v>
      </c>
      <c r="K2163" s="3">
        <v>146554.68</v>
      </c>
      <c r="L2163" t="s">
        <v>18</v>
      </c>
      <c r="M2163">
        <v>4.9000000000000004</v>
      </c>
    </row>
    <row r="2164" spans="1:13" x14ac:dyDescent="0.25">
      <c r="A2164">
        <v>2163</v>
      </c>
      <c r="B2164" s="1">
        <v>43143</v>
      </c>
      <c r="C2164" s="1">
        <v>43249</v>
      </c>
      <c r="D2164" t="s">
        <v>22</v>
      </c>
      <c r="E2164" t="s">
        <v>29</v>
      </c>
      <c r="F2164" s="2">
        <v>138</v>
      </c>
      <c r="G2164" t="s">
        <v>12</v>
      </c>
      <c r="H2164" s="3">
        <v>55246.879999999997</v>
      </c>
      <c r="I2164" s="3">
        <v>1438307</v>
      </c>
      <c r="J2164" s="3">
        <v>1150645.6000000001</v>
      </c>
      <c r="K2164" s="3">
        <v>232414.5199999999</v>
      </c>
      <c r="L2164" t="s">
        <v>18</v>
      </c>
      <c r="M2164">
        <v>4.7</v>
      </c>
    </row>
    <row r="2165" spans="1:13" x14ac:dyDescent="0.25">
      <c r="A2165">
        <v>2164</v>
      </c>
      <c r="B2165" s="1">
        <v>43143</v>
      </c>
      <c r="C2165" s="1">
        <v>43381</v>
      </c>
      <c r="D2165" t="s">
        <v>20</v>
      </c>
      <c r="E2165" t="s">
        <v>26</v>
      </c>
      <c r="F2165" s="2">
        <v>59</v>
      </c>
      <c r="G2165" t="s">
        <v>11</v>
      </c>
      <c r="H2165" s="3">
        <v>19324.599999999999</v>
      </c>
      <c r="I2165" s="3">
        <v>543025</v>
      </c>
      <c r="J2165" s="3">
        <v>434420</v>
      </c>
      <c r="K2165" s="3">
        <v>89280.4</v>
      </c>
      <c r="L2165" t="s">
        <v>16</v>
      </c>
      <c r="M2165">
        <v>4.0999999999999996</v>
      </c>
    </row>
    <row r="2166" spans="1:13" x14ac:dyDescent="0.25">
      <c r="A2166">
        <v>2165</v>
      </c>
      <c r="B2166" s="1">
        <v>43144</v>
      </c>
      <c r="C2166" s="1">
        <v>43483</v>
      </c>
      <c r="D2166" t="s">
        <v>23</v>
      </c>
      <c r="E2166" t="s">
        <v>25</v>
      </c>
      <c r="F2166" s="2">
        <v>76</v>
      </c>
      <c r="G2166" t="s">
        <v>11</v>
      </c>
      <c r="H2166" s="3">
        <v>17019.96</v>
      </c>
      <c r="I2166" s="3">
        <v>480784</v>
      </c>
      <c r="J2166" s="3">
        <v>384627.20000000001</v>
      </c>
      <c r="K2166" s="3">
        <v>79136.84</v>
      </c>
      <c r="L2166" t="s">
        <v>16</v>
      </c>
      <c r="M2166">
        <v>3.6</v>
      </c>
    </row>
    <row r="2167" spans="1:13" x14ac:dyDescent="0.25">
      <c r="A2167">
        <v>2166</v>
      </c>
      <c r="B2167" s="1">
        <v>43145</v>
      </c>
      <c r="C2167" s="1">
        <v>43483</v>
      </c>
      <c r="D2167" t="s">
        <v>20</v>
      </c>
      <c r="E2167" t="s">
        <v>24</v>
      </c>
      <c r="F2167" s="2">
        <v>128</v>
      </c>
      <c r="G2167" t="s">
        <v>12</v>
      </c>
      <c r="H2167" s="3">
        <v>45808.68</v>
      </c>
      <c r="I2167" s="3">
        <v>1200027</v>
      </c>
      <c r="J2167" s="3">
        <v>960021.6</v>
      </c>
      <c r="K2167" s="3">
        <v>194196.72000000003</v>
      </c>
      <c r="L2167" t="s">
        <v>19</v>
      </c>
      <c r="M2167">
        <v>4.8</v>
      </c>
    </row>
    <row r="2168" spans="1:13" x14ac:dyDescent="0.25">
      <c r="A2168">
        <v>2167</v>
      </c>
      <c r="B2168" s="1">
        <v>43146</v>
      </c>
      <c r="C2168" s="1">
        <v>43497</v>
      </c>
      <c r="D2168" t="s">
        <v>20</v>
      </c>
      <c r="E2168" t="s">
        <v>26</v>
      </c>
      <c r="F2168" s="2">
        <v>146</v>
      </c>
      <c r="G2168" t="s">
        <v>12</v>
      </c>
      <c r="H2168" s="3">
        <v>56460.44</v>
      </c>
      <c r="I2168" s="3">
        <v>1472696</v>
      </c>
      <c r="J2168" s="3">
        <v>1178156.8</v>
      </c>
      <c r="K2168" s="3">
        <v>238078.75999999995</v>
      </c>
      <c r="L2168" t="s">
        <v>18</v>
      </c>
      <c r="M2168">
        <v>4.5</v>
      </c>
    </row>
    <row r="2169" spans="1:13" x14ac:dyDescent="0.25">
      <c r="A2169">
        <v>2168</v>
      </c>
      <c r="B2169" s="1">
        <v>43146</v>
      </c>
      <c r="C2169" s="1">
        <v>43309</v>
      </c>
      <c r="D2169" t="s">
        <v>23</v>
      </c>
      <c r="E2169" t="s">
        <v>28</v>
      </c>
      <c r="F2169" s="2">
        <v>80</v>
      </c>
      <c r="G2169" t="s">
        <v>11</v>
      </c>
      <c r="H2169" s="3">
        <v>18145.68</v>
      </c>
      <c r="I2169" s="3">
        <v>518477</v>
      </c>
      <c r="J2169" s="3">
        <v>414781.6</v>
      </c>
      <c r="K2169" s="3">
        <v>85549.72000000003</v>
      </c>
      <c r="L2169" t="s">
        <v>17</v>
      </c>
      <c r="M2169">
        <v>4.4000000000000004</v>
      </c>
    </row>
    <row r="2170" spans="1:13" x14ac:dyDescent="0.25">
      <c r="A2170">
        <v>2169</v>
      </c>
      <c r="B2170" s="1">
        <v>43146</v>
      </c>
      <c r="C2170" s="1">
        <v>43389</v>
      </c>
      <c r="D2170" t="s">
        <v>22</v>
      </c>
      <c r="E2170" t="s">
        <v>29</v>
      </c>
      <c r="F2170" s="2">
        <v>223</v>
      </c>
      <c r="G2170" t="s">
        <v>12</v>
      </c>
      <c r="H2170" s="3">
        <v>81850.44</v>
      </c>
      <c r="I2170" s="3">
        <v>2106271</v>
      </c>
      <c r="J2170" s="3">
        <v>1685016.8</v>
      </c>
      <c r="K2170" s="3">
        <v>339403.75999999995</v>
      </c>
      <c r="L2170" t="s">
        <v>19</v>
      </c>
      <c r="M2170">
        <v>4.4000000000000004</v>
      </c>
    </row>
    <row r="2171" spans="1:13" x14ac:dyDescent="0.25">
      <c r="A2171">
        <v>2170</v>
      </c>
      <c r="B2171" s="1">
        <v>43146</v>
      </c>
      <c r="C2171" s="1">
        <v>43239</v>
      </c>
      <c r="D2171" t="s">
        <v>20</v>
      </c>
      <c r="E2171" t="s">
        <v>25</v>
      </c>
      <c r="F2171" s="2">
        <v>129</v>
      </c>
      <c r="G2171" t="s">
        <v>12</v>
      </c>
      <c r="H2171" s="3">
        <v>38261.56</v>
      </c>
      <c r="I2171" s="3">
        <v>1010249</v>
      </c>
      <c r="J2171" s="3">
        <v>808199.2</v>
      </c>
      <c r="K2171" s="3">
        <v>163788.24000000005</v>
      </c>
      <c r="L2171" t="s">
        <v>16</v>
      </c>
      <c r="M2171">
        <v>4.9000000000000004</v>
      </c>
    </row>
    <row r="2172" spans="1:13" x14ac:dyDescent="0.25">
      <c r="A2172">
        <v>2171</v>
      </c>
      <c r="B2172" s="1">
        <v>43147</v>
      </c>
      <c r="C2172" s="1">
        <v>43475</v>
      </c>
      <c r="D2172" t="s">
        <v>20</v>
      </c>
      <c r="E2172" t="s">
        <v>27</v>
      </c>
      <c r="F2172" s="2">
        <v>111</v>
      </c>
      <c r="G2172" t="s">
        <v>11</v>
      </c>
      <c r="H2172" s="3">
        <v>24498.720000000001</v>
      </c>
      <c r="I2172" s="3">
        <v>673403</v>
      </c>
      <c r="J2172" s="3">
        <v>538722.4</v>
      </c>
      <c r="K2172" s="3">
        <v>110181.87999999998</v>
      </c>
      <c r="L2172" t="s">
        <v>19</v>
      </c>
      <c r="M2172">
        <v>5</v>
      </c>
    </row>
    <row r="2173" spans="1:13" x14ac:dyDescent="0.25">
      <c r="A2173">
        <v>2172</v>
      </c>
      <c r="B2173" s="1">
        <v>43147</v>
      </c>
      <c r="C2173" s="1">
        <v>43351</v>
      </c>
      <c r="D2173" t="s">
        <v>20</v>
      </c>
      <c r="E2173" t="s">
        <v>25</v>
      </c>
      <c r="F2173" s="2">
        <v>196</v>
      </c>
      <c r="G2173" t="s">
        <v>12</v>
      </c>
      <c r="H2173" s="3">
        <v>68090.880000000005</v>
      </c>
      <c r="I2173" s="3">
        <v>1769507</v>
      </c>
      <c r="J2173" s="3">
        <v>1415605.6</v>
      </c>
      <c r="K2173" s="3">
        <v>285810.5199999999</v>
      </c>
      <c r="L2173" t="s">
        <v>15</v>
      </c>
      <c r="M2173">
        <v>3.9</v>
      </c>
    </row>
    <row r="2174" spans="1:13" x14ac:dyDescent="0.25">
      <c r="A2174">
        <v>2173</v>
      </c>
      <c r="B2174" s="1">
        <v>43147</v>
      </c>
      <c r="C2174" s="1">
        <v>43314</v>
      </c>
      <c r="D2174" t="s">
        <v>22</v>
      </c>
      <c r="E2174" t="s">
        <v>29</v>
      </c>
      <c r="F2174" s="2">
        <v>274</v>
      </c>
      <c r="G2174" t="s">
        <v>12</v>
      </c>
      <c r="H2174" s="3">
        <v>92085.96</v>
      </c>
      <c r="I2174" s="3">
        <v>2367809</v>
      </c>
      <c r="J2174" s="3">
        <v>1894247.2</v>
      </c>
      <c r="K2174" s="3">
        <v>381475.84000000003</v>
      </c>
      <c r="L2174" t="s">
        <v>16</v>
      </c>
      <c r="M2174">
        <v>3.7</v>
      </c>
    </row>
    <row r="2175" spans="1:13" x14ac:dyDescent="0.25">
      <c r="A2175">
        <v>2174</v>
      </c>
      <c r="B2175" s="1">
        <v>43147</v>
      </c>
      <c r="C2175" s="1">
        <v>43300</v>
      </c>
      <c r="D2175" t="s">
        <v>23</v>
      </c>
      <c r="E2175" t="s">
        <v>28</v>
      </c>
      <c r="F2175" s="2">
        <v>185</v>
      </c>
      <c r="G2175" t="s">
        <v>12</v>
      </c>
      <c r="H2175" s="3">
        <v>60822.04</v>
      </c>
      <c r="I2175" s="3">
        <v>1578461</v>
      </c>
      <c r="J2175" s="3">
        <v>1262768.8</v>
      </c>
      <c r="K2175" s="3">
        <v>254870.15999999995</v>
      </c>
      <c r="L2175" t="s">
        <v>16</v>
      </c>
      <c r="M2175">
        <v>3.8</v>
      </c>
    </row>
    <row r="2176" spans="1:13" x14ac:dyDescent="0.25">
      <c r="A2176">
        <v>2175</v>
      </c>
      <c r="B2176" s="1">
        <v>43147</v>
      </c>
      <c r="C2176" s="1">
        <v>43381</v>
      </c>
      <c r="D2176" t="s">
        <v>22</v>
      </c>
      <c r="E2176" t="s">
        <v>29</v>
      </c>
      <c r="F2176" s="2">
        <v>112</v>
      </c>
      <c r="G2176" t="s">
        <v>11</v>
      </c>
      <c r="H2176" s="3">
        <v>21804.28</v>
      </c>
      <c r="I2176" s="3">
        <v>597617</v>
      </c>
      <c r="J2176" s="3">
        <v>478093.6</v>
      </c>
      <c r="K2176" s="3">
        <v>97719.120000000024</v>
      </c>
      <c r="L2176" t="s">
        <v>19</v>
      </c>
      <c r="M2176">
        <v>3.7</v>
      </c>
    </row>
    <row r="2177" spans="1:13" x14ac:dyDescent="0.25">
      <c r="A2177">
        <v>2176</v>
      </c>
      <c r="B2177" s="1">
        <v>43147</v>
      </c>
      <c r="C2177" s="1">
        <v>43413</v>
      </c>
      <c r="D2177" t="s">
        <v>22</v>
      </c>
      <c r="E2177" t="s">
        <v>26</v>
      </c>
      <c r="F2177" s="2">
        <v>269</v>
      </c>
      <c r="G2177" t="s">
        <v>12</v>
      </c>
      <c r="H2177" s="3">
        <v>51013.8</v>
      </c>
      <c r="I2177" s="3">
        <v>1339205</v>
      </c>
      <c r="J2177" s="3">
        <v>1071364</v>
      </c>
      <c r="K2177" s="3">
        <v>216827.2</v>
      </c>
      <c r="L2177" t="s">
        <v>18</v>
      </c>
      <c r="M2177">
        <v>4.4000000000000004</v>
      </c>
    </row>
    <row r="2178" spans="1:13" x14ac:dyDescent="0.25">
      <c r="A2178">
        <v>2177</v>
      </c>
      <c r="B2178" s="1">
        <v>43148</v>
      </c>
      <c r="C2178" s="1">
        <v>43424</v>
      </c>
      <c r="D2178" t="s">
        <v>22</v>
      </c>
      <c r="E2178" t="s">
        <v>29</v>
      </c>
      <c r="F2178" s="2">
        <v>71</v>
      </c>
      <c r="G2178" t="s">
        <v>11</v>
      </c>
      <c r="H2178" s="3">
        <v>13434.28</v>
      </c>
      <c r="I2178" s="3">
        <v>402617</v>
      </c>
      <c r="J2178" s="3">
        <v>322093.59999999998</v>
      </c>
      <c r="K2178" s="3">
        <v>67089.120000000024</v>
      </c>
      <c r="L2178" t="s">
        <v>17</v>
      </c>
      <c r="M2178">
        <v>4.8</v>
      </c>
    </row>
    <row r="2179" spans="1:13" x14ac:dyDescent="0.25">
      <c r="A2179">
        <v>2178</v>
      </c>
      <c r="B2179" s="1">
        <v>43148</v>
      </c>
      <c r="C2179" s="1">
        <v>43458</v>
      </c>
      <c r="D2179" t="s">
        <v>21</v>
      </c>
      <c r="E2179" t="s">
        <v>28</v>
      </c>
      <c r="F2179" s="2">
        <v>264</v>
      </c>
      <c r="G2179" t="s">
        <v>12</v>
      </c>
      <c r="H2179" s="3">
        <v>83413.36</v>
      </c>
      <c r="I2179" s="3">
        <v>2144594</v>
      </c>
      <c r="J2179" s="3">
        <v>1715675.2</v>
      </c>
      <c r="K2179" s="3">
        <v>345505.44000000006</v>
      </c>
      <c r="L2179" t="s">
        <v>15</v>
      </c>
      <c r="M2179">
        <v>3.7</v>
      </c>
    </row>
    <row r="2180" spans="1:13" x14ac:dyDescent="0.25">
      <c r="A2180">
        <v>2179</v>
      </c>
      <c r="B2180" s="1">
        <v>43148</v>
      </c>
      <c r="C2180" s="1">
        <v>43245</v>
      </c>
      <c r="D2180" t="s">
        <v>22</v>
      </c>
      <c r="E2180" t="s">
        <v>28</v>
      </c>
      <c r="F2180" s="2">
        <v>121</v>
      </c>
      <c r="G2180" t="s">
        <v>12</v>
      </c>
      <c r="H2180" s="3">
        <v>35930.720000000001</v>
      </c>
      <c r="I2180" s="3">
        <v>964728</v>
      </c>
      <c r="J2180" s="3">
        <v>771782.4</v>
      </c>
      <c r="K2180" s="3">
        <v>157014.87999999998</v>
      </c>
      <c r="L2180" t="s">
        <v>18</v>
      </c>
      <c r="M2180">
        <v>4.9000000000000004</v>
      </c>
    </row>
    <row r="2181" spans="1:13" x14ac:dyDescent="0.25">
      <c r="A2181">
        <v>2180</v>
      </c>
      <c r="B2181" s="1">
        <v>43148</v>
      </c>
      <c r="C2181" s="1">
        <v>43286</v>
      </c>
      <c r="D2181" t="s">
        <v>21</v>
      </c>
      <c r="E2181" t="s">
        <v>29</v>
      </c>
      <c r="F2181" s="2">
        <v>95</v>
      </c>
      <c r="G2181" t="s">
        <v>11</v>
      </c>
      <c r="H2181" s="3">
        <v>25981.8</v>
      </c>
      <c r="I2181" s="3">
        <v>710155</v>
      </c>
      <c r="J2181" s="3">
        <v>568124</v>
      </c>
      <c r="K2181" s="3">
        <v>116049.2</v>
      </c>
      <c r="L2181" t="s">
        <v>15</v>
      </c>
      <c r="M2181">
        <v>4.8</v>
      </c>
    </row>
    <row r="2182" spans="1:13" x14ac:dyDescent="0.25">
      <c r="A2182">
        <v>2181</v>
      </c>
      <c r="B2182" s="1">
        <v>43148</v>
      </c>
      <c r="C2182" s="1">
        <v>43281</v>
      </c>
      <c r="D2182" t="s">
        <v>22</v>
      </c>
      <c r="E2182" t="s">
        <v>13</v>
      </c>
      <c r="F2182" s="2">
        <v>149</v>
      </c>
      <c r="G2182" t="s">
        <v>12</v>
      </c>
      <c r="H2182" s="3">
        <v>44760.24</v>
      </c>
      <c r="I2182" s="3">
        <v>1176641</v>
      </c>
      <c r="J2182" s="3">
        <v>941312.8</v>
      </c>
      <c r="K2182" s="3">
        <v>190567.95999999996</v>
      </c>
      <c r="L2182" t="s">
        <v>16</v>
      </c>
      <c r="M2182">
        <v>4.8</v>
      </c>
    </row>
    <row r="2183" spans="1:13" x14ac:dyDescent="0.25">
      <c r="A2183">
        <v>2182</v>
      </c>
      <c r="B2183" s="1">
        <v>43149</v>
      </c>
      <c r="C2183" s="1">
        <v>43356</v>
      </c>
      <c r="D2183" t="s">
        <v>20</v>
      </c>
      <c r="E2183" t="s">
        <v>28</v>
      </c>
      <c r="F2183" s="2">
        <v>123</v>
      </c>
      <c r="G2183" t="s">
        <v>12</v>
      </c>
      <c r="H2183" s="3">
        <v>40155.32</v>
      </c>
      <c r="I2183" s="3">
        <v>1067543</v>
      </c>
      <c r="J2183" s="3">
        <v>854034.4</v>
      </c>
      <c r="K2183" s="3">
        <v>173353.27999999997</v>
      </c>
      <c r="L2183" t="s">
        <v>14</v>
      </c>
      <c r="M2183">
        <v>4</v>
      </c>
    </row>
    <row r="2184" spans="1:13" x14ac:dyDescent="0.25">
      <c r="A2184">
        <v>2183</v>
      </c>
      <c r="B2184" s="1">
        <v>43149</v>
      </c>
      <c r="C2184" s="1">
        <v>43498</v>
      </c>
      <c r="D2184" t="s">
        <v>22</v>
      </c>
      <c r="E2184" t="s">
        <v>28</v>
      </c>
      <c r="F2184" s="2">
        <v>50</v>
      </c>
      <c r="G2184" t="s">
        <v>11</v>
      </c>
      <c r="H2184" s="3">
        <v>9876.4</v>
      </c>
      <c r="I2184" s="3">
        <v>298670</v>
      </c>
      <c r="J2184" s="3">
        <v>238936</v>
      </c>
      <c r="K2184" s="3">
        <v>49857.599999999999</v>
      </c>
      <c r="L2184" t="s">
        <v>16</v>
      </c>
      <c r="M2184">
        <v>3.8</v>
      </c>
    </row>
    <row r="2185" spans="1:13" x14ac:dyDescent="0.25">
      <c r="A2185">
        <v>2184</v>
      </c>
      <c r="B2185" s="1">
        <v>43149</v>
      </c>
      <c r="C2185" s="1">
        <v>43323</v>
      </c>
      <c r="D2185" t="s">
        <v>20</v>
      </c>
      <c r="E2185" t="s">
        <v>13</v>
      </c>
      <c r="F2185" s="2">
        <v>100</v>
      </c>
      <c r="G2185" t="s">
        <v>12</v>
      </c>
      <c r="H2185" s="3">
        <v>32894.879999999997</v>
      </c>
      <c r="I2185" s="3">
        <v>876007</v>
      </c>
      <c r="J2185" s="3">
        <v>700805.6</v>
      </c>
      <c r="K2185" s="3">
        <v>142306.52000000002</v>
      </c>
      <c r="L2185" t="s">
        <v>19</v>
      </c>
      <c r="M2185">
        <v>4.5999999999999996</v>
      </c>
    </row>
    <row r="2186" spans="1:13" x14ac:dyDescent="0.25">
      <c r="A2186">
        <v>2185</v>
      </c>
      <c r="B2186" s="1">
        <v>43149</v>
      </c>
      <c r="C2186" s="1">
        <v>43400</v>
      </c>
      <c r="D2186" t="s">
        <v>20</v>
      </c>
      <c r="E2186" t="s">
        <v>13</v>
      </c>
      <c r="F2186" s="2">
        <v>82</v>
      </c>
      <c r="G2186" t="s">
        <v>12</v>
      </c>
      <c r="H2186" s="3">
        <v>29975.72</v>
      </c>
      <c r="I2186" s="3">
        <v>807453</v>
      </c>
      <c r="J2186" s="3">
        <v>645962.4</v>
      </c>
      <c r="K2186" s="3">
        <v>131514.87999999998</v>
      </c>
      <c r="L2186" t="s">
        <v>19</v>
      </c>
      <c r="M2186">
        <v>4.3</v>
      </c>
    </row>
    <row r="2187" spans="1:13" x14ac:dyDescent="0.25">
      <c r="A2187">
        <v>2186</v>
      </c>
      <c r="B2187" s="1">
        <v>43151</v>
      </c>
      <c r="C2187" s="1">
        <v>43261</v>
      </c>
      <c r="D2187" t="s">
        <v>22</v>
      </c>
      <c r="E2187" t="s">
        <v>25</v>
      </c>
      <c r="F2187" s="2">
        <v>225</v>
      </c>
      <c r="G2187" t="s">
        <v>12</v>
      </c>
      <c r="H2187" s="3">
        <v>71984.44</v>
      </c>
      <c r="I2187" s="3">
        <v>1851821</v>
      </c>
      <c r="J2187" s="3">
        <v>1481456.8</v>
      </c>
      <c r="K2187" s="3">
        <v>298379.75999999995</v>
      </c>
      <c r="L2187" t="s">
        <v>17</v>
      </c>
      <c r="M2187">
        <v>4.8</v>
      </c>
    </row>
    <row r="2188" spans="1:13" x14ac:dyDescent="0.25">
      <c r="A2188">
        <v>2187</v>
      </c>
      <c r="B2188" s="1">
        <v>43151</v>
      </c>
      <c r="C2188" s="1">
        <v>43462</v>
      </c>
      <c r="D2188" t="s">
        <v>22</v>
      </c>
      <c r="E2188" t="s">
        <v>27</v>
      </c>
      <c r="F2188" s="2">
        <v>65</v>
      </c>
      <c r="G2188" t="s">
        <v>11</v>
      </c>
      <c r="H2188" s="3">
        <v>13046.12</v>
      </c>
      <c r="I2188" s="3">
        <v>378563</v>
      </c>
      <c r="J2188" s="3">
        <v>302850.40000000002</v>
      </c>
      <c r="K2188" s="3">
        <v>62666.479999999974</v>
      </c>
      <c r="L2188" t="s">
        <v>15</v>
      </c>
      <c r="M2188">
        <v>3.6</v>
      </c>
    </row>
    <row r="2189" spans="1:13" x14ac:dyDescent="0.25">
      <c r="A2189">
        <v>2188</v>
      </c>
      <c r="B2189" s="1">
        <v>43151</v>
      </c>
      <c r="C2189" s="1">
        <v>43430</v>
      </c>
      <c r="D2189" t="s">
        <v>21</v>
      </c>
      <c r="E2189" t="s">
        <v>25</v>
      </c>
      <c r="F2189" s="2">
        <v>242</v>
      </c>
      <c r="G2189" t="s">
        <v>12</v>
      </c>
      <c r="H2189" s="3">
        <v>65426.8</v>
      </c>
      <c r="I2189" s="3">
        <v>1696605</v>
      </c>
      <c r="J2189" s="3">
        <v>1357284</v>
      </c>
      <c r="K2189" s="3">
        <v>273894.2</v>
      </c>
      <c r="L2189" t="s">
        <v>15</v>
      </c>
      <c r="M2189">
        <v>5</v>
      </c>
    </row>
    <row r="2190" spans="1:13" x14ac:dyDescent="0.25">
      <c r="A2190">
        <v>2189</v>
      </c>
      <c r="B2190" s="1">
        <v>43151</v>
      </c>
      <c r="C2190" s="1">
        <v>43477</v>
      </c>
      <c r="D2190" t="s">
        <v>23</v>
      </c>
      <c r="E2190" t="s">
        <v>13</v>
      </c>
      <c r="F2190" s="2">
        <v>265</v>
      </c>
      <c r="G2190" t="s">
        <v>12</v>
      </c>
      <c r="H2190" s="3">
        <v>64717.36</v>
      </c>
      <c r="I2190" s="3">
        <v>1683894</v>
      </c>
      <c r="J2190" s="3">
        <v>1347115.2</v>
      </c>
      <c r="K2190" s="3">
        <v>272061.44000000006</v>
      </c>
      <c r="L2190" t="s">
        <v>15</v>
      </c>
      <c r="M2190">
        <v>4.9000000000000004</v>
      </c>
    </row>
    <row r="2191" spans="1:13" x14ac:dyDescent="0.25">
      <c r="A2191">
        <v>2190</v>
      </c>
      <c r="B2191" s="1">
        <v>43151</v>
      </c>
      <c r="C2191" s="1">
        <v>43395</v>
      </c>
      <c r="D2191" t="s">
        <v>20</v>
      </c>
      <c r="E2191" t="s">
        <v>26</v>
      </c>
      <c r="F2191" s="2">
        <v>211</v>
      </c>
      <c r="G2191" t="s">
        <v>12</v>
      </c>
      <c r="H2191" s="3">
        <v>75824.52</v>
      </c>
      <c r="I2191" s="3">
        <v>1949123</v>
      </c>
      <c r="J2191" s="3">
        <v>1559298.4</v>
      </c>
      <c r="K2191" s="3">
        <v>314000.08000000007</v>
      </c>
      <c r="L2191" t="s">
        <v>19</v>
      </c>
      <c r="M2191">
        <v>3.8</v>
      </c>
    </row>
    <row r="2192" spans="1:13" x14ac:dyDescent="0.25">
      <c r="A2192">
        <v>2191</v>
      </c>
      <c r="B2192" s="1">
        <v>43151</v>
      </c>
      <c r="C2192" s="1">
        <v>43442</v>
      </c>
      <c r="D2192" t="s">
        <v>23</v>
      </c>
      <c r="E2192" t="s">
        <v>13</v>
      </c>
      <c r="F2192" s="2">
        <v>83</v>
      </c>
      <c r="G2192" t="s">
        <v>11</v>
      </c>
      <c r="H2192" s="3">
        <v>21180.84</v>
      </c>
      <c r="I2192" s="3">
        <v>581381</v>
      </c>
      <c r="J2192" s="3">
        <v>465104.8</v>
      </c>
      <c r="K2192" s="3">
        <v>95095.360000000015</v>
      </c>
      <c r="L2192" t="s">
        <v>14</v>
      </c>
      <c r="M2192">
        <v>4.4000000000000004</v>
      </c>
    </row>
    <row r="2193" spans="1:13" x14ac:dyDescent="0.25">
      <c r="A2193">
        <v>2192</v>
      </c>
      <c r="B2193" s="1">
        <v>43152</v>
      </c>
      <c r="C2193" s="1">
        <v>43424</v>
      </c>
      <c r="D2193" t="s">
        <v>22</v>
      </c>
      <c r="E2193" t="s">
        <v>26</v>
      </c>
      <c r="F2193" s="2">
        <v>246</v>
      </c>
      <c r="G2193" t="s">
        <v>12</v>
      </c>
      <c r="H2193" s="3">
        <v>51552</v>
      </c>
      <c r="I2193" s="3">
        <v>1343735</v>
      </c>
      <c r="J2193" s="3">
        <v>1074988</v>
      </c>
      <c r="K2193" s="3">
        <v>217195</v>
      </c>
      <c r="L2193" t="s">
        <v>19</v>
      </c>
      <c r="M2193">
        <v>4</v>
      </c>
    </row>
    <row r="2194" spans="1:13" x14ac:dyDescent="0.25">
      <c r="A2194">
        <v>2193</v>
      </c>
      <c r="B2194" s="1">
        <v>43152</v>
      </c>
      <c r="C2194" s="1">
        <v>43247</v>
      </c>
      <c r="D2194" t="s">
        <v>23</v>
      </c>
      <c r="E2194" t="s">
        <v>25</v>
      </c>
      <c r="F2194" s="2">
        <v>253</v>
      </c>
      <c r="G2194" t="s">
        <v>12</v>
      </c>
      <c r="H2194" s="3">
        <v>97949</v>
      </c>
      <c r="I2194" s="3">
        <v>2506485</v>
      </c>
      <c r="J2194" s="3">
        <v>2005188</v>
      </c>
      <c r="K2194" s="3">
        <v>403348</v>
      </c>
      <c r="L2194" t="s">
        <v>19</v>
      </c>
      <c r="M2194">
        <v>3.7</v>
      </c>
    </row>
    <row r="2195" spans="1:13" x14ac:dyDescent="0.25">
      <c r="A2195">
        <v>2194</v>
      </c>
      <c r="B2195" s="1">
        <v>43152</v>
      </c>
      <c r="C2195" s="1">
        <v>43257</v>
      </c>
      <c r="D2195" t="s">
        <v>20</v>
      </c>
      <c r="E2195" t="s">
        <v>13</v>
      </c>
      <c r="F2195" s="2">
        <v>147</v>
      </c>
      <c r="G2195" t="s">
        <v>12</v>
      </c>
      <c r="H2195" s="3">
        <v>43432.480000000003</v>
      </c>
      <c r="I2195" s="3">
        <v>1145747</v>
      </c>
      <c r="J2195" s="3">
        <v>916597.6</v>
      </c>
      <c r="K2195" s="3">
        <v>185716.92</v>
      </c>
      <c r="L2195" t="s">
        <v>14</v>
      </c>
      <c r="M2195">
        <v>3.9</v>
      </c>
    </row>
    <row r="2196" spans="1:13" x14ac:dyDescent="0.25">
      <c r="A2196">
        <v>2195</v>
      </c>
      <c r="B2196" s="1">
        <v>43153</v>
      </c>
      <c r="C2196" s="1">
        <v>43293</v>
      </c>
      <c r="D2196" t="s">
        <v>21</v>
      </c>
      <c r="E2196" t="s">
        <v>25</v>
      </c>
      <c r="F2196" s="2">
        <v>164</v>
      </c>
      <c r="G2196" t="s">
        <v>12</v>
      </c>
      <c r="H2196" s="3">
        <v>32931.08</v>
      </c>
      <c r="I2196" s="3">
        <v>887237</v>
      </c>
      <c r="J2196" s="3">
        <v>709789.6</v>
      </c>
      <c r="K2196" s="3">
        <v>144516.32</v>
      </c>
      <c r="L2196" t="s">
        <v>16</v>
      </c>
      <c r="M2196">
        <v>4.5999999999999996</v>
      </c>
    </row>
    <row r="2197" spans="1:13" x14ac:dyDescent="0.25">
      <c r="A2197">
        <v>2196</v>
      </c>
      <c r="B2197" s="1">
        <v>43153</v>
      </c>
      <c r="C2197" s="1">
        <v>43287</v>
      </c>
      <c r="D2197" t="s">
        <v>20</v>
      </c>
      <c r="E2197" t="s">
        <v>13</v>
      </c>
      <c r="F2197" s="2">
        <v>61</v>
      </c>
      <c r="G2197" t="s">
        <v>11</v>
      </c>
      <c r="H2197" s="3">
        <v>11764.64</v>
      </c>
      <c r="I2197" s="3">
        <v>356101</v>
      </c>
      <c r="J2197" s="3">
        <v>284880.8</v>
      </c>
      <c r="K2197" s="3">
        <v>59455.560000000012</v>
      </c>
      <c r="L2197" t="s">
        <v>14</v>
      </c>
      <c r="M2197">
        <v>4.4000000000000004</v>
      </c>
    </row>
    <row r="2198" spans="1:13" x14ac:dyDescent="0.25">
      <c r="A2198">
        <v>2197</v>
      </c>
      <c r="B2198" s="1">
        <v>43153</v>
      </c>
      <c r="C2198" s="1">
        <v>43385</v>
      </c>
      <c r="D2198" t="s">
        <v>22</v>
      </c>
      <c r="E2198" t="s">
        <v>13</v>
      </c>
      <c r="F2198" s="2">
        <v>156</v>
      </c>
      <c r="G2198" t="s">
        <v>12</v>
      </c>
      <c r="H2198" s="3">
        <v>30877.4</v>
      </c>
      <c r="I2198" s="3">
        <v>836645</v>
      </c>
      <c r="J2198" s="3">
        <v>669316</v>
      </c>
      <c r="K2198" s="3">
        <v>136451.6</v>
      </c>
      <c r="L2198" t="s">
        <v>17</v>
      </c>
      <c r="M2198">
        <v>3.6</v>
      </c>
    </row>
    <row r="2199" spans="1:13" x14ac:dyDescent="0.25">
      <c r="A2199">
        <v>2198</v>
      </c>
      <c r="B2199" s="1">
        <v>43153</v>
      </c>
      <c r="C2199" s="1">
        <v>43482</v>
      </c>
      <c r="D2199" t="s">
        <v>23</v>
      </c>
      <c r="E2199" t="s">
        <v>27</v>
      </c>
      <c r="F2199" s="2">
        <v>103</v>
      </c>
      <c r="G2199" t="s">
        <v>11</v>
      </c>
      <c r="H2199" s="3">
        <v>27117.8</v>
      </c>
      <c r="I2199" s="3">
        <v>741255</v>
      </c>
      <c r="J2199" s="3">
        <v>593004</v>
      </c>
      <c r="K2199" s="3">
        <v>121133.2</v>
      </c>
      <c r="L2199" t="s">
        <v>15</v>
      </c>
      <c r="M2199">
        <v>4.2</v>
      </c>
    </row>
    <row r="2200" spans="1:13" x14ac:dyDescent="0.25">
      <c r="A2200">
        <v>2199</v>
      </c>
      <c r="B2200" s="1">
        <v>43153</v>
      </c>
      <c r="C2200" s="1">
        <v>43246</v>
      </c>
      <c r="D2200" t="s">
        <v>21</v>
      </c>
      <c r="E2200" t="s">
        <v>24</v>
      </c>
      <c r="F2200" s="2">
        <v>187</v>
      </c>
      <c r="G2200" t="s">
        <v>12</v>
      </c>
      <c r="H2200" s="3">
        <v>38073.519999999997</v>
      </c>
      <c r="I2200" s="3">
        <v>1019048</v>
      </c>
      <c r="J2200" s="3">
        <v>815238.4</v>
      </c>
      <c r="K2200" s="3">
        <v>165736.07999999999</v>
      </c>
      <c r="L2200" t="s">
        <v>15</v>
      </c>
      <c r="M2200">
        <v>4.5</v>
      </c>
    </row>
    <row r="2201" spans="1:13" x14ac:dyDescent="0.25">
      <c r="A2201">
        <v>2200</v>
      </c>
      <c r="B2201" s="1">
        <v>43154</v>
      </c>
      <c r="C2201" s="1">
        <v>43488</v>
      </c>
      <c r="D2201" t="s">
        <v>23</v>
      </c>
      <c r="E2201" t="s">
        <v>28</v>
      </c>
      <c r="F2201" s="2">
        <v>266</v>
      </c>
      <c r="G2201" t="s">
        <v>12</v>
      </c>
      <c r="H2201" s="3">
        <v>62222.28</v>
      </c>
      <c r="I2201" s="3">
        <v>1622517</v>
      </c>
      <c r="J2201" s="3">
        <v>1298013.6000000001</v>
      </c>
      <c r="K2201" s="3">
        <v>262281.11999999988</v>
      </c>
      <c r="L2201" t="s">
        <v>18</v>
      </c>
      <c r="M2201">
        <v>4.9000000000000004</v>
      </c>
    </row>
    <row r="2202" spans="1:13" x14ac:dyDescent="0.25">
      <c r="A2202">
        <v>2201</v>
      </c>
      <c r="B2202" s="1">
        <v>43155</v>
      </c>
      <c r="C2202" s="1">
        <v>43499</v>
      </c>
      <c r="D2202" t="s">
        <v>20</v>
      </c>
      <c r="E2202" t="s">
        <v>29</v>
      </c>
      <c r="F2202" s="2">
        <v>251</v>
      </c>
      <c r="G2202" t="s">
        <v>12</v>
      </c>
      <c r="H2202" s="3">
        <v>62775.32</v>
      </c>
      <c r="I2202" s="3">
        <v>1634768</v>
      </c>
      <c r="J2202" s="3">
        <v>1307814.3999999999</v>
      </c>
      <c r="K2202" s="3">
        <v>264178.28000000009</v>
      </c>
      <c r="L2202" t="s">
        <v>19</v>
      </c>
      <c r="M2202">
        <v>4.8</v>
      </c>
    </row>
    <row r="2203" spans="1:13" x14ac:dyDescent="0.25">
      <c r="A2203">
        <v>2202</v>
      </c>
      <c r="B2203" s="1">
        <v>43155</v>
      </c>
      <c r="C2203" s="1">
        <v>43261</v>
      </c>
      <c r="D2203" t="s">
        <v>20</v>
      </c>
      <c r="E2203" t="s">
        <v>25</v>
      </c>
      <c r="F2203" s="2">
        <v>130</v>
      </c>
      <c r="G2203" t="s">
        <v>12</v>
      </c>
      <c r="H2203" s="3">
        <v>29792.2</v>
      </c>
      <c r="I2203" s="3">
        <v>800990</v>
      </c>
      <c r="J2203" s="3">
        <v>640792</v>
      </c>
      <c r="K2203" s="3">
        <v>130405.8</v>
      </c>
      <c r="L2203" t="s">
        <v>15</v>
      </c>
      <c r="M2203">
        <v>4.5999999999999996</v>
      </c>
    </row>
    <row r="2204" spans="1:13" x14ac:dyDescent="0.25">
      <c r="A2204">
        <v>2203</v>
      </c>
      <c r="B2204" s="1">
        <v>43155</v>
      </c>
      <c r="C2204" s="1">
        <v>43298</v>
      </c>
      <c r="D2204" t="s">
        <v>23</v>
      </c>
      <c r="E2204" t="s">
        <v>13</v>
      </c>
      <c r="F2204" s="2">
        <v>75</v>
      </c>
      <c r="G2204" t="s">
        <v>11</v>
      </c>
      <c r="H2204" s="3">
        <v>16772.04</v>
      </c>
      <c r="I2204" s="3">
        <v>480461</v>
      </c>
      <c r="J2204" s="3">
        <v>384368.8</v>
      </c>
      <c r="K2204" s="3">
        <v>79320.160000000003</v>
      </c>
      <c r="L2204" t="s">
        <v>17</v>
      </c>
      <c r="M2204">
        <v>3.7</v>
      </c>
    </row>
    <row r="2205" spans="1:13" x14ac:dyDescent="0.25">
      <c r="A2205">
        <v>2204</v>
      </c>
      <c r="B2205" s="1">
        <v>43158</v>
      </c>
      <c r="C2205" s="1">
        <v>43330</v>
      </c>
      <c r="D2205" t="s">
        <v>20</v>
      </c>
      <c r="E2205" t="s">
        <v>27</v>
      </c>
      <c r="F2205" s="2">
        <v>76</v>
      </c>
      <c r="G2205" t="s">
        <v>12</v>
      </c>
      <c r="H2205" s="3">
        <v>30437.88</v>
      </c>
      <c r="I2205" s="3">
        <v>825182</v>
      </c>
      <c r="J2205" s="3">
        <v>660145.6</v>
      </c>
      <c r="K2205" s="3">
        <v>134598.52000000002</v>
      </c>
      <c r="L2205" t="s">
        <v>19</v>
      </c>
      <c r="M2205">
        <v>4.5</v>
      </c>
    </row>
    <row r="2206" spans="1:13" x14ac:dyDescent="0.25">
      <c r="A2206">
        <v>2205</v>
      </c>
      <c r="B2206" s="1">
        <v>43158</v>
      </c>
      <c r="C2206" s="1">
        <v>43498</v>
      </c>
      <c r="D2206" t="s">
        <v>23</v>
      </c>
      <c r="E2206" t="s">
        <v>25</v>
      </c>
      <c r="F2206" s="2">
        <v>163</v>
      </c>
      <c r="G2206" t="s">
        <v>11</v>
      </c>
      <c r="H2206" s="3">
        <v>26268.28</v>
      </c>
      <c r="I2206" s="3">
        <v>721567</v>
      </c>
      <c r="J2206" s="3">
        <v>577253.6</v>
      </c>
      <c r="K2206" s="3">
        <v>118045.12000000002</v>
      </c>
      <c r="L2206" t="s">
        <v>16</v>
      </c>
      <c r="M2206">
        <v>4.2</v>
      </c>
    </row>
    <row r="2207" spans="1:13" x14ac:dyDescent="0.25">
      <c r="A2207">
        <v>2206</v>
      </c>
      <c r="B2207" s="1">
        <v>43159</v>
      </c>
      <c r="C2207" s="1">
        <v>43294</v>
      </c>
      <c r="D2207" t="s">
        <v>23</v>
      </c>
      <c r="E2207" t="s">
        <v>27</v>
      </c>
      <c r="F2207" s="2">
        <v>117</v>
      </c>
      <c r="G2207" t="s">
        <v>12</v>
      </c>
      <c r="H2207" s="3">
        <v>39213.879999999997</v>
      </c>
      <c r="I2207" s="3">
        <v>1038607</v>
      </c>
      <c r="J2207" s="3">
        <v>830885.6</v>
      </c>
      <c r="K2207" s="3">
        <v>168507.52000000002</v>
      </c>
      <c r="L2207" t="s">
        <v>15</v>
      </c>
      <c r="M2207">
        <v>4.5</v>
      </c>
    </row>
    <row r="2208" spans="1:13" x14ac:dyDescent="0.25">
      <c r="A2208">
        <v>2207</v>
      </c>
      <c r="B2208" s="1">
        <v>43159</v>
      </c>
      <c r="C2208" s="1">
        <v>43284</v>
      </c>
      <c r="D2208" t="s">
        <v>20</v>
      </c>
      <c r="E2208" t="s">
        <v>26</v>
      </c>
      <c r="F2208" s="2">
        <v>274</v>
      </c>
      <c r="G2208" t="s">
        <v>12</v>
      </c>
      <c r="H2208" s="3">
        <v>102055.28</v>
      </c>
      <c r="I2208" s="3">
        <v>2613817</v>
      </c>
      <c r="J2208" s="3">
        <v>2091053.6</v>
      </c>
      <c r="K2208" s="3">
        <v>420708.11999999988</v>
      </c>
      <c r="L2208" t="s">
        <v>14</v>
      </c>
      <c r="M2208">
        <v>4</v>
      </c>
    </row>
    <row r="2209" spans="1:13" x14ac:dyDescent="0.25">
      <c r="A2209">
        <v>2208</v>
      </c>
      <c r="B2209" s="1">
        <v>43159</v>
      </c>
      <c r="C2209" s="1">
        <v>43314</v>
      </c>
      <c r="D2209" t="s">
        <v>21</v>
      </c>
      <c r="E2209" t="s">
        <v>27</v>
      </c>
      <c r="F2209" s="2">
        <v>96</v>
      </c>
      <c r="G2209" t="s">
        <v>12</v>
      </c>
      <c r="H2209" s="3">
        <v>34685</v>
      </c>
      <c r="I2209" s="3">
        <v>925385</v>
      </c>
      <c r="J2209" s="3">
        <v>740308</v>
      </c>
      <c r="K2209" s="3">
        <v>150392</v>
      </c>
      <c r="L2209" t="s">
        <v>16</v>
      </c>
      <c r="M2209">
        <v>4.2</v>
      </c>
    </row>
    <row r="2210" spans="1:13" x14ac:dyDescent="0.25">
      <c r="A2210">
        <v>2209</v>
      </c>
      <c r="B2210" s="1">
        <v>43160</v>
      </c>
      <c r="C2210" s="1">
        <v>43509</v>
      </c>
      <c r="D2210" t="s">
        <v>21</v>
      </c>
      <c r="E2210" t="s">
        <v>26</v>
      </c>
      <c r="F2210" s="2">
        <v>291</v>
      </c>
      <c r="G2210" t="s">
        <v>12</v>
      </c>
      <c r="H2210" s="3">
        <v>69730</v>
      </c>
      <c r="I2210" s="3">
        <v>1797685</v>
      </c>
      <c r="J2210" s="3">
        <v>1438148</v>
      </c>
      <c r="K2210" s="3">
        <v>289807</v>
      </c>
      <c r="L2210" t="s">
        <v>16</v>
      </c>
      <c r="M2210">
        <v>4.3</v>
      </c>
    </row>
    <row r="2211" spans="1:13" x14ac:dyDescent="0.25">
      <c r="A2211">
        <v>2210</v>
      </c>
      <c r="B2211" s="1">
        <v>43160</v>
      </c>
      <c r="C2211" s="1">
        <v>43341</v>
      </c>
      <c r="D2211" t="s">
        <v>21</v>
      </c>
      <c r="E2211" t="s">
        <v>13</v>
      </c>
      <c r="F2211" s="2">
        <v>235</v>
      </c>
      <c r="G2211" t="s">
        <v>12</v>
      </c>
      <c r="H2211" s="3">
        <v>67568</v>
      </c>
      <c r="I2211" s="3">
        <v>1742885</v>
      </c>
      <c r="J2211" s="3">
        <v>1394308</v>
      </c>
      <c r="K2211" s="3">
        <v>281009</v>
      </c>
      <c r="L2211" t="s">
        <v>15</v>
      </c>
      <c r="M2211">
        <v>4.0999999999999996</v>
      </c>
    </row>
    <row r="2212" spans="1:13" x14ac:dyDescent="0.25">
      <c r="A2212">
        <v>2211</v>
      </c>
      <c r="B2212" s="1">
        <v>43160</v>
      </c>
      <c r="C2212" s="1">
        <v>43394</v>
      </c>
      <c r="D2212" t="s">
        <v>22</v>
      </c>
      <c r="E2212" t="s">
        <v>29</v>
      </c>
      <c r="F2212" s="2">
        <v>142</v>
      </c>
      <c r="G2212" t="s">
        <v>12</v>
      </c>
      <c r="H2212" s="3">
        <v>43161.84</v>
      </c>
      <c r="I2212" s="3">
        <v>1131631</v>
      </c>
      <c r="J2212" s="3">
        <v>905304.8</v>
      </c>
      <c r="K2212" s="3">
        <v>183164.35999999996</v>
      </c>
      <c r="L2212" t="s">
        <v>18</v>
      </c>
      <c r="M2212">
        <v>3.6</v>
      </c>
    </row>
    <row r="2213" spans="1:13" x14ac:dyDescent="0.25">
      <c r="A2213">
        <v>2212</v>
      </c>
      <c r="B2213" s="1">
        <v>43160</v>
      </c>
      <c r="C2213" s="1">
        <v>43269</v>
      </c>
      <c r="D2213" t="s">
        <v>20</v>
      </c>
      <c r="E2213" t="s">
        <v>26</v>
      </c>
      <c r="F2213" s="2">
        <v>280</v>
      </c>
      <c r="G2213" t="s">
        <v>12</v>
      </c>
      <c r="H2213" s="3">
        <v>52908.84</v>
      </c>
      <c r="I2213" s="3">
        <v>1387681</v>
      </c>
      <c r="J2213" s="3">
        <v>1110144.8</v>
      </c>
      <c r="K2213" s="3">
        <v>224627.35999999996</v>
      </c>
      <c r="L2213" t="s">
        <v>17</v>
      </c>
      <c r="M2213">
        <v>3.8</v>
      </c>
    </row>
    <row r="2214" spans="1:13" x14ac:dyDescent="0.25">
      <c r="A2214">
        <v>2213</v>
      </c>
      <c r="B2214" s="1">
        <v>43161</v>
      </c>
      <c r="C2214" s="1">
        <v>43486</v>
      </c>
      <c r="D2214" t="s">
        <v>23</v>
      </c>
      <c r="E2214" t="s">
        <v>25</v>
      </c>
      <c r="F2214" s="2">
        <v>94</v>
      </c>
      <c r="G2214" t="s">
        <v>11</v>
      </c>
      <c r="H2214" s="3">
        <v>18879.96</v>
      </c>
      <c r="I2214" s="3">
        <v>530409</v>
      </c>
      <c r="J2214" s="3">
        <v>424327.2</v>
      </c>
      <c r="K2214" s="3">
        <v>87201.84</v>
      </c>
      <c r="L2214" t="s">
        <v>19</v>
      </c>
      <c r="M2214">
        <v>4.2</v>
      </c>
    </row>
    <row r="2215" spans="1:13" x14ac:dyDescent="0.25">
      <c r="A2215">
        <v>2214</v>
      </c>
      <c r="B2215" s="1">
        <v>43161</v>
      </c>
      <c r="C2215" s="1">
        <v>43450</v>
      </c>
      <c r="D2215" t="s">
        <v>20</v>
      </c>
      <c r="E2215" t="s">
        <v>24</v>
      </c>
      <c r="F2215" s="2">
        <v>243</v>
      </c>
      <c r="G2215" t="s">
        <v>12</v>
      </c>
      <c r="H2215" s="3">
        <v>74597.600000000006</v>
      </c>
      <c r="I2215" s="3">
        <v>1918925</v>
      </c>
      <c r="J2215" s="3">
        <v>1535140</v>
      </c>
      <c r="K2215" s="3">
        <v>309187.40000000002</v>
      </c>
      <c r="L2215" t="s">
        <v>14</v>
      </c>
      <c r="M2215">
        <v>4.2</v>
      </c>
    </row>
    <row r="2216" spans="1:13" x14ac:dyDescent="0.25">
      <c r="A2216">
        <v>2215</v>
      </c>
      <c r="B2216" s="1">
        <v>43161</v>
      </c>
      <c r="C2216" s="1">
        <v>43387</v>
      </c>
      <c r="D2216" t="s">
        <v>22</v>
      </c>
      <c r="E2216" t="s">
        <v>25</v>
      </c>
      <c r="F2216" s="2">
        <v>135</v>
      </c>
      <c r="G2216" t="s">
        <v>11</v>
      </c>
      <c r="H2216" s="3">
        <v>25669.64</v>
      </c>
      <c r="I2216" s="3">
        <v>695801</v>
      </c>
      <c r="J2216" s="3">
        <v>556640.80000000005</v>
      </c>
      <c r="K2216" s="3">
        <v>113490.55999999995</v>
      </c>
      <c r="L2216" t="s">
        <v>19</v>
      </c>
      <c r="M2216">
        <v>5</v>
      </c>
    </row>
    <row r="2217" spans="1:13" x14ac:dyDescent="0.25">
      <c r="A2217">
        <v>2216</v>
      </c>
      <c r="B2217" s="1">
        <v>43162</v>
      </c>
      <c r="C2217" s="1">
        <v>43526</v>
      </c>
      <c r="D2217" t="s">
        <v>22</v>
      </c>
      <c r="E2217" t="s">
        <v>24</v>
      </c>
      <c r="F2217" s="2">
        <v>119</v>
      </c>
      <c r="G2217" t="s">
        <v>11</v>
      </c>
      <c r="H2217" s="3">
        <v>25331</v>
      </c>
      <c r="I2217" s="3">
        <v>693985</v>
      </c>
      <c r="J2217" s="3">
        <v>555188</v>
      </c>
      <c r="K2217" s="3">
        <v>113466</v>
      </c>
      <c r="L2217" t="s">
        <v>14</v>
      </c>
      <c r="M2217">
        <v>3.9</v>
      </c>
    </row>
    <row r="2218" spans="1:13" x14ac:dyDescent="0.25">
      <c r="A2218">
        <v>2217</v>
      </c>
      <c r="B2218" s="1">
        <v>43162</v>
      </c>
      <c r="C2218" s="1">
        <v>43401</v>
      </c>
      <c r="D2218" t="s">
        <v>22</v>
      </c>
      <c r="E2218" t="s">
        <v>26</v>
      </c>
      <c r="F2218" s="2">
        <v>127</v>
      </c>
      <c r="G2218" t="s">
        <v>11</v>
      </c>
      <c r="H2218" s="3">
        <v>27196</v>
      </c>
      <c r="I2218" s="3">
        <v>740435</v>
      </c>
      <c r="J2218" s="3">
        <v>592348</v>
      </c>
      <c r="K2218" s="3">
        <v>120891</v>
      </c>
      <c r="L2218" t="s">
        <v>18</v>
      </c>
      <c r="M2218">
        <v>3.8</v>
      </c>
    </row>
    <row r="2219" spans="1:13" x14ac:dyDescent="0.25">
      <c r="A2219">
        <v>2218</v>
      </c>
      <c r="B2219" s="1">
        <v>43162</v>
      </c>
      <c r="C2219" s="1">
        <v>43307</v>
      </c>
      <c r="D2219" t="s">
        <v>22</v>
      </c>
      <c r="E2219" t="s">
        <v>28</v>
      </c>
      <c r="F2219" s="2">
        <v>240</v>
      </c>
      <c r="G2219" t="s">
        <v>12</v>
      </c>
      <c r="H2219" s="3">
        <v>75555.12</v>
      </c>
      <c r="I2219" s="3">
        <v>1955213</v>
      </c>
      <c r="J2219" s="3">
        <v>1564170.4</v>
      </c>
      <c r="K2219" s="3">
        <v>315487.4800000001</v>
      </c>
      <c r="L2219" t="s">
        <v>19</v>
      </c>
      <c r="M2219">
        <v>4.4000000000000004</v>
      </c>
    </row>
    <row r="2220" spans="1:13" x14ac:dyDescent="0.25">
      <c r="A2220">
        <v>2219</v>
      </c>
      <c r="B2220" s="1">
        <v>43162</v>
      </c>
      <c r="C2220" s="1">
        <v>43476</v>
      </c>
      <c r="D2220" t="s">
        <v>21</v>
      </c>
      <c r="E2220" t="s">
        <v>29</v>
      </c>
      <c r="F2220" s="2">
        <v>71</v>
      </c>
      <c r="G2220" t="s">
        <v>11</v>
      </c>
      <c r="H2220" s="3">
        <v>27176.84</v>
      </c>
      <c r="I2220" s="3">
        <v>734231</v>
      </c>
      <c r="J2220" s="3">
        <v>587384.80000000005</v>
      </c>
      <c r="K2220" s="3">
        <v>119669.35999999996</v>
      </c>
      <c r="L2220" t="s">
        <v>14</v>
      </c>
      <c r="M2220">
        <v>4.3</v>
      </c>
    </row>
    <row r="2221" spans="1:13" x14ac:dyDescent="0.25">
      <c r="A2221">
        <v>2220</v>
      </c>
      <c r="B2221" s="1">
        <v>43163</v>
      </c>
      <c r="C2221" s="1">
        <v>43430</v>
      </c>
      <c r="D2221" t="s">
        <v>21</v>
      </c>
      <c r="E2221" t="s">
        <v>25</v>
      </c>
      <c r="F2221" s="2">
        <v>42</v>
      </c>
      <c r="G2221" t="s">
        <v>11</v>
      </c>
      <c r="H2221" s="3">
        <v>13287.8</v>
      </c>
      <c r="I2221" s="3">
        <v>385205</v>
      </c>
      <c r="J2221" s="3">
        <v>308164</v>
      </c>
      <c r="K2221" s="3">
        <v>63753.2</v>
      </c>
      <c r="L2221" t="s">
        <v>19</v>
      </c>
      <c r="M2221">
        <v>4.2</v>
      </c>
    </row>
    <row r="2222" spans="1:13" x14ac:dyDescent="0.25">
      <c r="A2222">
        <v>2221</v>
      </c>
      <c r="B2222" s="1">
        <v>43163</v>
      </c>
      <c r="C2222" s="1">
        <v>43494</v>
      </c>
      <c r="D2222" t="s">
        <v>20</v>
      </c>
      <c r="E2222" t="s">
        <v>26</v>
      </c>
      <c r="F2222" s="2">
        <v>265</v>
      </c>
      <c r="G2222" t="s">
        <v>12</v>
      </c>
      <c r="H2222" s="3">
        <v>75256.44</v>
      </c>
      <c r="I2222" s="3">
        <v>1944771</v>
      </c>
      <c r="J2222" s="3">
        <v>1555816.8</v>
      </c>
      <c r="K2222" s="3">
        <v>313697.75999999995</v>
      </c>
      <c r="L2222" t="s">
        <v>17</v>
      </c>
      <c r="M2222">
        <v>3.9</v>
      </c>
    </row>
    <row r="2223" spans="1:13" x14ac:dyDescent="0.25">
      <c r="A2223">
        <v>2222</v>
      </c>
      <c r="B2223" s="1">
        <v>43163</v>
      </c>
      <c r="C2223" s="1">
        <v>43328</v>
      </c>
      <c r="D2223" t="s">
        <v>21</v>
      </c>
      <c r="E2223" t="s">
        <v>24</v>
      </c>
      <c r="F2223" s="2">
        <v>194</v>
      </c>
      <c r="G2223" t="s">
        <v>12</v>
      </c>
      <c r="H2223" s="3">
        <v>76292.92</v>
      </c>
      <c r="I2223" s="3">
        <v>1965683</v>
      </c>
      <c r="J2223" s="3">
        <v>1572546.4</v>
      </c>
      <c r="K2223" s="3">
        <v>316843.68000000011</v>
      </c>
      <c r="L2223" t="s">
        <v>18</v>
      </c>
      <c r="M2223">
        <v>4</v>
      </c>
    </row>
    <row r="2224" spans="1:13" x14ac:dyDescent="0.25">
      <c r="A2224">
        <v>2223</v>
      </c>
      <c r="B2224" s="1">
        <v>43163</v>
      </c>
      <c r="C2224" s="1">
        <v>43347</v>
      </c>
      <c r="D2224" t="s">
        <v>22</v>
      </c>
      <c r="E2224" t="s">
        <v>26</v>
      </c>
      <c r="F2224" s="2">
        <v>92</v>
      </c>
      <c r="G2224" t="s">
        <v>12</v>
      </c>
      <c r="H2224" s="3">
        <v>36456.080000000002</v>
      </c>
      <c r="I2224" s="3">
        <v>964412</v>
      </c>
      <c r="J2224" s="3">
        <v>771529.6</v>
      </c>
      <c r="K2224" s="3">
        <v>156426.32</v>
      </c>
      <c r="L2224" t="s">
        <v>18</v>
      </c>
      <c r="M2224">
        <v>3.8</v>
      </c>
    </row>
    <row r="2225" spans="1:13" x14ac:dyDescent="0.25">
      <c r="A2225">
        <v>2224</v>
      </c>
      <c r="B2225" s="1">
        <v>43164</v>
      </c>
      <c r="C2225" s="1">
        <v>43307</v>
      </c>
      <c r="D2225" t="s">
        <v>20</v>
      </c>
      <c r="E2225" t="s">
        <v>24</v>
      </c>
      <c r="F2225" s="2">
        <v>289</v>
      </c>
      <c r="G2225" t="s">
        <v>12</v>
      </c>
      <c r="H2225" s="3">
        <v>78834.36</v>
      </c>
      <c r="I2225" s="3">
        <v>2032694</v>
      </c>
      <c r="J2225" s="3">
        <v>1626155.2</v>
      </c>
      <c r="K2225" s="3">
        <v>327704.44000000006</v>
      </c>
      <c r="L2225" t="s">
        <v>17</v>
      </c>
      <c r="M2225">
        <v>4.2</v>
      </c>
    </row>
    <row r="2226" spans="1:13" x14ac:dyDescent="0.25">
      <c r="A2226">
        <v>2225</v>
      </c>
      <c r="B2226" s="1">
        <v>43164</v>
      </c>
      <c r="C2226" s="1">
        <v>43437</v>
      </c>
      <c r="D2226" t="s">
        <v>20</v>
      </c>
      <c r="E2226" t="s">
        <v>13</v>
      </c>
      <c r="F2226" s="2">
        <v>240</v>
      </c>
      <c r="G2226" t="s">
        <v>12</v>
      </c>
      <c r="H2226" s="3">
        <v>61369.64</v>
      </c>
      <c r="I2226" s="3">
        <v>1588526</v>
      </c>
      <c r="J2226" s="3">
        <v>1270820.8</v>
      </c>
      <c r="K2226" s="3">
        <v>256335.55999999994</v>
      </c>
      <c r="L2226" t="s">
        <v>19</v>
      </c>
      <c r="M2226">
        <v>3.8</v>
      </c>
    </row>
    <row r="2227" spans="1:13" x14ac:dyDescent="0.25">
      <c r="A2227">
        <v>2226</v>
      </c>
      <c r="B2227" s="1">
        <v>43164</v>
      </c>
      <c r="C2227" s="1">
        <v>43354</v>
      </c>
      <c r="D2227" t="s">
        <v>21</v>
      </c>
      <c r="E2227" t="s">
        <v>29</v>
      </c>
      <c r="F2227" s="2">
        <v>174</v>
      </c>
      <c r="G2227" t="s">
        <v>12</v>
      </c>
      <c r="H2227" s="3">
        <v>38439.360000000001</v>
      </c>
      <c r="I2227" s="3">
        <v>1017419</v>
      </c>
      <c r="J2227" s="3">
        <v>813935.2</v>
      </c>
      <c r="K2227" s="3">
        <v>165044.44000000006</v>
      </c>
      <c r="L2227" t="s">
        <v>19</v>
      </c>
      <c r="M2227">
        <v>4.2</v>
      </c>
    </row>
    <row r="2228" spans="1:13" x14ac:dyDescent="0.25">
      <c r="A2228">
        <v>2227</v>
      </c>
      <c r="B2228" s="1">
        <v>43165</v>
      </c>
      <c r="C2228" s="1">
        <v>43285</v>
      </c>
      <c r="D2228" t="s">
        <v>23</v>
      </c>
      <c r="E2228" t="s">
        <v>29</v>
      </c>
      <c r="F2228" s="2">
        <v>128</v>
      </c>
      <c r="G2228" t="s">
        <v>11</v>
      </c>
      <c r="H2228" s="3">
        <v>28328.12</v>
      </c>
      <c r="I2228" s="3">
        <v>768513</v>
      </c>
      <c r="J2228" s="3">
        <v>614810.4</v>
      </c>
      <c r="K2228" s="3">
        <v>125374.47999999998</v>
      </c>
      <c r="L2228" t="s">
        <v>15</v>
      </c>
      <c r="M2228">
        <v>4.5999999999999996</v>
      </c>
    </row>
    <row r="2229" spans="1:13" x14ac:dyDescent="0.25">
      <c r="A2229">
        <v>2228</v>
      </c>
      <c r="B2229" s="1">
        <v>43165</v>
      </c>
      <c r="C2229" s="1">
        <v>43455</v>
      </c>
      <c r="D2229" t="s">
        <v>20</v>
      </c>
      <c r="E2229" t="s">
        <v>25</v>
      </c>
      <c r="F2229" s="2">
        <v>173</v>
      </c>
      <c r="G2229" t="s">
        <v>12</v>
      </c>
      <c r="H2229" s="3">
        <v>57627.56</v>
      </c>
      <c r="I2229" s="3">
        <v>1499749</v>
      </c>
      <c r="J2229" s="3">
        <v>1199799.2</v>
      </c>
      <c r="K2229" s="3">
        <v>242322.24000000005</v>
      </c>
      <c r="L2229" t="s">
        <v>15</v>
      </c>
      <c r="M2229">
        <v>4.2</v>
      </c>
    </row>
    <row r="2230" spans="1:13" x14ac:dyDescent="0.25">
      <c r="A2230">
        <v>2229</v>
      </c>
      <c r="B2230" s="1">
        <v>43165</v>
      </c>
      <c r="C2230" s="1">
        <v>43510</v>
      </c>
      <c r="D2230" t="s">
        <v>22</v>
      </c>
      <c r="E2230" t="s">
        <v>25</v>
      </c>
      <c r="F2230" s="2">
        <v>121</v>
      </c>
      <c r="G2230" t="s">
        <v>12</v>
      </c>
      <c r="H2230" s="3">
        <v>45929.88</v>
      </c>
      <c r="I2230" s="3">
        <v>1214207</v>
      </c>
      <c r="J2230" s="3">
        <v>971365.6</v>
      </c>
      <c r="K2230" s="3">
        <v>196911.52000000002</v>
      </c>
      <c r="L2230" t="s">
        <v>15</v>
      </c>
      <c r="M2230">
        <v>3.9</v>
      </c>
    </row>
    <row r="2231" spans="1:13" x14ac:dyDescent="0.25">
      <c r="A2231">
        <v>2230</v>
      </c>
      <c r="B2231" s="1">
        <v>43165</v>
      </c>
      <c r="C2231" s="1">
        <v>43456</v>
      </c>
      <c r="D2231" t="s">
        <v>20</v>
      </c>
      <c r="E2231" t="s">
        <v>25</v>
      </c>
      <c r="F2231" s="2">
        <v>137</v>
      </c>
      <c r="G2231" t="s">
        <v>12</v>
      </c>
      <c r="H2231" s="3">
        <v>47564.88</v>
      </c>
      <c r="I2231" s="3">
        <v>1241832</v>
      </c>
      <c r="J2231" s="3">
        <v>993465.6</v>
      </c>
      <c r="K2231" s="3">
        <v>200801.52000000002</v>
      </c>
      <c r="L2231" t="s">
        <v>18</v>
      </c>
      <c r="M2231">
        <v>4.5999999999999996</v>
      </c>
    </row>
    <row r="2232" spans="1:13" x14ac:dyDescent="0.25">
      <c r="A2232">
        <v>2231</v>
      </c>
      <c r="B2232" s="1">
        <v>43166</v>
      </c>
      <c r="C2232" s="1">
        <v>43270</v>
      </c>
      <c r="D2232" t="s">
        <v>22</v>
      </c>
      <c r="E2232" t="s">
        <v>28</v>
      </c>
      <c r="F2232" s="2">
        <v>220</v>
      </c>
      <c r="G2232" t="s">
        <v>12</v>
      </c>
      <c r="H2232" s="3">
        <v>59272</v>
      </c>
      <c r="I2232" s="3">
        <v>1547310</v>
      </c>
      <c r="J2232" s="3">
        <v>1237848</v>
      </c>
      <c r="K2232" s="3">
        <v>250190</v>
      </c>
      <c r="L2232" t="s">
        <v>19</v>
      </c>
      <c r="M2232">
        <v>4.5</v>
      </c>
    </row>
    <row r="2233" spans="1:13" x14ac:dyDescent="0.25">
      <c r="A2233">
        <v>2232</v>
      </c>
      <c r="B2233" s="1">
        <v>43166</v>
      </c>
      <c r="C2233" s="1">
        <v>43502</v>
      </c>
      <c r="D2233" t="s">
        <v>22</v>
      </c>
      <c r="E2233" t="s">
        <v>13</v>
      </c>
      <c r="F2233" s="2">
        <v>223</v>
      </c>
      <c r="G2233" t="s">
        <v>12</v>
      </c>
      <c r="H2233" s="3">
        <v>89482.6</v>
      </c>
      <c r="I2233" s="3">
        <v>2294000</v>
      </c>
      <c r="J2233" s="3">
        <v>1835200</v>
      </c>
      <c r="K2233" s="3">
        <v>369317.4</v>
      </c>
      <c r="L2233" t="s">
        <v>19</v>
      </c>
      <c r="M2233">
        <v>5</v>
      </c>
    </row>
    <row r="2234" spans="1:13" x14ac:dyDescent="0.25">
      <c r="A2234">
        <v>2233</v>
      </c>
      <c r="B2234" s="1">
        <v>43166</v>
      </c>
      <c r="C2234" s="1">
        <v>43434</v>
      </c>
      <c r="D2234" t="s">
        <v>22</v>
      </c>
      <c r="E2234" t="s">
        <v>26</v>
      </c>
      <c r="F2234" s="2">
        <v>155</v>
      </c>
      <c r="G2234" t="s">
        <v>12</v>
      </c>
      <c r="H2234" s="3">
        <v>47301</v>
      </c>
      <c r="I2234" s="3">
        <v>1239335</v>
      </c>
      <c r="J2234" s="3">
        <v>991468</v>
      </c>
      <c r="K2234" s="3">
        <v>200566</v>
      </c>
      <c r="L2234" t="s">
        <v>15</v>
      </c>
      <c r="M2234">
        <v>4.7</v>
      </c>
    </row>
    <row r="2235" spans="1:13" x14ac:dyDescent="0.25">
      <c r="A2235">
        <v>2234</v>
      </c>
      <c r="B2235" s="1">
        <v>43167</v>
      </c>
      <c r="C2235" s="1">
        <v>43278</v>
      </c>
      <c r="D2235" t="s">
        <v>23</v>
      </c>
      <c r="E2235" t="s">
        <v>26</v>
      </c>
      <c r="F2235" s="2">
        <v>174</v>
      </c>
      <c r="G2235" t="s">
        <v>12</v>
      </c>
      <c r="H2235" s="3">
        <v>46805.32</v>
      </c>
      <c r="I2235" s="3">
        <v>1227518</v>
      </c>
      <c r="J2235" s="3">
        <v>982014.4</v>
      </c>
      <c r="K2235" s="3">
        <v>198698.27999999997</v>
      </c>
      <c r="L2235" t="s">
        <v>14</v>
      </c>
      <c r="M2235">
        <v>4.7</v>
      </c>
    </row>
    <row r="2236" spans="1:13" x14ac:dyDescent="0.25">
      <c r="A2236">
        <v>2235</v>
      </c>
      <c r="B2236" s="1">
        <v>43167</v>
      </c>
      <c r="C2236" s="1">
        <v>43512</v>
      </c>
      <c r="D2236" t="s">
        <v>20</v>
      </c>
      <c r="E2236" t="s">
        <v>24</v>
      </c>
      <c r="F2236" s="2">
        <v>56</v>
      </c>
      <c r="G2236" t="s">
        <v>11</v>
      </c>
      <c r="H2236" s="3">
        <v>19279.439999999999</v>
      </c>
      <c r="I2236" s="3">
        <v>537321</v>
      </c>
      <c r="J2236" s="3">
        <v>429856.8</v>
      </c>
      <c r="K2236" s="3">
        <v>88184.760000000009</v>
      </c>
      <c r="L2236" t="s">
        <v>16</v>
      </c>
      <c r="M2236">
        <v>4.5999999999999996</v>
      </c>
    </row>
    <row r="2237" spans="1:13" x14ac:dyDescent="0.25">
      <c r="A2237">
        <v>2236</v>
      </c>
      <c r="B2237" s="1">
        <v>43167</v>
      </c>
      <c r="C2237" s="1">
        <v>43466</v>
      </c>
      <c r="D2237" t="s">
        <v>20</v>
      </c>
      <c r="E2237" t="s">
        <v>13</v>
      </c>
      <c r="F2237" s="2">
        <v>135</v>
      </c>
      <c r="G2237" t="s">
        <v>12</v>
      </c>
      <c r="H2237" s="3">
        <v>53039.76</v>
      </c>
      <c r="I2237" s="3">
        <v>1380329</v>
      </c>
      <c r="J2237" s="3">
        <v>1104263.2</v>
      </c>
      <c r="K2237" s="3">
        <v>223026.04000000004</v>
      </c>
      <c r="L2237" t="s">
        <v>14</v>
      </c>
      <c r="M2237">
        <v>4.3</v>
      </c>
    </row>
    <row r="2238" spans="1:13" x14ac:dyDescent="0.25">
      <c r="A2238">
        <v>2237</v>
      </c>
      <c r="B2238" s="1">
        <v>43167</v>
      </c>
      <c r="C2238" s="1">
        <v>43491</v>
      </c>
      <c r="D2238" t="s">
        <v>23</v>
      </c>
      <c r="E2238" t="s">
        <v>26</v>
      </c>
      <c r="F2238" s="2">
        <v>244</v>
      </c>
      <c r="G2238" t="s">
        <v>12</v>
      </c>
      <c r="H2238" s="3">
        <v>57604.959999999999</v>
      </c>
      <c r="I2238" s="3">
        <v>1496709</v>
      </c>
      <c r="J2238" s="3">
        <v>1197367.2</v>
      </c>
      <c r="K2238" s="3">
        <v>241736.84000000005</v>
      </c>
      <c r="L2238" t="s">
        <v>18</v>
      </c>
      <c r="M2238">
        <v>3.6</v>
      </c>
    </row>
    <row r="2239" spans="1:13" x14ac:dyDescent="0.25">
      <c r="A2239">
        <v>2238</v>
      </c>
      <c r="B2239" s="1">
        <v>43167</v>
      </c>
      <c r="C2239" s="1">
        <v>43525</v>
      </c>
      <c r="D2239" t="s">
        <v>22</v>
      </c>
      <c r="E2239" t="s">
        <v>25</v>
      </c>
      <c r="F2239" s="2">
        <v>210</v>
      </c>
      <c r="G2239" t="s">
        <v>12</v>
      </c>
      <c r="H2239" s="3">
        <v>65235.32</v>
      </c>
      <c r="I2239" s="3">
        <v>1696318</v>
      </c>
      <c r="J2239" s="3">
        <v>1357054.4</v>
      </c>
      <c r="K2239" s="3">
        <v>274028.28000000009</v>
      </c>
      <c r="L2239" t="s">
        <v>19</v>
      </c>
      <c r="M2239">
        <v>4.3</v>
      </c>
    </row>
    <row r="2240" spans="1:13" x14ac:dyDescent="0.25">
      <c r="A2240">
        <v>2239</v>
      </c>
      <c r="B2240" s="1">
        <v>43168</v>
      </c>
      <c r="C2240" s="1">
        <v>43270</v>
      </c>
      <c r="D2240" t="s">
        <v>23</v>
      </c>
      <c r="E2240" t="s">
        <v>26</v>
      </c>
      <c r="F2240" s="2">
        <v>266</v>
      </c>
      <c r="G2240" t="s">
        <v>12</v>
      </c>
      <c r="H2240" s="3">
        <v>67324.479999999996</v>
      </c>
      <c r="I2240" s="3">
        <v>1742197</v>
      </c>
      <c r="J2240" s="3">
        <v>1393757.6</v>
      </c>
      <c r="K2240" s="3">
        <v>281114.91999999993</v>
      </c>
      <c r="L2240" t="s">
        <v>16</v>
      </c>
      <c r="M2240">
        <v>4.5999999999999996</v>
      </c>
    </row>
    <row r="2241" spans="1:13" x14ac:dyDescent="0.25">
      <c r="A2241">
        <v>2240</v>
      </c>
      <c r="B2241" s="1">
        <v>43168</v>
      </c>
      <c r="C2241" s="1">
        <v>43369</v>
      </c>
      <c r="D2241" t="s">
        <v>22</v>
      </c>
      <c r="E2241" t="s">
        <v>24</v>
      </c>
      <c r="F2241" s="2">
        <v>48</v>
      </c>
      <c r="G2241" t="s">
        <v>11</v>
      </c>
      <c r="H2241" s="3">
        <v>19334.12</v>
      </c>
      <c r="I2241" s="3">
        <v>540313</v>
      </c>
      <c r="J2241" s="3">
        <v>432250.4</v>
      </c>
      <c r="K2241" s="3">
        <v>88728.479999999981</v>
      </c>
      <c r="L2241" t="s">
        <v>17</v>
      </c>
      <c r="M2241">
        <v>4.7</v>
      </c>
    </row>
    <row r="2242" spans="1:13" x14ac:dyDescent="0.25">
      <c r="A2242">
        <v>2241</v>
      </c>
      <c r="B2242" s="1">
        <v>43170</v>
      </c>
      <c r="C2242" s="1">
        <v>43288</v>
      </c>
      <c r="D2242" t="s">
        <v>20</v>
      </c>
      <c r="E2242" t="s">
        <v>29</v>
      </c>
      <c r="F2242" s="2">
        <v>253</v>
      </c>
      <c r="G2242" t="s">
        <v>12</v>
      </c>
      <c r="H2242" s="3">
        <v>76480.56</v>
      </c>
      <c r="I2242" s="3">
        <v>1967099</v>
      </c>
      <c r="J2242" s="3">
        <v>1573679.2</v>
      </c>
      <c r="K2242" s="3">
        <v>316939.24000000005</v>
      </c>
      <c r="L2242" t="s">
        <v>16</v>
      </c>
      <c r="M2242">
        <v>3.6</v>
      </c>
    </row>
    <row r="2243" spans="1:13" x14ac:dyDescent="0.25">
      <c r="A2243">
        <v>2242</v>
      </c>
      <c r="B2243" s="1">
        <v>43170</v>
      </c>
      <c r="C2243" s="1">
        <v>43522</v>
      </c>
      <c r="D2243" t="s">
        <v>20</v>
      </c>
      <c r="E2243" t="s">
        <v>25</v>
      </c>
      <c r="F2243" s="2">
        <v>81</v>
      </c>
      <c r="G2243" t="s">
        <v>11</v>
      </c>
      <c r="H2243" s="3">
        <v>27720.68</v>
      </c>
      <c r="I2243" s="3">
        <v>745277</v>
      </c>
      <c r="J2243" s="3">
        <v>596221.6</v>
      </c>
      <c r="K2243" s="3">
        <v>121334.72000000003</v>
      </c>
      <c r="L2243" t="s">
        <v>19</v>
      </c>
      <c r="M2243">
        <v>4.5</v>
      </c>
    </row>
    <row r="2244" spans="1:13" x14ac:dyDescent="0.25">
      <c r="A2244">
        <v>2243</v>
      </c>
      <c r="B2244" s="1">
        <v>43170</v>
      </c>
      <c r="C2244" s="1">
        <v>43298</v>
      </c>
      <c r="D2244" t="s">
        <v>21</v>
      </c>
      <c r="E2244" t="s">
        <v>25</v>
      </c>
      <c r="F2244" s="2">
        <v>39</v>
      </c>
      <c r="G2244" t="s">
        <v>11</v>
      </c>
      <c r="H2244" s="3">
        <v>17076.599999999999</v>
      </c>
      <c r="I2244" s="3">
        <v>483425</v>
      </c>
      <c r="J2244" s="3">
        <v>386740</v>
      </c>
      <c r="K2244" s="3">
        <v>79608.399999999994</v>
      </c>
      <c r="L2244" t="s">
        <v>15</v>
      </c>
      <c r="M2244">
        <v>3.6</v>
      </c>
    </row>
    <row r="2245" spans="1:13" x14ac:dyDescent="0.25">
      <c r="A2245">
        <v>2244</v>
      </c>
      <c r="B2245" s="1">
        <v>43171</v>
      </c>
      <c r="C2245" s="1">
        <v>43365</v>
      </c>
      <c r="D2245" t="s">
        <v>23</v>
      </c>
      <c r="E2245" t="s">
        <v>13</v>
      </c>
      <c r="F2245" s="2">
        <v>147</v>
      </c>
      <c r="G2245" t="s">
        <v>12</v>
      </c>
      <c r="H2245" s="3">
        <v>45467</v>
      </c>
      <c r="I2245" s="3">
        <v>1196135</v>
      </c>
      <c r="J2245" s="3">
        <v>956908</v>
      </c>
      <c r="K2245" s="3">
        <v>193760</v>
      </c>
      <c r="L2245" t="s">
        <v>16</v>
      </c>
      <c r="M2245">
        <v>3.8</v>
      </c>
    </row>
    <row r="2246" spans="1:13" x14ac:dyDescent="0.25">
      <c r="A2246">
        <v>2245</v>
      </c>
      <c r="B2246" s="1">
        <v>43172</v>
      </c>
      <c r="C2246" s="1">
        <v>43518</v>
      </c>
      <c r="D2246" t="s">
        <v>23</v>
      </c>
      <c r="E2246" t="s">
        <v>28</v>
      </c>
      <c r="F2246" s="2">
        <v>175</v>
      </c>
      <c r="G2246" t="s">
        <v>12</v>
      </c>
      <c r="H2246" s="3">
        <v>58370.96</v>
      </c>
      <c r="I2246" s="3">
        <v>1525609</v>
      </c>
      <c r="J2246" s="3">
        <v>1220487.2</v>
      </c>
      <c r="K2246" s="3">
        <v>246750.84000000005</v>
      </c>
      <c r="L2246" t="s">
        <v>15</v>
      </c>
      <c r="M2246">
        <v>4.9000000000000004</v>
      </c>
    </row>
    <row r="2247" spans="1:13" x14ac:dyDescent="0.25">
      <c r="A2247">
        <v>2246</v>
      </c>
      <c r="B2247" s="1">
        <v>43172</v>
      </c>
      <c r="C2247" s="1">
        <v>43350</v>
      </c>
      <c r="D2247" t="s">
        <v>23</v>
      </c>
      <c r="E2247" t="s">
        <v>24</v>
      </c>
      <c r="F2247" s="2">
        <v>236</v>
      </c>
      <c r="G2247" t="s">
        <v>12</v>
      </c>
      <c r="H2247" s="3">
        <v>85774.399999999994</v>
      </c>
      <c r="I2247" s="3">
        <v>2211845</v>
      </c>
      <c r="J2247" s="3">
        <v>1769476</v>
      </c>
      <c r="K2247" s="3">
        <v>356594.6</v>
      </c>
      <c r="L2247" t="s">
        <v>19</v>
      </c>
      <c r="M2247">
        <v>4.5</v>
      </c>
    </row>
    <row r="2248" spans="1:13" x14ac:dyDescent="0.25">
      <c r="A2248">
        <v>2247</v>
      </c>
      <c r="B2248" s="1">
        <v>43172</v>
      </c>
      <c r="C2248" s="1">
        <v>43438</v>
      </c>
      <c r="D2248" t="s">
        <v>21</v>
      </c>
      <c r="E2248" t="s">
        <v>26</v>
      </c>
      <c r="F2248" s="2">
        <v>207</v>
      </c>
      <c r="G2248" t="s">
        <v>12</v>
      </c>
      <c r="H2248" s="3">
        <v>52528.44</v>
      </c>
      <c r="I2248" s="3">
        <v>1368421</v>
      </c>
      <c r="J2248" s="3">
        <v>1094736.8</v>
      </c>
      <c r="K2248" s="3">
        <v>221155.75999999995</v>
      </c>
      <c r="L2248" t="s">
        <v>16</v>
      </c>
      <c r="M2248">
        <v>3.8</v>
      </c>
    </row>
    <row r="2249" spans="1:13" x14ac:dyDescent="0.25">
      <c r="A2249">
        <v>2248</v>
      </c>
      <c r="B2249" s="1">
        <v>43172</v>
      </c>
      <c r="C2249" s="1">
        <v>43484</v>
      </c>
      <c r="D2249" t="s">
        <v>21</v>
      </c>
      <c r="E2249" t="s">
        <v>27</v>
      </c>
      <c r="F2249" s="2">
        <v>140</v>
      </c>
      <c r="G2249" t="s">
        <v>11</v>
      </c>
      <c r="H2249" s="3">
        <v>23400.76</v>
      </c>
      <c r="I2249" s="3">
        <v>652529</v>
      </c>
      <c r="J2249" s="3">
        <v>522023.2</v>
      </c>
      <c r="K2249" s="3">
        <v>107105.04</v>
      </c>
      <c r="L2249" t="s">
        <v>14</v>
      </c>
      <c r="M2249">
        <v>4.0999999999999996</v>
      </c>
    </row>
    <row r="2250" spans="1:13" x14ac:dyDescent="0.25">
      <c r="A2250">
        <v>2249</v>
      </c>
      <c r="B2250" s="1">
        <v>43173</v>
      </c>
      <c r="C2250" s="1">
        <v>43507</v>
      </c>
      <c r="D2250" t="s">
        <v>21</v>
      </c>
      <c r="E2250" t="s">
        <v>13</v>
      </c>
      <c r="F2250" s="2">
        <v>224</v>
      </c>
      <c r="G2250" t="s">
        <v>12</v>
      </c>
      <c r="H2250" s="3">
        <v>48517.96</v>
      </c>
      <c r="I2250" s="3">
        <v>1280184</v>
      </c>
      <c r="J2250" s="3">
        <v>1024147.2</v>
      </c>
      <c r="K2250" s="3">
        <v>207518.84000000005</v>
      </c>
      <c r="L2250" t="s">
        <v>18</v>
      </c>
      <c r="M2250">
        <v>4</v>
      </c>
    </row>
    <row r="2251" spans="1:13" x14ac:dyDescent="0.25">
      <c r="A2251">
        <v>2250</v>
      </c>
      <c r="B2251" s="1">
        <v>43173</v>
      </c>
      <c r="C2251" s="1">
        <v>43389</v>
      </c>
      <c r="D2251" t="s">
        <v>23</v>
      </c>
      <c r="E2251" t="s">
        <v>29</v>
      </c>
      <c r="F2251" s="2">
        <v>58</v>
      </c>
      <c r="G2251" t="s">
        <v>11</v>
      </c>
      <c r="H2251" s="3">
        <v>12626.08</v>
      </c>
      <c r="I2251" s="3">
        <v>380087</v>
      </c>
      <c r="J2251" s="3">
        <v>304069.59999999998</v>
      </c>
      <c r="K2251" s="3">
        <v>63391.320000000022</v>
      </c>
      <c r="L2251" t="s">
        <v>14</v>
      </c>
      <c r="M2251">
        <v>4.4000000000000004</v>
      </c>
    </row>
    <row r="2252" spans="1:13" x14ac:dyDescent="0.25">
      <c r="A2252">
        <v>2251</v>
      </c>
      <c r="B2252" s="1">
        <v>43174</v>
      </c>
      <c r="C2252" s="1">
        <v>43307</v>
      </c>
      <c r="D2252" t="s">
        <v>22</v>
      </c>
      <c r="E2252" t="s">
        <v>24</v>
      </c>
      <c r="F2252" s="2">
        <v>279</v>
      </c>
      <c r="G2252" t="s">
        <v>12</v>
      </c>
      <c r="H2252" s="3">
        <v>48199.199999999997</v>
      </c>
      <c r="I2252" s="3">
        <v>1256215</v>
      </c>
      <c r="J2252" s="3">
        <v>1004972</v>
      </c>
      <c r="K2252" s="3">
        <v>203043.8</v>
      </c>
      <c r="L2252" t="s">
        <v>15</v>
      </c>
      <c r="M2252">
        <v>4</v>
      </c>
    </row>
    <row r="2253" spans="1:13" x14ac:dyDescent="0.25">
      <c r="A2253">
        <v>2252</v>
      </c>
      <c r="B2253" s="1">
        <v>43174</v>
      </c>
      <c r="C2253" s="1">
        <v>43303</v>
      </c>
      <c r="D2253" t="s">
        <v>21</v>
      </c>
      <c r="E2253" t="s">
        <v>29</v>
      </c>
      <c r="F2253" s="2">
        <v>42</v>
      </c>
      <c r="G2253" t="s">
        <v>11</v>
      </c>
      <c r="H2253" s="3">
        <v>15025.48</v>
      </c>
      <c r="I2253" s="3">
        <v>436997</v>
      </c>
      <c r="J2253" s="3">
        <v>349597.6</v>
      </c>
      <c r="K2253" s="3">
        <v>72373.920000000027</v>
      </c>
      <c r="L2253" t="s">
        <v>15</v>
      </c>
      <c r="M2253">
        <v>4.8</v>
      </c>
    </row>
    <row r="2254" spans="1:13" x14ac:dyDescent="0.25">
      <c r="A2254">
        <v>2253</v>
      </c>
      <c r="B2254" s="1">
        <v>43175</v>
      </c>
      <c r="C2254" s="1">
        <v>43434</v>
      </c>
      <c r="D2254" t="s">
        <v>20</v>
      </c>
      <c r="E2254" t="s">
        <v>13</v>
      </c>
      <c r="F2254" s="2">
        <v>253</v>
      </c>
      <c r="G2254" t="s">
        <v>12</v>
      </c>
      <c r="H2254" s="3">
        <v>64718.239999999998</v>
      </c>
      <c r="I2254" s="3">
        <v>1683041</v>
      </c>
      <c r="J2254" s="3">
        <v>1346432.8</v>
      </c>
      <c r="K2254" s="3">
        <v>271889.95999999996</v>
      </c>
      <c r="L2254" t="s">
        <v>14</v>
      </c>
      <c r="M2254">
        <v>4</v>
      </c>
    </row>
    <row r="2255" spans="1:13" x14ac:dyDescent="0.25">
      <c r="A2255">
        <v>2254</v>
      </c>
      <c r="B2255" s="1">
        <v>43175</v>
      </c>
      <c r="C2255" s="1">
        <v>43531</v>
      </c>
      <c r="D2255" t="s">
        <v>22</v>
      </c>
      <c r="E2255" t="s">
        <v>28</v>
      </c>
      <c r="F2255" s="2">
        <v>84</v>
      </c>
      <c r="G2255" t="s">
        <v>11</v>
      </c>
      <c r="H2255" s="3">
        <v>23158.2</v>
      </c>
      <c r="I2255" s="3">
        <v>640265</v>
      </c>
      <c r="J2255" s="3">
        <v>512212</v>
      </c>
      <c r="K2255" s="3">
        <v>104894.8</v>
      </c>
      <c r="L2255" t="s">
        <v>16</v>
      </c>
      <c r="M2255">
        <v>4.0999999999999996</v>
      </c>
    </row>
    <row r="2256" spans="1:13" x14ac:dyDescent="0.25">
      <c r="A2256">
        <v>2255</v>
      </c>
      <c r="B2256" s="1">
        <v>43175</v>
      </c>
      <c r="C2256" s="1">
        <v>43439</v>
      </c>
      <c r="D2256" t="s">
        <v>22</v>
      </c>
      <c r="E2256" t="s">
        <v>24</v>
      </c>
      <c r="F2256" s="2">
        <v>174</v>
      </c>
      <c r="G2256" t="s">
        <v>12</v>
      </c>
      <c r="H2256" s="3">
        <v>46160.72</v>
      </c>
      <c r="I2256" s="3">
        <v>1207903</v>
      </c>
      <c r="J2256" s="3">
        <v>966322.4</v>
      </c>
      <c r="K2256" s="3">
        <v>195419.87999999998</v>
      </c>
      <c r="L2256" t="s">
        <v>18</v>
      </c>
      <c r="M2256">
        <v>5</v>
      </c>
    </row>
    <row r="2257" spans="1:13" x14ac:dyDescent="0.25">
      <c r="A2257">
        <v>2256</v>
      </c>
      <c r="B2257" s="1">
        <v>43176</v>
      </c>
      <c r="C2257" s="1">
        <v>43423</v>
      </c>
      <c r="D2257" t="s">
        <v>22</v>
      </c>
      <c r="E2257" t="s">
        <v>25</v>
      </c>
      <c r="F2257" s="2">
        <v>118</v>
      </c>
      <c r="G2257" t="s">
        <v>12</v>
      </c>
      <c r="H2257" s="3">
        <v>29345.599999999999</v>
      </c>
      <c r="I2257" s="3">
        <v>800600</v>
      </c>
      <c r="J2257" s="3">
        <v>640480</v>
      </c>
      <c r="K2257" s="3">
        <v>130774.39999999999</v>
      </c>
      <c r="L2257" t="s">
        <v>16</v>
      </c>
      <c r="M2257">
        <v>4.4000000000000004</v>
      </c>
    </row>
    <row r="2258" spans="1:13" x14ac:dyDescent="0.25">
      <c r="A2258">
        <v>2257</v>
      </c>
      <c r="B2258" s="1">
        <v>43176</v>
      </c>
      <c r="C2258" s="1">
        <v>43473</v>
      </c>
      <c r="D2258" t="s">
        <v>23</v>
      </c>
      <c r="E2258" t="s">
        <v>13</v>
      </c>
      <c r="F2258" s="2">
        <v>189</v>
      </c>
      <c r="G2258" t="s">
        <v>12</v>
      </c>
      <c r="H2258" s="3">
        <v>63824.32</v>
      </c>
      <c r="I2258" s="3">
        <v>1648193</v>
      </c>
      <c r="J2258" s="3">
        <v>1318554.3999999999</v>
      </c>
      <c r="K2258" s="3">
        <v>265814.28000000009</v>
      </c>
      <c r="L2258" t="s">
        <v>17</v>
      </c>
      <c r="M2258">
        <v>4.8</v>
      </c>
    </row>
    <row r="2259" spans="1:13" x14ac:dyDescent="0.25">
      <c r="A2259">
        <v>2258</v>
      </c>
      <c r="B2259" s="1">
        <v>43177</v>
      </c>
      <c r="C2259" s="1">
        <v>43430</v>
      </c>
      <c r="D2259" t="s">
        <v>20</v>
      </c>
      <c r="E2259" t="s">
        <v>13</v>
      </c>
      <c r="F2259" s="2">
        <v>54</v>
      </c>
      <c r="G2259" t="s">
        <v>11</v>
      </c>
      <c r="H2259" s="3">
        <v>13696.8</v>
      </c>
      <c r="I2259" s="3">
        <v>395105</v>
      </c>
      <c r="J2259" s="3">
        <v>316084</v>
      </c>
      <c r="K2259" s="3">
        <v>65324.2</v>
      </c>
      <c r="L2259" t="s">
        <v>18</v>
      </c>
      <c r="M2259">
        <v>3.7</v>
      </c>
    </row>
    <row r="2260" spans="1:13" x14ac:dyDescent="0.25">
      <c r="A2260">
        <v>2259</v>
      </c>
      <c r="B2260" s="1">
        <v>43178</v>
      </c>
      <c r="C2260" s="1">
        <v>43539</v>
      </c>
      <c r="D2260" t="s">
        <v>20</v>
      </c>
      <c r="E2260" t="s">
        <v>28</v>
      </c>
      <c r="F2260" s="2">
        <v>281</v>
      </c>
      <c r="G2260" t="s">
        <v>12</v>
      </c>
      <c r="H2260" s="3">
        <v>55509.919999999998</v>
      </c>
      <c r="I2260" s="3">
        <v>1450183</v>
      </c>
      <c r="J2260" s="3">
        <v>1160146.3999999999</v>
      </c>
      <c r="K2260" s="3">
        <v>234526.68000000011</v>
      </c>
      <c r="L2260" t="s">
        <v>14</v>
      </c>
      <c r="M2260">
        <v>3.9</v>
      </c>
    </row>
    <row r="2261" spans="1:13" x14ac:dyDescent="0.25">
      <c r="A2261">
        <v>2260</v>
      </c>
      <c r="B2261" s="1">
        <v>43178</v>
      </c>
      <c r="C2261" s="1">
        <v>43468</v>
      </c>
      <c r="D2261" t="s">
        <v>23</v>
      </c>
      <c r="E2261" t="s">
        <v>28</v>
      </c>
      <c r="F2261" s="2">
        <v>77</v>
      </c>
      <c r="G2261" t="s">
        <v>11</v>
      </c>
      <c r="H2261" s="3">
        <v>28721.599999999999</v>
      </c>
      <c r="I2261" s="3">
        <v>779750</v>
      </c>
      <c r="J2261" s="3">
        <v>623800</v>
      </c>
      <c r="K2261" s="3">
        <v>127228.4</v>
      </c>
      <c r="L2261" t="s">
        <v>16</v>
      </c>
      <c r="M2261">
        <v>4.8</v>
      </c>
    </row>
    <row r="2262" spans="1:13" x14ac:dyDescent="0.25">
      <c r="A2262">
        <v>2261</v>
      </c>
      <c r="B2262" s="1">
        <v>43179</v>
      </c>
      <c r="C2262" s="1">
        <v>43392</v>
      </c>
      <c r="D2262" t="s">
        <v>23</v>
      </c>
      <c r="E2262" t="s">
        <v>29</v>
      </c>
      <c r="F2262" s="2">
        <v>89</v>
      </c>
      <c r="G2262" t="s">
        <v>11</v>
      </c>
      <c r="H2262" s="3">
        <v>16561.32</v>
      </c>
      <c r="I2262" s="3">
        <v>471818</v>
      </c>
      <c r="J2262" s="3">
        <v>377454.4</v>
      </c>
      <c r="K2262" s="3">
        <v>77802.27999999997</v>
      </c>
      <c r="L2262" t="s">
        <v>17</v>
      </c>
      <c r="M2262">
        <v>4.8</v>
      </c>
    </row>
    <row r="2263" spans="1:13" x14ac:dyDescent="0.25">
      <c r="A2263">
        <v>2262</v>
      </c>
      <c r="B2263" s="1">
        <v>43179</v>
      </c>
      <c r="C2263" s="1">
        <v>43461</v>
      </c>
      <c r="D2263" t="s">
        <v>22</v>
      </c>
      <c r="E2263" t="s">
        <v>13</v>
      </c>
      <c r="F2263" s="2">
        <v>194</v>
      </c>
      <c r="G2263" t="s">
        <v>12</v>
      </c>
      <c r="H2263" s="3">
        <v>66296.160000000003</v>
      </c>
      <c r="I2263" s="3">
        <v>1722214</v>
      </c>
      <c r="J2263" s="3">
        <v>1377771.2</v>
      </c>
      <c r="K2263" s="3">
        <v>278146.64</v>
      </c>
      <c r="L2263" t="s">
        <v>19</v>
      </c>
      <c r="M2263">
        <v>4.2</v>
      </c>
    </row>
    <row r="2264" spans="1:13" x14ac:dyDescent="0.25">
      <c r="A2264">
        <v>2263</v>
      </c>
      <c r="B2264" s="1">
        <v>43179</v>
      </c>
      <c r="C2264" s="1">
        <v>43394</v>
      </c>
      <c r="D2264" t="s">
        <v>21</v>
      </c>
      <c r="E2264" t="s">
        <v>13</v>
      </c>
      <c r="F2264" s="2">
        <v>215</v>
      </c>
      <c r="G2264" t="s">
        <v>12</v>
      </c>
      <c r="H2264" s="3">
        <v>60902.2</v>
      </c>
      <c r="I2264" s="3">
        <v>1587265</v>
      </c>
      <c r="J2264" s="3">
        <v>1269812</v>
      </c>
      <c r="K2264" s="3">
        <v>256550.8</v>
      </c>
      <c r="L2264" t="s">
        <v>14</v>
      </c>
      <c r="M2264">
        <v>4.8</v>
      </c>
    </row>
    <row r="2265" spans="1:13" x14ac:dyDescent="0.25">
      <c r="A2265">
        <v>2264</v>
      </c>
      <c r="B2265" s="1">
        <v>43179</v>
      </c>
      <c r="C2265" s="1">
        <v>43309</v>
      </c>
      <c r="D2265" t="s">
        <v>23</v>
      </c>
      <c r="E2265" t="s">
        <v>27</v>
      </c>
      <c r="F2265" s="2">
        <v>270</v>
      </c>
      <c r="G2265" t="s">
        <v>12</v>
      </c>
      <c r="H2265" s="3">
        <v>57373.32</v>
      </c>
      <c r="I2265" s="3">
        <v>1493343</v>
      </c>
      <c r="J2265" s="3">
        <v>1194674.3999999999</v>
      </c>
      <c r="K2265" s="3">
        <v>241295.28000000009</v>
      </c>
      <c r="L2265" t="s">
        <v>15</v>
      </c>
      <c r="M2265">
        <v>3.9</v>
      </c>
    </row>
    <row r="2266" spans="1:13" x14ac:dyDescent="0.25">
      <c r="A2266">
        <v>2265</v>
      </c>
      <c r="B2266" s="1">
        <v>43180</v>
      </c>
      <c r="C2266" s="1">
        <v>43479</v>
      </c>
      <c r="D2266" t="s">
        <v>21</v>
      </c>
      <c r="E2266" t="s">
        <v>27</v>
      </c>
      <c r="F2266" s="2">
        <v>145</v>
      </c>
      <c r="G2266" t="s">
        <v>12</v>
      </c>
      <c r="H2266" s="3">
        <v>37036.28</v>
      </c>
      <c r="I2266" s="3">
        <v>985317</v>
      </c>
      <c r="J2266" s="3">
        <v>788253.6</v>
      </c>
      <c r="K2266" s="3">
        <v>160027.12000000002</v>
      </c>
      <c r="L2266" t="s">
        <v>16</v>
      </c>
      <c r="M2266">
        <v>4.8</v>
      </c>
    </row>
    <row r="2267" spans="1:13" x14ac:dyDescent="0.25">
      <c r="A2267">
        <v>2266</v>
      </c>
      <c r="B2267" s="1">
        <v>43180</v>
      </c>
      <c r="C2267" s="1">
        <v>43375</v>
      </c>
      <c r="D2267" t="s">
        <v>20</v>
      </c>
      <c r="E2267" t="s">
        <v>29</v>
      </c>
      <c r="F2267" s="2">
        <v>286</v>
      </c>
      <c r="G2267" t="s">
        <v>12</v>
      </c>
      <c r="H2267" s="3">
        <v>111227</v>
      </c>
      <c r="I2267" s="3">
        <v>2833535</v>
      </c>
      <c r="J2267" s="3">
        <v>2266828</v>
      </c>
      <c r="K2267" s="3">
        <v>455480</v>
      </c>
      <c r="L2267" t="s">
        <v>19</v>
      </c>
      <c r="M2267">
        <v>3.8</v>
      </c>
    </row>
    <row r="2268" spans="1:13" x14ac:dyDescent="0.25">
      <c r="A2268">
        <v>2267</v>
      </c>
      <c r="B2268" s="1">
        <v>43180</v>
      </c>
      <c r="C2268" s="1">
        <v>43333</v>
      </c>
      <c r="D2268" t="s">
        <v>23</v>
      </c>
      <c r="E2268" t="s">
        <v>25</v>
      </c>
      <c r="F2268" s="2">
        <v>144</v>
      </c>
      <c r="G2268" t="s">
        <v>12</v>
      </c>
      <c r="H2268" s="3">
        <v>30062.68</v>
      </c>
      <c r="I2268" s="3">
        <v>812927</v>
      </c>
      <c r="J2268" s="3">
        <v>650341.6</v>
      </c>
      <c r="K2268" s="3">
        <v>132522.72000000003</v>
      </c>
      <c r="L2268" t="s">
        <v>17</v>
      </c>
      <c r="M2268">
        <v>3.8</v>
      </c>
    </row>
    <row r="2269" spans="1:13" x14ac:dyDescent="0.25">
      <c r="A2269">
        <v>2268</v>
      </c>
      <c r="B2269" s="1">
        <v>43180</v>
      </c>
      <c r="C2269" s="1">
        <v>43496</v>
      </c>
      <c r="D2269" t="s">
        <v>20</v>
      </c>
      <c r="E2269" t="s">
        <v>29</v>
      </c>
      <c r="F2269" s="2">
        <v>92</v>
      </c>
      <c r="G2269" t="s">
        <v>12</v>
      </c>
      <c r="H2269" s="3">
        <v>34496.92</v>
      </c>
      <c r="I2269" s="3">
        <v>922483</v>
      </c>
      <c r="J2269" s="3">
        <v>737986.4</v>
      </c>
      <c r="K2269" s="3">
        <v>149999.67999999999</v>
      </c>
      <c r="L2269" t="s">
        <v>14</v>
      </c>
      <c r="M2269">
        <v>3.7</v>
      </c>
    </row>
    <row r="2270" spans="1:13" x14ac:dyDescent="0.25">
      <c r="A2270">
        <v>2269</v>
      </c>
      <c r="B2270" s="1">
        <v>43182</v>
      </c>
      <c r="C2270" s="1">
        <v>43501</v>
      </c>
      <c r="D2270" t="s">
        <v>20</v>
      </c>
      <c r="E2270" t="s">
        <v>29</v>
      </c>
      <c r="F2270" s="2">
        <v>180</v>
      </c>
      <c r="G2270" t="s">
        <v>12</v>
      </c>
      <c r="H2270" s="3">
        <v>33647.599999999999</v>
      </c>
      <c r="I2270" s="3">
        <v>903950</v>
      </c>
      <c r="J2270" s="3">
        <v>723160</v>
      </c>
      <c r="K2270" s="3">
        <v>147142.39999999999</v>
      </c>
      <c r="L2270" t="s">
        <v>18</v>
      </c>
      <c r="M2270">
        <v>4.5</v>
      </c>
    </row>
    <row r="2271" spans="1:13" x14ac:dyDescent="0.25">
      <c r="A2271">
        <v>2270</v>
      </c>
      <c r="B2271" s="1">
        <v>43182</v>
      </c>
      <c r="C2271" s="1">
        <v>43496</v>
      </c>
      <c r="D2271" t="s">
        <v>21</v>
      </c>
      <c r="E2271" t="s">
        <v>29</v>
      </c>
      <c r="F2271" s="2">
        <v>199</v>
      </c>
      <c r="G2271" t="s">
        <v>12</v>
      </c>
      <c r="H2271" s="3">
        <v>32220</v>
      </c>
      <c r="I2271" s="3">
        <v>859635</v>
      </c>
      <c r="J2271" s="3">
        <v>687708</v>
      </c>
      <c r="K2271" s="3">
        <v>139707</v>
      </c>
      <c r="L2271" t="s">
        <v>17</v>
      </c>
      <c r="M2271">
        <v>4.4000000000000004</v>
      </c>
    </row>
    <row r="2272" spans="1:13" x14ac:dyDescent="0.25">
      <c r="A2272">
        <v>2271</v>
      </c>
      <c r="B2272" s="1">
        <v>43182</v>
      </c>
      <c r="C2272" s="1">
        <v>43273</v>
      </c>
      <c r="D2272" t="s">
        <v>22</v>
      </c>
      <c r="E2272" t="s">
        <v>24</v>
      </c>
      <c r="F2272" s="2">
        <v>222</v>
      </c>
      <c r="G2272" t="s">
        <v>12</v>
      </c>
      <c r="H2272" s="3">
        <v>58974</v>
      </c>
      <c r="I2272" s="3">
        <v>1538135</v>
      </c>
      <c r="J2272" s="3">
        <v>1230508</v>
      </c>
      <c r="K2272" s="3">
        <v>248653</v>
      </c>
      <c r="L2272" t="s">
        <v>17</v>
      </c>
      <c r="M2272">
        <v>4.9000000000000004</v>
      </c>
    </row>
    <row r="2273" spans="1:13" x14ac:dyDescent="0.25">
      <c r="A2273">
        <v>2272</v>
      </c>
      <c r="B2273" s="1">
        <v>43183</v>
      </c>
      <c r="C2273" s="1">
        <v>43365</v>
      </c>
      <c r="D2273" t="s">
        <v>23</v>
      </c>
      <c r="E2273" t="s">
        <v>24</v>
      </c>
      <c r="F2273" s="2">
        <v>184</v>
      </c>
      <c r="G2273" t="s">
        <v>12</v>
      </c>
      <c r="H2273" s="3">
        <v>36466</v>
      </c>
      <c r="I2273" s="3">
        <v>962835</v>
      </c>
      <c r="J2273" s="3">
        <v>770268</v>
      </c>
      <c r="K2273" s="3">
        <v>156101</v>
      </c>
      <c r="L2273" t="s">
        <v>14</v>
      </c>
      <c r="M2273">
        <v>4.2</v>
      </c>
    </row>
    <row r="2274" spans="1:13" x14ac:dyDescent="0.25">
      <c r="A2274">
        <v>2273</v>
      </c>
      <c r="B2274" s="1">
        <v>43184</v>
      </c>
      <c r="C2274" s="1">
        <v>43312</v>
      </c>
      <c r="D2274" t="s">
        <v>22</v>
      </c>
      <c r="E2274" t="s">
        <v>28</v>
      </c>
      <c r="F2274" s="2">
        <v>144</v>
      </c>
      <c r="G2274" t="s">
        <v>12</v>
      </c>
      <c r="H2274" s="3">
        <v>54888</v>
      </c>
      <c r="I2274" s="3">
        <v>1432685</v>
      </c>
      <c r="J2274" s="3">
        <v>1146148</v>
      </c>
      <c r="K2274" s="3">
        <v>231649</v>
      </c>
      <c r="L2274" t="s">
        <v>15</v>
      </c>
      <c r="M2274">
        <v>4.9000000000000004</v>
      </c>
    </row>
    <row r="2275" spans="1:13" x14ac:dyDescent="0.25">
      <c r="A2275">
        <v>2274</v>
      </c>
      <c r="B2275" s="1">
        <v>43185</v>
      </c>
      <c r="C2275" s="1">
        <v>43484</v>
      </c>
      <c r="D2275" t="s">
        <v>20</v>
      </c>
      <c r="E2275" t="s">
        <v>28</v>
      </c>
      <c r="F2275" s="2">
        <v>107</v>
      </c>
      <c r="G2275" t="s">
        <v>12</v>
      </c>
      <c r="H2275" s="3">
        <v>38315.800000000003</v>
      </c>
      <c r="I2275" s="3">
        <v>1014605</v>
      </c>
      <c r="J2275" s="3">
        <v>811684</v>
      </c>
      <c r="K2275" s="3">
        <v>164605.20000000001</v>
      </c>
      <c r="L2275" t="s">
        <v>18</v>
      </c>
      <c r="M2275">
        <v>4.5</v>
      </c>
    </row>
    <row r="2276" spans="1:13" x14ac:dyDescent="0.25">
      <c r="A2276">
        <v>2275</v>
      </c>
      <c r="B2276" s="1">
        <v>43185</v>
      </c>
      <c r="C2276" s="1">
        <v>43460</v>
      </c>
      <c r="D2276" t="s">
        <v>23</v>
      </c>
      <c r="E2276" t="s">
        <v>13</v>
      </c>
      <c r="F2276" s="2">
        <v>110</v>
      </c>
      <c r="G2276" t="s">
        <v>11</v>
      </c>
      <c r="H2276" s="3">
        <v>17215.2</v>
      </c>
      <c r="I2276" s="3">
        <v>497615</v>
      </c>
      <c r="J2276" s="3">
        <v>398092</v>
      </c>
      <c r="K2276" s="3">
        <v>82307.8</v>
      </c>
      <c r="L2276" t="s">
        <v>16</v>
      </c>
      <c r="M2276">
        <v>4.2</v>
      </c>
    </row>
    <row r="2277" spans="1:13" x14ac:dyDescent="0.25">
      <c r="A2277">
        <v>2276</v>
      </c>
      <c r="B2277" s="1">
        <v>43185</v>
      </c>
      <c r="C2277" s="1">
        <v>43505</v>
      </c>
      <c r="D2277" t="s">
        <v>21</v>
      </c>
      <c r="E2277" t="s">
        <v>24</v>
      </c>
      <c r="F2277" s="2">
        <v>228</v>
      </c>
      <c r="G2277" t="s">
        <v>12</v>
      </c>
      <c r="H2277" s="3">
        <v>84593.600000000006</v>
      </c>
      <c r="I2277" s="3">
        <v>2181800</v>
      </c>
      <c r="J2277" s="3">
        <v>1745440</v>
      </c>
      <c r="K2277" s="3">
        <v>351766.4</v>
      </c>
      <c r="L2277" t="s">
        <v>16</v>
      </c>
      <c r="M2277">
        <v>5</v>
      </c>
    </row>
    <row r="2278" spans="1:13" x14ac:dyDescent="0.25">
      <c r="A2278">
        <v>2277</v>
      </c>
      <c r="B2278" s="1">
        <v>43185</v>
      </c>
      <c r="C2278" s="1">
        <v>43351</v>
      </c>
      <c r="D2278" t="s">
        <v>23</v>
      </c>
      <c r="E2278" t="s">
        <v>29</v>
      </c>
      <c r="F2278" s="2">
        <v>258</v>
      </c>
      <c r="G2278" t="s">
        <v>12</v>
      </c>
      <c r="H2278" s="3">
        <v>80317.679999999993</v>
      </c>
      <c r="I2278" s="3">
        <v>2070527</v>
      </c>
      <c r="J2278" s="3">
        <v>1656421.6</v>
      </c>
      <c r="K2278" s="3">
        <v>333787.71999999991</v>
      </c>
      <c r="L2278" t="s">
        <v>14</v>
      </c>
      <c r="M2278">
        <v>3.9</v>
      </c>
    </row>
    <row r="2279" spans="1:13" x14ac:dyDescent="0.25">
      <c r="A2279">
        <v>2278</v>
      </c>
      <c r="B2279" s="1">
        <v>43185</v>
      </c>
      <c r="C2279" s="1">
        <v>43495</v>
      </c>
      <c r="D2279" t="s">
        <v>21</v>
      </c>
      <c r="E2279" t="s">
        <v>25</v>
      </c>
      <c r="F2279" s="2">
        <v>290</v>
      </c>
      <c r="G2279" t="s">
        <v>12</v>
      </c>
      <c r="H2279" s="3">
        <v>96015.32</v>
      </c>
      <c r="I2279" s="3">
        <v>2464043</v>
      </c>
      <c r="J2279" s="3">
        <v>1971234.4</v>
      </c>
      <c r="K2279" s="3">
        <v>396793.28000000009</v>
      </c>
      <c r="L2279" t="s">
        <v>15</v>
      </c>
      <c r="M2279">
        <v>3.7</v>
      </c>
    </row>
    <row r="2280" spans="1:13" x14ac:dyDescent="0.25">
      <c r="A2280">
        <v>2279</v>
      </c>
      <c r="B2280" s="1">
        <v>43187</v>
      </c>
      <c r="C2280" s="1">
        <v>43448</v>
      </c>
      <c r="D2280" t="s">
        <v>23</v>
      </c>
      <c r="E2280" t="s">
        <v>26</v>
      </c>
      <c r="F2280" s="2">
        <v>62</v>
      </c>
      <c r="G2280" t="s">
        <v>11</v>
      </c>
      <c r="H2280" s="3">
        <v>12016.28</v>
      </c>
      <c r="I2280" s="3">
        <v>364967</v>
      </c>
      <c r="J2280" s="3">
        <v>291973.59999999998</v>
      </c>
      <c r="K2280" s="3">
        <v>60977.120000000024</v>
      </c>
      <c r="L2280" t="s">
        <v>16</v>
      </c>
      <c r="M2280">
        <v>4.0999999999999996</v>
      </c>
    </row>
    <row r="2281" spans="1:13" x14ac:dyDescent="0.25">
      <c r="A2281">
        <v>2280</v>
      </c>
      <c r="B2281" s="1">
        <v>43187</v>
      </c>
      <c r="C2281" s="1">
        <v>43493</v>
      </c>
      <c r="D2281" t="s">
        <v>21</v>
      </c>
      <c r="E2281" t="s">
        <v>25</v>
      </c>
      <c r="F2281" s="2">
        <v>284</v>
      </c>
      <c r="G2281" t="s">
        <v>12</v>
      </c>
      <c r="H2281" s="3">
        <v>56744.4</v>
      </c>
      <c r="I2281" s="3">
        <v>1478945</v>
      </c>
      <c r="J2281" s="3">
        <v>1183156</v>
      </c>
      <c r="K2281" s="3">
        <v>239044.6</v>
      </c>
      <c r="L2281" t="s">
        <v>14</v>
      </c>
      <c r="M2281">
        <v>3.6</v>
      </c>
    </row>
    <row r="2282" spans="1:13" x14ac:dyDescent="0.25">
      <c r="A2282">
        <v>2281</v>
      </c>
      <c r="B2282" s="1">
        <v>43187</v>
      </c>
      <c r="C2282" s="1">
        <v>43539</v>
      </c>
      <c r="D2282" t="s">
        <v>20</v>
      </c>
      <c r="E2282" t="s">
        <v>27</v>
      </c>
      <c r="F2282" s="2">
        <v>249</v>
      </c>
      <c r="G2282" t="s">
        <v>12</v>
      </c>
      <c r="H2282" s="3">
        <v>61389.440000000002</v>
      </c>
      <c r="I2282" s="3">
        <v>1594521</v>
      </c>
      <c r="J2282" s="3">
        <v>1275616.8</v>
      </c>
      <c r="K2282" s="3">
        <v>257514.75999999995</v>
      </c>
      <c r="L2282" t="s">
        <v>18</v>
      </c>
      <c r="M2282">
        <v>3.9</v>
      </c>
    </row>
    <row r="2283" spans="1:13" x14ac:dyDescent="0.25">
      <c r="A2283">
        <v>2282</v>
      </c>
      <c r="B2283" s="1">
        <v>43188</v>
      </c>
      <c r="C2283" s="1">
        <v>43513</v>
      </c>
      <c r="D2283" t="s">
        <v>20</v>
      </c>
      <c r="E2283" t="s">
        <v>26</v>
      </c>
      <c r="F2283" s="2">
        <v>70</v>
      </c>
      <c r="G2283" t="s">
        <v>11</v>
      </c>
      <c r="H2283" s="3">
        <v>14456.84</v>
      </c>
      <c r="I2283" s="3">
        <v>421881</v>
      </c>
      <c r="J2283" s="3">
        <v>337504.8</v>
      </c>
      <c r="K2283" s="3">
        <v>69919.360000000015</v>
      </c>
      <c r="L2283" t="s">
        <v>17</v>
      </c>
      <c r="M2283">
        <v>3.6</v>
      </c>
    </row>
    <row r="2284" spans="1:13" x14ac:dyDescent="0.25">
      <c r="A2284">
        <v>2283</v>
      </c>
      <c r="B2284" s="1">
        <v>43188</v>
      </c>
      <c r="C2284" s="1">
        <v>43347</v>
      </c>
      <c r="D2284" t="s">
        <v>23</v>
      </c>
      <c r="E2284" t="s">
        <v>27</v>
      </c>
      <c r="F2284" s="2">
        <v>37</v>
      </c>
      <c r="G2284" t="s">
        <v>11</v>
      </c>
      <c r="H2284" s="3">
        <v>8653.56</v>
      </c>
      <c r="I2284" s="3">
        <v>274499</v>
      </c>
      <c r="J2284" s="3">
        <v>219599.2</v>
      </c>
      <c r="K2284" s="3">
        <v>46246.239999999991</v>
      </c>
      <c r="L2284" t="s">
        <v>15</v>
      </c>
      <c r="M2284">
        <v>3.6</v>
      </c>
    </row>
    <row r="2285" spans="1:13" x14ac:dyDescent="0.25">
      <c r="A2285">
        <v>2284</v>
      </c>
      <c r="B2285" s="1">
        <v>43188</v>
      </c>
      <c r="C2285" s="1">
        <v>43363</v>
      </c>
      <c r="D2285" t="s">
        <v>21</v>
      </c>
      <c r="E2285" t="s">
        <v>27</v>
      </c>
      <c r="F2285" s="2">
        <v>67</v>
      </c>
      <c r="G2285" t="s">
        <v>11</v>
      </c>
      <c r="H2285" s="3">
        <v>16407.8</v>
      </c>
      <c r="I2285" s="3">
        <v>469855</v>
      </c>
      <c r="J2285" s="3">
        <v>375884</v>
      </c>
      <c r="K2285" s="3">
        <v>77563.199999999997</v>
      </c>
      <c r="L2285" t="s">
        <v>18</v>
      </c>
      <c r="M2285">
        <v>5</v>
      </c>
    </row>
    <row r="2286" spans="1:13" x14ac:dyDescent="0.25">
      <c r="A2286">
        <v>2285</v>
      </c>
      <c r="B2286" s="1">
        <v>43189</v>
      </c>
      <c r="C2286" s="1">
        <v>43340</v>
      </c>
      <c r="D2286" t="s">
        <v>23</v>
      </c>
      <c r="E2286" t="s">
        <v>13</v>
      </c>
      <c r="F2286" s="2">
        <v>198</v>
      </c>
      <c r="G2286" t="s">
        <v>12</v>
      </c>
      <c r="H2286" s="3">
        <v>33950.44</v>
      </c>
      <c r="I2286" s="3">
        <v>911821</v>
      </c>
      <c r="J2286" s="3">
        <v>729456.8</v>
      </c>
      <c r="K2286" s="3">
        <v>148413.75999999995</v>
      </c>
      <c r="L2286" t="s">
        <v>18</v>
      </c>
      <c r="M2286">
        <v>3.7</v>
      </c>
    </row>
    <row r="2287" spans="1:13" x14ac:dyDescent="0.25">
      <c r="A2287">
        <v>2286</v>
      </c>
      <c r="B2287" s="1">
        <v>43189</v>
      </c>
      <c r="C2287" s="1">
        <v>43380</v>
      </c>
      <c r="D2287" t="s">
        <v>22</v>
      </c>
      <c r="E2287" t="s">
        <v>29</v>
      </c>
      <c r="F2287" s="2">
        <v>103</v>
      </c>
      <c r="G2287" t="s">
        <v>12</v>
      </c>
      <c r="H2287" s="3">
        <v>30403.64</v>
      </c>
      <c r="I2287" s="3">
        <v>817001</v>
      </c>
      <c r="J2287" s="3">
        <v>653600.80000000005</v>
      </c>
      <c r="K2287" s="3">
        <v>132996.55999999994</v>
      </c>
      <c r="L2287" t="s">
        <v>16</v>
      </c>
      <c r="M2287">
        <v>4.5999999999999996</v>
      </c>
    </row>
    <row r="2288" spans="1:13" x14ac:dyDescent="0.25">
      <c r="A2288">
        <v>2287</v>
      </c>
      <c r="B2288" s="1">
        <v>43189</v>
      </c>
      <c r="C2288" s="1">
        <v>43419</v>
      </c>
      <c r="D2288" t="s">
        <v>22</v>
      </c>
      <c r="E2288" t="s">
        <v>13</v>
      </c>
      <c r="F2288" s="2">
        <v>225</v>
      </c>
      <c r="G2288" t="s">
        <v>12</v>
      </c>
      <c r="H2288" s="3">
        <v>66797.2</v>
      </c>
      <c r="I2288" s="3">
        <v>1727215</v>
      </c>
      <c r="J2288" s="3">
        <v>1381772</v>
      </c>
      <c r="K2288" s="3">
        <v>278645.8</v>
      </c>
      <c r="L2288" t="s">
        <v>14</v>
      </c>
      <c r="M2288">
        <v>4.8</v>
      </c>
    </row>
    <row r="2289" spans="1:13" x14ac:dyDescent="0.25">
      <c r="A2289">
        <v>2288</v>
      </c>
      <c r="B2289" s="1">
        <v>43189</v>
      </c>
      <c r="C2289" s="1">
        <v>43335</v>
      </c>
      <c r="D2289" t="s">
        <v>21</v>
      </c>
      <c r="E2289" t="s">
        <v>24</v>
      </c>
      <c r="F2289" s="2">
        <v>127</v>
      </c>
      <c r="G2289" t="s">
        <v>12</v>
      </c>
      <c r="H2289" s="3">
        <v>30418.92</v>
      </c>
      <c r="I2289" s="3">
        <v>816633</v>
      </c>
      <c r="J2289" s="3">
        <v>653306.4</v>
      </c>
      <c r="K2289" s="3">
        <v>132907.68</v>
      </c>
      <c r="L2289" t="s">
        <v>16</v>
      </c>
      <c r="M2289">
        <v>3.6</v>
      </c>
    </row>
    <row r="2290" spans="1:13" x14ac:dyDescent="0.25">
      <c r="A2290">
        <v>2289</v>
      </c>
      <c r="B2290" s="1">
        <v>43190</v>
      </c>
      <c r="C2290" s="1">
        <v>43350</v>
      </c>
      <c r="D2290" t="s">
        <v>22</v>
      </c>
      <c r="E2290" t="s">
        <v>24</v>
      </c>
      <c r="F2290" s="2">
        <v>108</v>
      </c>
      <c r="G2290" t="s">
        <v>12</v>
      </c>
      <c r="H2290" s="3">
        <v>34592.32</v>
      </c>
      <c r="I2290" s="3">
        <v>919268</v>
      </c>
      <c r="J2290" s="3">
        <v>735414.4</v>
      </c>
      <c r="K2290" s="3">
        <v>149261.27999999997</v>
      </c>
      <c r="L2290" t="s">
        <v>18</v>
      </c>
      <c r="M2290">
        <v>4.2</v>
      </c>
    </row>
    <row r="2291" spans="1:13" x14ac:dyDescent="0.25">
      <c r="A2291">
        <v>2290</v>
      </c>
      <c r="B2291" s="1">
        <v>43190</v>
      </c>
      <c r="C2291" s="1">
        <v>43537</v>
      </c>
      <c r="D2291" t="s">
        <v>23</v>
      </c>
      <c r="E2291" t="s">
        <v>13</v>
      </c>
      <c r="F2291" s="2">
        <v>93</v>
      </c>
      <c r="G2291" t="s">
        <v>12</v>
      </c>
      <c r="H2291" s="3">
        <v>37360.639999999999</v>
      </c>
      <c r="I2291" s="3">
        <v>987376</v>
      </c>
      <c r="J2291" s="3">
        <v>789900.80000000005</v>
      </c>
      <c r="K2291" s="3">
        <v>160114.55999999994</v>
      </c>
      <c r="L2291" t="s">
        <v>19</v>
      </c>
      <c r="M2291">
        <v>3.6</v>
      </c>
    </row>
    <row r="2292" spans="1:13" x14ac:dyDescent="0.25">
      <c r="A2292">
        <v>2291</v>
      </c>
      <c r="B2292" s="1">
        <v>43190</v>
      </c>
      <c r="C2292" s="1">
        <v>43465</v>
      </c>
      <c r="D2292" t="s">
        <v>22</v>
      </c>
      <c r="E2292" t="s">
        <v>24</v>
      </c>
      <c r="F2292" s="2">
        <v>277</v>
      </c>
      <c r="G2292" t="s">
        <v>12</v>
      </c>
      <c r="H2292" s="3">
        <v>48374.48</v>
      </c>
      <c r="I2292" s="3">
        <v>1264422</v>
      </c>
      <c r="J2292" s="3">
        <v>1011537.6</v>
      </c>
      <c r="K2292" s="3">
        <v>204509.92</v>
      </c>
      <c r="L2292" t="s">
        <v>16</v>
      </c>
      <c r="M2292">
        <v>3.7</v>
      </c>
    </row>
    <row r="2293" spans="1:13" x14ac:dyDescent="0.25">
      <c r="A2293">
        <v>2292</v>
      </c>
      <c r="B2293" s="1">
        <v>43190</v>
      </c>
      <c r="C2293" s="1">
        <v>43538</v>
      </c>
      <c r="D2293" t="s">
        <v>21</v>
      </c>
      <c r="E2293" t="s">
        <v>25</v>
      </c>
      <c r="F2293" s="2">
        <v>292</v>
      </c>
      <c r="G2293" t="s">
        <v>12</v>
      </c>
      <c r="H2293" s="3">
        <v>58783.199999999997</v>
      </c>
      <c r="I2293" s="3">
        <v>1527415</v>
      </c>
      <c r="J2293" s="3">
        <v>1221932</v>
      </c>
      <c r="K2293" s="3">
        <v>246699.8</v>
      </c>
      <c r="L2293" t="s">
        <v>16</v>
      </c>
      <c r="M2293">
        <v>3.9</v>
      </c>
    </row>
    <row r="2294" spans="1:13" x14ac:dyDescent="0.25">
      <c r="A2294">
        <v>2293</v>
      </c>
      <c r="B2294" s="1">
        <v>43191</v>
      </c>
      <c r="C2294" s="1">
        <v>43416</v>
      </c>
      <c r="D2294" t="s">
        <v>20</v>
      </c>
      <c r="E2294" t="s">
        <v>29</v>
      </c>
      <c r="F2294" s="2">
        <v>99</v>
      </c>
      <c r="G2294" t="s">
        <v>12</v>
      </c>
      <c r="H2294" s="3">
        <v>32450.52</v>
      </c>
      <c r="I2294" s="3">
        <v>864623</v>
      </c>
      <c r="J2294" s="3">
        <v>691698.4</v>
      </c>
      <c r="K2294" s="3">
        <v>140474.07999999999</v>
      </c>
      <c r="L2294" t="s">
        <v>14</v>
      </c>
      <c r="M2294">
        <v>4.5</v>
      </c>
    </row>
    <row r="2295" spans="1:13" x14ac:dyDescent="0.25">
      <c r="A2295">
        <v>2294</v>
      </c>
      <c r="B2295" s="1">
        <v>43191</v>
      </c>
      <c r="C2295" s="1">
        <v>43442</v>
      </c>
      <c r="D2295" t="s">
        <v>21</v>
      </c>
      <c r="E2295" t="s">
        <v>26</v>
      </c>
      <c r="F2295" s="2">
        <v>105</v>
      </c>
      <c r="G2295" t="s">
        <v>11</v>
      </c>
      <c r="H2295" s="3">
        <v>18523.8</v>
      </c>
      <c r="I2295" s="3">
        <v>522005</v>
      </c>
      <c r="J2295" s="3">
        <v>417604</v>
      </c>
      <c r="K2295" s="3">
        <v>85877.2</v>
      </c>
      <c r="L2295" t="s">
        <v>19</v>
      </c>
      <c r="M2295">
        <v>4.4000000000000004</v>
      </c>
    </row>
    <row r="2296" spans="1:13" x14ac:dyDescent="0.25">
      <c r="A2296">
        <v>2295</v>
      </c>
      <c r="B2296" s="1">
        <v>43191</v>
      </c>
      <c r="C2296" s="1">
        <v>43412</v>
      </c>
      <c r="D2296" t="s">
        <v>21</v>
      </c>
      <c r="E2296" t="s">
        <v>27</v>
      </c>
      <c r="F2296" s="2">
        <v>150</v>
      </c>
      <c r="G2296" t="s">
        <v>12</v>
      </c>
      <c r="H2296" s="3">
        <v>56272.6</v>
      </c>
      <c r="I2296" s="3">
        <v>1462175</v>
      </c>
      <c r="J2296" s="3">
        <v>1169740</v>
      </c>
      <c r="K2296" s="3">
        <v>236162.4</v>
      </c>
      <c r="L2296" t="s">
        <v>17</v>
      </c>
      <c r="M2296">
        <v>5</v>
      </c>
    </row>
    <row r="2297" spans="1:13" x14ac:dyDescent="0.25">
      <c r="A2297">
        <v>2296</v>
      </c>
      <c r="B2297" s="1">
        <v>43191</v>
      </c>
      <c r="C2297" s="1">
        <v>43429</v>
      </c>
      <c r="D2297" t="s">
        <v>22</v>
      </c>
      <c r="E2297" t="s">
        <v>24</v>
      </c>
      <c r="F2297" s="2">
        <v>111</v>
      </c>
      <c r="G2297" t="s">
        <v>11</v>
      </c>
      <c r="H2297" s="3">
        <v>28690.6</v>
      </c>
      <c r="I2297" s="3">
        <v>783425</v>
      </c>
      <c r="J2297" s="3">
        <v>626740</v>
      </c>
      <c r="K2297" s="3">
        <v>127994.4</v>
      </c>
      <c r="L2297" t="s">
        <v>17</v>
      </c>
      <c r="M2297">
        <v>4.5999999999999996</v>
      </c>
    </row>
    <row r="2298" spans="1:13" x14ac:dyDescent="0.25">
      <c r="A2298">
        <v>2297</v>
      </c>
      <c r="B2298" s="1">
        <v>43191</v>
      </c>
      <c r="C2298" s="1">
        <v>43365</v>
      </c>
      <c r="D2298" t="s">
        <v>20</v>
      </c>
      <c r="E2298" t="s">
        <v>29</v>
      </c>
      <c r="F2298" s="2">
        <v>160</v>
      </c>
      <c r="G2298" t="s">
        <v>12</v>
      </c>
      <c r="H2298" s="3">
        <v>29947.68</v>
      </c>
      <c r="I2298" s="3">
        <v>807777</v>
      </c>
      <c r="J2298" s="3">
        <v>646221.6</v>
      </c>
      <c r="K2298" s="3">
        <v>131607.72000000003</v>
      </c>
      <c r="L2298" t="s">
        <v>16</v>
      </c>
      <c r="M2298">
        <v>4.5999999999999996</v>
      </c>
    </row>
    <row r="2299" spans="1:13" x14ac:dyDescent="0.25">
      <c r="A2299">
        <v>2298</v>
      </c>
      <c r="B2299" s="1">
        <v>43191</v>
      </c>
      <c r="C2299" s="1">
        <v>43486</v>
      </c>
      <c r="D2299" t="s">
        <v>23</v>
      </c>
      <c r="E2299" t="s">
        <v>13</v>
      </c>
      <c r="F2299" s="2">
        <v>113</v>
      </c>
      <c r="G2299" t="s">
        <v>11</v>
      </c>
      <c r="H2299" s="3">
        <v>28247.360000000001</v>
      </c>
      <c r="I2299" s="3">
        <v>769619</v>
      </c>
      <c r="J2299" s="3">
        <v>615695.19999999995</v>
      </c>
      <c r="K2299" s="3">
        <v>125676.44000000005</v>
      </c>
      <c r="L2299" t="s">
        <v>17</v>
      </c>
      <c r="M2299">
        <v>4.4000000000000004</v>
      </c>
    </row>
    <row r="2300" spans="1:13" x14ac:dyDescent="0.25">
      <c r="A2300">
        <v>2299</v>
      </c>
      <c r="B2300" s="1">
        <v>43192</v>
      </c>
      <c r="C2300" s="1">
        <v>43460</v>
      </c>
      <c r="D2300" t="s">
        <v>23</v>
      </c>
      <c r="E2300" t="s">
        <v>29</v>
      </c>
      <c r="F2300" s="2">
        <v>37</v>
      </c>
      <c r="G2300" t="s">
        <v>11</v>
      </c>
      <c r="H2300" s="3">
        <v>15022.08</v>
      </c>
      <c r="I2300" s="3">
        <v>440212</v>
      </c>
      <c r="J2300" s="3">
        <v>352169.6</v>
      </c>
      <c r="K2300" s="3">
        <v>73020.320000000022</v>
      </c>
      <c r="L2300" t="s">
        <v>17</v>
      </c>
      <c r="M2300">
        <v>5</v>
      </c>
    </row>
    <row r="2301" spans="1:13" x14ac:dyDescent="0.25">
      <c r="A2301">
        <v>2300</v>
      </c>
      <c r="B2301" s="1">
        <v>43192</v>
      </c>
      <c r="C2301" s="1">
        <v>43406</v>
      </c>
      <c r="D2301" t="s">
        <v>21</v>
      </c>
      <c r="E2301" t="s">
        <v>27</v>
      </c>
      <c r="F2301" s="2">
        <v>124</v>
      </c>
      <c r="G2301" t="s">
        <v>12</v>
      </c>
      <c r="H2301" s="3">
        <v>47723.48</v>
      </c>
      <c r="I2301" s="3">
        <v>1249797</v>
      </c>
      <c r="J2301" s="3">
        <v>999837.6</v>
      </c>
      <c r="K2301" s="3">
        <v>202235.92</v>
      </c>
      <c r="L2301" t="s">
        <v>18</v>
      </c>
      <c r="M2301">
        <v>4.9000000000000004</v>
      </c>
    </row>
    <row r="2302" spans="1:13" x14ac:dyDescent="0.25">
      <c r="A2302">
        <v>2301</v>
      </c>
      <c r="B2302" s="1">
        <v>43192</v>
      </c>
      <c r="C2302" s="1">
        <v>43395</v>
      </c>
      <c r="D2302" t="s">
        <v>21</v>
      </c>
      <c r="E2302" t="s">
        <v>29</v>
      </c>
      <c r="F2302" s="2">
        <v>184</v>
      </c>
      <c r="G2302" t="s">
        <v>12</v>
      </c>
      <c r="H2302" s="3">
        <v>69759.8</v>
      </c>
      <c r="I2302" s="3">
        <v>1797405</v>
      </c>
      <c r="J2302" s="3">
        <v>1437924</v>
      </c>
      <c r="K2302" s="3">
        <v>289721.2</v>
      </c>
      <c r="L2302" t="s">
        <v>17</v>
      </c>
      <c r="M2302">
        <v>4.5999999999999996</v>
      </c>
    </row>
    <row r="2303" spans="1:13" x14ac:dyDescent="0.25">
      <c r="A2303">
        <v>2302</v>
      </c>
      <c r="B2303" s="1">
        <v>43193</v>
      </c>
      <c r="C2303" s="1">
        <v>43321</v>
      </c>
      <c r="D2303" t="s">
        <v>21</v>
      </c>
      <c r="E2303" t="s">
        <v>24</v>
      </c>
      <c r="F2303" s="2">
        <v>117</v>
      </c>
      <c r="G2303" t="s">
        <v>12</v>
      </c>
      <c r="H2303" s="3">
        <v>38483.519999999997</v>
      </c>
      <c r="I2303" s="3">
        <v>1015073</v>
      </c>
      <c r="J2303" s="3">
        <v>812058.4</v>
      </c>
      <c r="K2303" s="3">
        <v>164531.07999999999</v>
      </c>
      <c r="L2303" t="s">
        <v>17</v>
      </c>
      <c r="M2303">
        <v>4.5999999999999996</v>
      </c>
    </row>
    <row r="2304" spans="1:13" x14ac:dyDescent="0.25">
      <c r="A2304">
        <v>2303</v>
      </c>
      <c r="B2304" s="1">
        <v>43193</v>
      </c>
      <c r="C2304" s="1">
        <v>43346</v>
      </c>
      <c r="D2304" t="s">
        <v>23</v>
      </c>
      <c r="E2304" t="s">
        <v>26</v>
      </c>
      <c r="F2304" s="2">
        <v>76</v>
      </c>
      <c r="G2304" t="s">
        <v>11</v>
      </c>
      <c r="H2304" s="3">
        <v>22912.400000000001</v>
      </c>
      <c r="I2304" s="3">
        <v>632145</v>
      </c>
      <c r="J2304" s="3">
        <v>505716</v>
      </c>
      <c r="K2304" s="3">
        <v>103516.6</v>
      </c>
      <c r="L2304" t="s">
        <v>15</v>
      </c>
      <c r="M2304">
        <v>4.8</v>
      </c>
    </row>
    <row r="2305" spans="1:13" x14ac:dyDescent="0.25">
      <c r="A2305">
        <v>2304</v>
      </c>
      <c r="B2305" s="1">
        <v>43194</v>
      </c>
      <c r="C2305" s="1">
        <v>43399</v>
      </c>
      <c r="D2305" t="s">
        <v>23</v>
      </c>
      <c r="E2305" t="s">
        <v>24</v>
      </c>
      <c r="F2305" s="2">
        <v>178</v>
      </c>
      <c r="G2305" t="s">
        <v>12</v>
      </c>
      <c r="H2305" s="3">
        <v>29967.8</v>
      </c>
      <c r="I2305" s="3">
        <v>815705</v>
      </c>
      <c r="J2305" s="3">
        <v>652564</v>
      </c>
      <c r="K2305" s="3">
        <v>133173.20000000001</v>
      </c>
      <c r="L2305" t="s">
        <v>18</v>
      </c>
      <c r="M2305">
        <v>3.6</v>
      </c>
    </row>
    <row r="2306" spans="1:13" x14ac:dyDescent="0.25">
      <c r="A2306">
        <v>2305</v>
      </c>
      <c r="B2306" s="1">
        <v>43194</v>
      </c>
      <c r="C2306" s="1">
        <v>43555</v>
      </c>
      <c r="D2306" t="s">
        <v>21</v>
      </c>
      <c r="E2306" t="s">
        <v>13</v>
      </c>
      <c r="F2306" s="2">
        <v>176</v>
      </c>
      <c r="G2306" t="s">
        <v>12</v>
      </c>
      <c r="H2306" s="3">
        <v>41786.800000000003</v>
      </c>
      <c r="I2306" s="3">
        <v>1108205</v>
      </c>
      <c r="J2306" s="3">
        <v>886564</v>
      </c>
      <c r="K2306" s="3">
        <v>179854.2</v>
      </c>
      <c r="L2306" t="s">
        <v>14</v>
      </c>
      <c r="M2306">
        <v>5</v>
      </c>
    </row>
    <row r="2307" spans="1:13" x14ac:dyDescent="0.25">
      <c r="A2307">
        <v>2306</v>
      </c>
      <c r="B2307" s="1">
        <v>43194</v>
      </c>
      <c r="C2307" s="1">
        <v>43358</v>
      </c>
      <c r="D2307" t="s">
        <v>20</v>
      </c>
      <c r="E2307" t="s">
        <v>13</v>
      </c>
      <c r="F2307" s="2">
        <v>145</v>
      </c>
      <c r="G2307" t="s">
        <v>12</v>
      </c>
      <c r="H2307" s="3">
        <v>49626</v>
      </c>
      <c r="I2307" s="3">
        <v>1304435</v>
      </c>
      <c r="J2307" s="3">
        <v>1043548</v>
      </c>
      <c r="K2307" s="3">
        <v>211261</v>
      </c>
      <c r="L2307" t="s">
        <v>17</v>
      </c>
      <c r="M2307">
        <v>3.9</v>
      </c>
    </row>
    <row r="2308" spans="1:13" x14ac:dyDescent="0.25">
      <c r="A2308">
        <v>2307</v>
      </c>
      <c r="B2308" s="1">
        <v>43195</v>
      </c>
      <c r="C2308" s="1">
        <v>43351</v>
      </c>
      <c r="D2308" t="s">
        <v>20</v>
      </c>
      <c r="E2308" t="s">
        <v>28</v>
      </c>
      <c r="F2308" s="2">
        <v>149</v>
      </c>
      <c r="G2308" t="s">
        <v>12</v>
      </c>
      <c r="H2308" s="3">
        <v>55417.16</v>
      </c>
      <c r="I2308" s="3">
        <v>1441889</v>
      </c>
      <c r="J2308" s="3">
        <v>1153511.2</v>
      </c>
      <c r="K2308" s="3">
        <v>232960.64000000004</v>
      </c>
      <c r="L2308" t="s">
        <v>18</v>
      </c>
      <c r="M2308">
        <v>3.6</v>
      </c>
    </row>
    <row r="2309" spans="1:13" x14ac:dyDescent="0.25">
      <c r="A2309">
        <v>2308</v>
      </c>
      <c r="B2309" s="1">
        <v>43195</v>
      </c>
      <c r="C2309" s="1">
        <v>43341</v>
      </c>
      <c r="D2309" t="s">
        <v>23</v>
      </c>
      <c r="E2309" t="s">
        <v>13</v>
      </c>
      <c r="F2309" s="2">
        <v>258</v>
      </c>
      <c r="G2309" t="s">
        <v>12</v>
      </c>
      <c r="H2309" s="3">
        <v>103077.64</v>
      </c>
      <c r="I2309" s="3">
        <v>2635001</v>
      </c>
      <c r="J2309" s="3">
        <v>2108000.7999999998</v>
      </c>
      <c r="K2309" s="3">
        <v>423922.56000000017</v>
      </c>
      <c r="L2309" t="s">
        <v>14</v>
      </c>
      <c r="M2309">
        <v>4.3</v>
      </c>
    </row>
    <row r="2310" spans="1:13" x14ac:dyDescent="0.25">
      <c r="A2310">
        <v>2309</v>
      </c>
      <c r="B2310" s="1">
        <v>43195</v>
      </c>
      <c r="C2310" s="1">
        <v>43472</v>
      </c>
      <c r="D2310" t="s">
        <v>20</v>
      </c>
      <c r="E2310" t="s">
        <v>28</v>
      </c>
      <c r="F2310" s="2">
        <v>291</v>
      </c>
      <c r="G2310" t="s">
        <v>12</v>
      </c>
      <c r="H2310" s="3">
        <v>88532.6</v>
      </c>
      <c r="I2310" s="3">
        <v>2272975</v>
      </c>
      <c r="J2310" s="3">
        <v>1818380</v>
      </c>
      <c r="K2310" s="3">
        <v>366062.4</v>
      </c>
      <c r="L2310" t="s">
        <v>16</v>
      </c>
      <c r="M2310">
        <v>3.8</v>
      </c>
    </row>
    <row r="2311" spans="1:13" x14ac:dyDescent="0.25">
      <c r="A2311">
        <v>2310</v>
      </c>
      <c r="B2311" s="1">
        <v>43196</v>
      </c>
      <c r="C2311" s="1">
        <v>43429</v>
      </c>
      <c r="D2311" t="s">
        <v>23</v>
      </c>
      <c r="E2311" t="s">
        <v>28</v>
      </c>
      <c r="F2311" s="2">
        <v>76</v>
      </c>
      <c r="G2311" t="s">
        <v>11</v>
      </c>
      <c r="H2311" s="3">
        <v>22837.08</v>
      </c>
      <c r="I2311" s="3">
        <v>629837</v>
      </c>
      <c r="J2311" s="3">
        <v>503869.6</v>
      </c>
      <c r="K2311" s="3">
        <v>103130.32000000002</v>
      </c>
      <c r="L2311" t="s">
        <v>16</v>
      </c>
      <c r="M2311">
        <v>3.9</v>
      </c>
    </row>
    <row r="2312" spans="1:13" x14ac:dyDescent="0.25">
      <c r="A2312">
        <v>2311</v>
      </c>
      <c r="B2312" s="1">
        <v>43196</v>
      </c>
      <c r="C2312" s="1">
        <v>43406</v>
      </c>
      <c r="D2312" t="s">
        <v>20</v>
      </c>
      <c r="E2312" t="s">
        <v>27</v>
      </c>
      <c r="F2312" s="2">
        <v>74</v>
      </c>
      <c r="G2312" t="s">
        <v>12</v>
      </c>
      <c r="H2312" s="3">
        <v>29786</v>
      </c>
      <c r="I2312" s="3">
        <v>807285</v>
      </c>
      <c r="J2312" s="3">
        <v>645828</v>
      </c>
      <c r="K2312" s="3">
        <v>131671</v>
      </c>
      <c r="L2312" t="s">
        <v>15</v>
      </c>
      <c r="M2312">
        <v>4</v>
      </c>
    </row>
    <row r="2313" spans="1:13" x14ac:dyDescent="0.25">
      <c r="A2313">
        <v>2312</v>
      </c>
      <c r="B2313" s="1">
        <v>43197</v>
      </c>
      <c r="C2313" s="1">
        <v>43362</v>
      </c>
      <c r="D2313" t="s">
        <v>22</v>
      </c>
      <c r="E2313" t="s">
        <v>26</v>
      </c>
      <c r="F2313" s="2">
        <v>257</v>
      </c>
      <c r="G2313" t="s">
        <v>12</v>
      </c>
      <c r="H2313" s="3">
        <v>46924.08</v>
      </c>
      <c r="I2313" s="3">
        <v>1225862</v>
      </c>
      <c r="J2313" s="3">
        <v>980689.6</v>
      </c>
      <c r="K2313" s="3">
        <v>198248.32000000001</v>
      </c>
      <c r="L2313" t="s">
        <v>17</v>
      </c>
      <c r="M2313">
        <v>3.9</v>
      </c>
    </row>
    <row r="2314" spans="1:13" x14ac:dyDescent="0.25">
      <c r="A2314">
        <v>2313</v>
      </c>
      <c r="B2314" s="1">
        <v>43197</v>
      </c>
      <c r="C2314" s="1">
        <v>43527</v>
      </c>
      <c r="D2314" t="s">
        <v>20</v>
      </c>
      <c r="E2314" t="s">
        <v>27</v>
      </c>
      <c r="F2314" s="2">
        <v>75</v>
      </c>
      <c r="G2314" t="s">
        <v>11</v>
      </c>
      <c r="H2314" s="3">
        <v>15657.4</v>
      </c>
      <c r="I2314" s="3">
        <v>455095</v>
      </c>
      <c r="J2314" s="3">
        <v>364076</v>
      </c>
      <c r="K2314" s="3">
        <v>75361.600000000006</v>
      </c>
      <c r="L2314" t="s">
        <v>16</v>
      </c>
      <c r="M2314">
        <v>4.9000000000000004</v>
      </c>
    </row>
    <row r="2315" spans="1:13" x14ac:dyDescent="0.25">
      <c r="A2315">
        <v>2314</v>
      </c>
      <c r="B2315" s="1">
        <v>43197</v>
      </c>
      <c r="C2315" s="1">
        <v>43361</v>
      </c>
      <c r="D2315" t="s">
        <v>22</v>
      </c>
      <c r="E2315" t="s">
        <v>26</v>
      </c>
      <c r="F2315" s="2">
        <v>229</v>
      </c>
      <c r="G2315" t="s">
        <v>12</v>
      </c>
      <c r="H2315" s="3">
        <v>57973.440000000002</v>
      </c>
      <c r="I2315" s="3">
        <v>1511621</v>
      </c>
      <c r="J2315" s="3">
        <v>1209296.8</v>
      </c>
      <c r="K2315" s="3">
        <v>244350.75999999995</v>
      </c>
      <c r="L2315" t="s">
        <v>14</v>
      </c>
      <c r="M2315">
        <v>3.9</v>
      </c>
    </row>
    <row r="2316" spans="1:13" x14ac:dyDescent="0.25">
      <c r="A2316">
        <v>2315</v>
      </c>
      <c r="B2316" s="1">
        <v>43197</v>
      </c>
      <c r="C2316" s="1">
        <v>43412</v>
      </c>
      <c r="D2316" t="s">
        <v>23</v>
      </c>
      <c r="E2316" t="s">
        <v>26</v>
      </c>
      <c r="F2316" s="2">
        <v>79</v>
      </c>
      <c r="G2316" t="s">
        <v>11</v>
      </c>
      <c r="H2316" s="3">
        <v>15893.88</v>
      </c>
      <c r="I2316" s="3">
        <v>448757</v>
      </c>
      <c r="J2316" s="3">
        <v>359005.6</v>
      </c>
      <c r="K2316" s="3">
        <v>73857.520000000019</v>
      </c>
      <c r="L2316" t="s">
        <v>19</v>
      </c>
      <c r="M2316">
        <v>4.0999999999999996</v>
      </c>
    </row>
    <row r="2317" spans="1:13" x14ac:dyDescent="0.25">
      <c r="A2317">
        <v>2316</v>
      </c>
      <c r="B2317" s="1">
        <v>43197</v>
      </c>
      <c r="C2317" s="1">
        <v>43492</v>
      </c>
      <c r="D2317" t="s">
        <v>20</v>
      </c>
      <c r="E2317" t="s">
        <v>29</v>
      </c>
      <c r="F2317" s="2">
        <v>178</v>
      </c>
      <c r="G2317" t="s">
        <v>12</v>
      </c>
      <c r="H2317" s="3">
        <v>70902.399999999994</v>
      </c>
      <c r="I2317" s="3">
        <v>1825670</v>
      </c>
      <c r="J2317" s="3">
        <v>1460536</v>
      </c>
      <c r="K2317" s="3">
        <v>294231.59999999998</v>
      </c>
      <c r="L2317" t="s">
        <v>14</v>
      </c>
      <c r="M2317">
        <v>3.6</v>
      </c>
    </row>
    <row r="2318" spans="1:13" x14ac:dyDescent="0.25">
      <c r="A2318">
        <v>2317</v>
      </c>
      <c r="B2318" s="1">
        <v>43198</v>
      </c>
      <c r="C2318" s="1">
        <v>43536</v>
      </c>
      <c r="D2318" t="s">
        <v>21</v>
      </c>
      <c r="E2318" t="s">
        <v>24</v>
      </c>
      <c r="F2318" s="2">
        <v>144</v>
      </c>
      <c r="G2318" t="s">
        <v>11</v>
      </c>
      <c r="H2318" s="3">
        <v>28761.4</v>
      </c>
      <c r="I2318" s="3">
        <v>774120</v>
      </c>
      <c r="J2318" s="3">
        <v>619296</v>
      </c>
      <c r="K2318" s="3">
        <v>126062.6</v>
      </c>
      <c r="L2318" t="s">
        <v>14</v>
      </c>
      <c r="M2318">
        <v>4.5999999999999996</v>
      </c>
    </row>
    <row r="2319" spans="1:13" x14ac:dyDescent="0.25">
      <c r="A2319">
        <v>2318</v>
      </c>
      <c r="B2319" s="1">
        <v>43198</v>
      </c>
      <c r="C2319" s="1">
        <v>43344</v>
      </c>
      <c r="D2319" t="s">
        <v>20</v>
      </c>
      <c r="E2319" t="s">
        <v>28</v>
      </c>
      <c r="F2319" s="2">
        <v>174</v>
      </c>
      <c r="G2319" t="s">
        <v>12</v>
      </c>
      <c r="H2319" s="3">
        <v>31399.200000000001</v>
      </c>
      <c r="I2319" s="3">
        <v>845565</v>
      </c>
      <c r="J2319" s="3">
        <v>676452</v>
      </c>
      <c r="K2319" s="3">
        <v>137713.79999999999</v>
      </c>
      <c r="L2319" t="s">
        <v>17</v>
      </c>
      <c r="M2319">
        <v>4.5</v>
      </c>
    </row>
    <row r="2320" spans="1:13" x14ac:dyDescent="0.25">
      <c r="A2320">
        <v>2319</v>
      </c>
      <c r="B2320" s="1">
        <v>43199</v>
      </c>
      <c r="C2320" s="1">
        <v>43470</v>
      </c>
      <c r="D2320" t="s">
        <v>22</v>
      </c>
      <c r="E2320" t="s">
        <v>26</v>
      </c>
      <c r="F2320" s="2">
        <v>40</v>
      </c>
      <c r="G2320" t="s">
        <v>11</v>
      </c>
      <c r="H2320" s="3">
        <v>11690.48</v>
      </c>
      <c r="I2320" s="3">
        <v>350022</v>
      </c>
      <c r="J2320" s="3">
        <v>280017.59999999998</v>
      </c>
      <c r="K2320" s="3">
        <v>58313.920000000027</v>
      </c>
      <c r="L2320" t="s">
        <v>16</v>
      </c>
      <c r="M2320">
        <v>4.5999999999999996</v>
      </c>
    </row>
    <row r="2321" spans="1:13" x14ac:dyDescent="0.25">
      <c r="A2321">
        <v>2320</v>
      </c>
      <c r="B2321" s="1">
        <v>43199</v>
      </c>
      <c r="C2321" s="1">
        <v>43492</v>
      </c>
      <c r="D2321" t="s">
        <v>20</v>
      </c>
      <c r="E2321" t="s">
        <v>24</v>
      </c>
      <c r="F2321" s="2">
        <v>106</v>
      </c>
      <c r="G2321" t="s">
        <v>11</v>
      </c>
      <c r="H2321" s="3">
        <v>27172.76</v>
      </c>
      <c r="I2321" s="3">
        <v>741379</v>
      </c>
      <c r="J2321" s="3">
        <v>593103.19999999995</v>
      </c>
      <c r="K2321" s="3">
        <v>121103.04000000005</v>
      </c>
      <c r="L2321" t="s">
        <v>14</v>
      </c>
      <c r="M2321">
        <v>3.6</v>
      </c>
    </row>
    <row r="2322" spans="1:13" x14ac:dyDescent="0.25">
      <c r="A2322">
        <v>2321</v>
      </c>
      <c r="B2322" s="1">
        <v>43199</v>
      </c>
      <c r="C2322" s="1">
        <v>43341</v>
      </c>
      <c r="D2322" t="s">
        <v>23</v>
      </c>
      <c r="E2322" t="s">
        <v>26</v>
      </c>
      <c r="F2322" s="2">
        <v>52</v>
      </c>
      <c r="G2322" t="s">
        <v>11</v>
      </c>
      <c r="H2322" s="3">
        <v>15553.76</v>
      </c>
      <c r="I2322" s="3">
        <v>443529</v>
      </c>
      <c r="J2322" s="3">
        <v>354823.2</v>
      </c>
      <c r="K2322" s="3">
        <v>73152.039999999994</v>
      </c>
      <c r="L2322" t="s">
        <v>17</v>
      </c>
      <c r="M2322">
        <v>5</v>
      </c>
    </row>
    <row r="2323" spans="1:13" x14ac:dyDescent="0.25">
      <c r="A2323">
        <v>2322</v>
      </c>
      <c r="B2323" s="1">
        <v>43199</v>
      </c>
      <c r="C2323" s="1">
        <v>43552</v>
      </c>
      <c r="D2323" t="s">
        <v>22</v>
      </c>
      <c r="E2323" t="s">
        <v>26</v>
      </c>
      <c r="F2323" s="2">
        <v>40</v>
      </c>
      <c r="G2323" t="s">
        <v>11</v>
      </c>
      <c r="H2323" s="3">
        <v>15026.4</v>
      </c>
      <c r="I2323" s="3">
        <v>439370</v>
      </c>
      <c r="J2323" s="3">
        <v>351496</v>
      </c>
      <c r="K2323" s="3">
        <v>72847.600000000006</v>
      </c>
      <c r="L2323" t="s">
        <v>16</v>
      </c>
      <c r="M2323">
        <v>4.7</v>
      </c>
    </row>
    <row r="2324" spans="1:13" x14ac:dyDescent="0.25">
      <c r="A2324">
        <v>2323</v>
      </c>
      <c r="B2324" s="1">
        <v>43199</v>
      </c>
      <c r="C2324" s="1">
        <v>43494</v>
      </c>
      <c r="D2324" t="s">
        <v>23</v>
      </c>
      <c r="E2324" t="s">
        <v>26</v>
      </c>
      <c r="F2324" s="2">
        <v>137</v>
      </c>
      <c r="G2324" t="s">
        <v>12</v>
      </c>
      <c r="H2324" s="3">
        <v>41119.120000000003</v>
      </c>
      <c r="I2324" s="3">
        <v>1095113</v>
      </c>
      <c r="J2324" s="3">
        <v>876090.4</v>
      </c>
      <c r="K2324" s="3">
        <v>177903.47999999998</v>
      </c>
      <c r="L2324" t="s">
        <v>19</v>
      </c>
      <c r="M2324">
        <v>5</v>
      </c>
    </row>
    <row r="2325" spans="1:13" x14ac:dyDescent="0.25">
      <c r="A2325">
        <v>2324</v>
      </c>
      <c r="B2325" s="1">
        <v>43200</v>
      </c>
      <c r="C2325" s="1">
        <v>43472</v>
      </c>
      <c r="D2325" t="s">
        <v>23</v>
      </c>
      <c r="E2325" t="s">
        <v>25</v>
      </c>
      <c r="F2325" s="2">
        <v>176</v>
      </c>
      <c r="G2325" t="s">
        <v>12</v>
      </c>
      <c r="H2325" s="3">
        <v>55062.32</v>
      </c>
      <c r="I2325" s="3">
        <v>1436793</v>
      </c>
      <c r="J2325" s="3">
        <v>1149434.3999999999</v>
      </c>
      <c r="K2325" s="3">
        <v>232296.28000000009</v>
      </c>
      <c r="L2325" t="s">
        <v>16</v>
      </c>
      <c r="M2325">
        <v>4.5</v>
      </c>
    </row>
    <row r="2326" spans="1:13" x14ac:dyDescent="0.25">
      <c r="A2326">
        <v>2325</v>
      </c>
      <c r="B2326" s="1">
        <v>43200</v>
      </c>
      <c r="C2326" s="1">
        <v>43333</v>
      </c>
      <c r="D2326" t="s">
        <v>21</v>
      </c>
      <c r="E2326" t="s">
        <v>24</v>
      </c>
      <c r="F2326" s="2">
        <v>84</v>
      </c>
      <c r="G2326" t="s">
        <v>11</v>
      </c>
      <c r="H2326" s="3">
        <v>27754.959999999999</v>
      </c>
      <c r="I2326" s="3">
        <v>747684</v>
      </c>
      <c r="J2326" s="3">
        <v>598147.19999999995</v>
      </c>
      <c r="K2326" s="3">
        <v>121781.84000000005</v>
      </c>
      <c r="L2326" t="s">
        <v>14</v>
      </c>
      <c r="M2326">
        <v>4.3</v>
      </c>
    </row>
    <row r="2327" spans="1:13" x14ac:dyDescent="0.25">
      <c r="A2327">
        <v>2326</v>
      </c>
      <c r="B2327" s="1">
        <v>43200</v>
      </c>
      <c r="C2327" s="1">
        <v>43461</v>
      </c>
      <c r="D2327" t="s">
        <v>20</v>
      </c>
      <c r="E2327" t="s">
        <v>26</v>
      </c>
      <c r="F2327" s="2">
        <v>84</v>
      </c>
      <c r="G2327" t="s">
        <v>11</v>
      </c>
      <c r="H2327" s="3">
        <v>28049.759999999998</v>
      </c>
      <c r="I2327" s="3">
        <v>765929</v>
      </c>
      <c r="J2327" s="3">
        <v>612743.19999999995</v>
      </c>
      <c r="K2327" s="3">
        <v>125136.04000000005</v>
      </c>
      <c r="L2327" t="s">
        <v>19</v>
      </c>
      <c r="M2327">
        <v>4.0999999999999996</v>
      </c>
    </row>
    <row r="2328" spans="1:13" x14ac:dyDescent="0.25">
      <c r="A2328">
        <v>2327</v>
      </c>
      <c r="B2328" s="1">
        <v>43201</v>
      </c>
      <c r="C2328" s="1">
        <v>43529</v>
      </c>
      <c r="D2328" t="s">
        <v>21</v>
      </c>
      <c r="E2328" t="s">
        <v>26</v>
      </c>
      <c r="F2328" s="2">
        <v>158</v>
      </c>
      <c r="G2328" t="s">
        <v>12</v>
      </c>
      <c r="H2328" s="3">
        <v>49040.08</v>
      </c>
      <c r="I2328" s="3">
        <v>1277312</v>
      </c>
      <c r="J2328" s="3">
        <v>1021849.6</v>
      </c>
      <c r="K2328" s="3">
        <v>206422.32</v>
      </c>
      <c r="L2328" t="s">
        <v>14</v>
      </c>
      <c r="M2328">
        <v>3.6</v>
      </c>
    </row>
    <row r="2329" spans="1:13" x14ac:dyDescent="0.25">
      <c r="A2329">
        <v>2328</v>
      </c>
      <c r="B2329" s="1">
        <v>43201</v>
      </c>
      <c r="C2329" s="1">
        <v>43469</v>
      </c>
      <c r="D2329" t="s">
        <v>22</v>
      </c>
      <c r="E2329" t="s">
        <v>28</v>
      </c>
      <c r="F2329" s="2">
        <v>125</v>
      </c>
      <c r="G2329" t="s">
        <v>12</v>
      </c>
      <c r="H2329" s="3">
        <v>50103</v>
      </c>
      <c r="I2329" s="3">
        <v>1313085</v>
      </c>
      <c r="J2329" s="3">
        <v>1050468</v>
      </c>
      <c r="K2329" s="3">
        <v>212514</v>
      </c>
      <c r="L2329" t="s">
        <v>18</v>
      </c>
      <c r="M2329">
        <v>4.2</v>
      </c>
    </row>
    <row r="2330" spans="1:13" x14ac:dyDescent="0.25">
      <c r="A2330">
        <v>2329</v>
      </c>
      <c r="B2330" s="1">
        <v>43202</v>
      </c>
      <c r="C2330" s="1">
        <v>43442</v>
      </c>
      <c r="D2330" t="s">
        <v>22</v>
      </c>
      <c r="E2330" t="s">
        <v>26</v>
      </c>
      <c r="F2330" s="2">
        <v>181</v>
      </c>
      <c r="G2330" t="s">
        <v>12</v>
      </c>
      <c r="H2330" s="3">
        <v>69673.600000000006</v>
      </c>
      <c r="I2330" s="3">
        <v>1809325</v>
      </c>
      <c r="J2330" s="3">
        <v>1447460</v>
      </c>
      <c r="K2330" s="3">
        <v>292191.40000000002</v>
      </c>
      <c r="L2330" t="s">
        <v>15</v>
      </c>
      <c r="M2330">
        <v>4.9000000000000004</v>
      </c>
    </row>
    <row r="2331" spans="1:13" x14ac:dyDescent="0.25">
      <c r="A2331">
        <v>2330</v>
      </c>
      <c r="B2331" s="1">
        <v>43202</v>
      </c>
      <c r="C2331" s="1">
        <v>43552</v>
      </c>
      <c r="D2331" t="s">
        <v>23</v>
      </c>
      <c r="E2331" t="s">
        <v>27</v>
      </c>
      <c r="F2331" s="2">
        <v>119</v>
      </c>
      <c r="G2331" t="s">
        <v>12</v>
      </c>
      <c r="H2331" s="3">
        <v>39923.839999999997</v>
      </c>
      <c r="I2331" s="3">
        <v>1063081</v>
      </c>
      <c r="J2331" s="3">
        <v>850464.8</v>
      </c>
      <c r="K2331" s="3">
        <v>172692.35999999996</v>
      </c>
      <c r="L2331" t="s">
        <v>14</v>
      </c>
      <c r="M2331">
        <v>4.8</v>
      </c>
    </row>
    <row r="2332" spans="1:13" x14ac:dyDescent="0.25">
      <c r="A2332">
        <v>2331</v>
      </c>
      <c r="B2332" s="1">
        <v>43202</v>
      </c>
      <c r="C2332" s="1">
        <v>43547</v>
      </c>
      <c r="D2332" t="s">
        <v>21</v>
      </c>
      <c r="E2332" t="s">
        <v>29</v>
      </c>
      <c r="F2332" s="2">
        <v>217</v>
      </c>
      <c r="G2332" t="s">
        <v>12</v>
      </c>
      <c r="H2332" s="3">
        <v>75428.44</v>
      </c>
      <c r="I2332" s="3">
        <v>1938021</v>
      </c>
      <c r="J2332" s="3">
        <v>1550416.8</v>
      </c>
      <c r="K2332" s="3">
        <v>312175.75999999995</v>
      </c>
      <c r="L2332" t="s">
        <v>16</v>
      </c>
      <c r="M2332">
        <v>4.4000000000000004</v>
      </c>
    </row>
    <row r="2333" spans="1:13" x14ac:dyDescent="0.25">
      <c r="A2333">
        <v>2332</v>
      </c>
      <c r="B2333" s="1">
        <v>43202</v>
      </c>
      <c r="C2333" s="1">
        <v>43344</v>
      </c>
      <c r="D2333" t="s">
        <v>23</v>
      </c>
      <c r="E2333" t="s">
        <v>24</v>
      </c>
      <c r="F2333" s="2">
        <v>175</v>
      </c>
      <c r="G2333" t="s">
        <v>12</v>
      </c>
      <c r="H2333" s="3">
        <v>38490.199999999997</v>
      </c>
      <c r="I2333" s="3">
        <v>1021265</v>
      </c>
      <c r="J2333" s="3">
        <v>817012</v>
      </c>
      <c r="K2333" s="3">
        <v>165762.79999999999</v>
      </c>
      <c r="L2333" t="s">
        <v>16</v>
      </c>
      <c r="M2333">
        <v>4</v>
      </c>
    </row>
    <row r="2334" spans="1:13" x14ac:dyDescent="0.25">
      <c r="A2334">
        <v>2333</v>
      </c>
      <c r="B2334" s="1">
        <v>43203</v>
      </c>
      <c r="C2334" s="1">
        <v>43474</v>
      </c>
      <c r="D2334" t="s">
        <v>20</v>
      </c>
      <c r="E2334" t="s">
        <v>13</v>
      </c>
      <c r="F2334" s="2">
        <v>131</v>
      </c>
      <c r="G2334" t="s">
        <v>12</v>
      </c>
      <c r="H2334" s="3">
        <v>37954.6</v>
      </c>
      <c r="I2334" s="3">
        <v>1010375</v>
      </c>
      <c r="J2334" s="3">
        <v>808300</v>
      </c>
      <c r="K2334" s="3">
        <v>164120.4</v>
      </c>
      <c r="L2334" t="s">
        <v>16</v>
      </c>
      <c r="M2334">
        <v>4.5999999999999996</v>
      </c>
    </row>
    <row r="2335" spans="1:13" x14ac:dyDescent="0.25">
      <c r="A2335">
        <v>2334</v>
      </c>
      <c r="B2335" s="1">
        <v>43203</v>
      </c>
      <c r="C2335" s="1">
        <v>43367</v>
      </c>
      <c r="D2335" t="s">
        <v>20</v>
      </c>
      <c r="E2335" t="s">
        <v>24</v>
      </c>
      <c r="F2335" s="2">
        <v>282</v>
      </c>
      <c r="G2335" t="s">
        <v>12</v>
      </c>
      <c r="H2335" s="3">
        <v>70617.72</v>
      </c>
      <c r="I2335" s="3">
        <v>1818053</v>
      </c>
      <c r="J2335" s="3">
        <v>1454442.4</v>
      </c>
      <c r="K2335" s="3">
        <v>292992.88000000012</v>
      </c>
      <c r="L2335" t="s">
        <v>18</v>
      </c>
      <c r="M2335">
        <v>4.5</v>
      </c>
    </row>
    <row r="2336" spans="1:13" x14ac:dyDescent="0.25">
      <c r="A2336">
        <v>2335</v>
      </c>
      <c r="B2336" s="1">
        <v>43204</v>
      </c>
      <c r="C2336" s="1">
        <v>43370</v>
      </c>
      <c r="D2336" t="s">
        <v>21</v>
      </c>
      <c r="E2336" t="s">
        <v>29</v>
      </c>
      <c r="F2336" s="2">
        <v>258</v>
      </c>
      <c r="G2336" t="s">
        <v>12</v>
      </c>
      <c r="H2336" s="3">
        <v>76746.8</v>
      </c>
      <c r="I2336" s="3">
        <v>1981055</v>
      </c>
      <c r="J2336" s="3">
        <v>1584844</v>
      </c>
      <c r="K2336" s="3">
        <v>319464.2</v>
      </c>
      <c r="L2336" t="s">
        <v>19</v>
      </c>
      <c r="M2336">
        <v>4.2</v>
      </c>
    </row>
    <row r="2337" spans="1:13" x14ac:dyDescent="0.25">
      <c r="A2337">
        <v>2336</v>
      </c>
      <c r="B2337" s="1">
        <v>43204</v>
      </c>
      <c r="C2337" s="1">
        <v>43544</v>
      </c>
      <c r="D2337" t="s">
        <v>23</v>
      </c>
      <c r="E2337" t="s">
        <v>24</v>
      </c>
      <c r="F2337" s="2">
        <v>183</v>
      </c>
      <c r="G2337" t="s">
        <v>12</v>
      </c>
      <c r="H2337" s="3">
        <v>46713.04</v>
      </c>
      <c r="I2337" s="3">
        <v>1228886</v>
      </c>
      <c r="J2337" s="3">
        <v>983108.8</v>
      </c>
      <c r="K2337" s="3">
        <v>199064.15999999995</v>
      </c>
      <c r="L2337" t="s">
        <v>14</v>
      </c>
      <c r="M2337">
        <v>3.7</v>
      </c>
    </row>
    <row r="2338" spans="1:13" x14ac:dyDescent="0.25">
      <c r="A2338">
        <v>2337</v>
      </c>
      <c r="B2338" s="1">
        <v>43204</v>
      </c>
      <c r="C2338" s="1">
        <v>43355</v>
      </c>
      <c r="D2338" t="s">
        <v>21</v>
      </c>
      <c r="E2338" t="s">
        <v>27</v>
      </c>
      <c r="F2338" s="2">
        <v>187</v>
      </c>
      <c r="G2338" t="s">
        <v>12</v>
      </c>
      <c r="H2338" s="3">
        <v>72048.52</v>
      </c>
      <c r="I2338" s="3">
        <v>1863423</v>
      </c>
      <c r="J2338" s="3">
        <v>1490738.4</v>
      </c>
      <c r="K2338" s="3">
        <v>300636.08000000007</v>
      </c>
      <c r="L2338" t="s">
        <v>15</v>
      </c>
      <c r="M2338">
        <v>4.5999999999999996</v>
      </c>
    </row>
    <row r="2339" spans="1:13" x14ac:dyDescent="0.25">
      <c r="A2339">
        <v>2338</v>
      </c>
      <c r="B2339" s="1">
        <v>43205</v>
      </c>
      <c r="C2339" s="1">
        <v>43547</v>
      </c>
      <c r="D2339" t="s">
        <v>22</v>
      </c>
      <c r="E2339" t="s">
        <v>24</v>
      </c>
      <c r="F2339" s="2">
        <v>150</v>
      </c>
      <c r="G2339" t="s">
        <v>12</v>
      </c>
      <c r="H2339" s="3">
        <v>37614.400000000001</v>
      </c>
      <c r="I2339" s="3">
        <v>997445</v>
      </c>
      <c r="J2339" s="3">
        <v>797956</v>
      </c>
      <c r="K2339" s="3">
        <v>161874.6</v>
      </c>
      <c r="L2339" t="s">
        <v>17</v>
      </c>
      <c r="M2339">
        <v>4.9000000000000004</v>
      </c>
    </row>
    <row r="2340" spans="1:13" x14ac:dyDescent="0.25">
      <c r="A2340">
        <v>2339</v>
      </c>
      <c r="B2340" s="1">
        <v>43206</v>
      </c>
      <c r="C2340" s="1">
        <v>43497</v>
      </c>
      <c r="D2340" t="s">
        <v>20</v>
      </c>
      <c r="E2340" t="s">
        <v>13</v>
      </c>
      <c r="F2340" s="2">
        <v>204</v>
      </c>
      <c r="G2340" t="s">
        <v>12</v>
      </c>
      <c r="H2340" s="3">
        <v>37636.04</v>
      </c>
      <c r="I2340" s="3">
        <v>994636</v>
      </c>
      <c r="J2340" s="3">
        <v>795708.8</v>
      </c>
      <c r="K2340" s="3">
        <v>161291.15999999995</v>
      </c>
      <c r="L2340" t="s">
        <v>14</v>
      </c>
      <c r="M2340">
        <v>3.8</v>
      </c>
    </row>
    <row r="2341" spans="1:13" x14ac:dyDescent="0.25">
      <c r="A2341">
        <v>2340</v>
      </c>
      <c r="B2341" s="1">
        <v>43206</v>
      </c>
      <c r="C2341" s="1">
        <v>43362</v>
      </c>
      <c r="D2341" t="s">
        <v>22</v>
      </c>
      <c r="E2341" t="s">
        <v>26</v>
      </c>
      <c r="F2341" s="2">
        <v>193</v>
      </c>
      <c r="G2341" t="s">
        <v>12</v>
      </c>
      <c r="H2341" s="3">
        <v>65802.64</v>
      </c>
      <c r="I2341" s="3">
        <v>1706601</v>
      </c>
      <c r="J2341" s="3">
        <v>1365280.8</v>
      </c>
      <c r="K2341" s="3">
        <v>275517.55999999994</v>
      </c>
      <c r="L2341" t="s">
        <v>15</v>
      </c>
      <c r="M2341">
        <v>4.8</v>
      </c>
    </row>
    <row r="2342" spans="1:13" x14ac:dyDescent="0.25">
      <c r="A2342">
        <v>2341</v>
      </c>
      <c r="B2342" s="1">
        <v>43207</v>
      </c>
      <c r="C2342" s="1">
        <v>43429</v>
      </c>
      <c r="D2342" t="s">
        <v>22</v>
      </c>
      <c r="E2342" t="s">
        <v>13</v>
      </c>
      <c r="F2342" s="2">
        <v>214</v>
      </c>
      <c r="G2342" t="s">
        <v>12</v>
      </c>
      <c r="H2342" s="3">
        <v>50584.800000000003</v>
      </c>
      <c r="I2342" s="3">
        <v>1319305</v>
      </c>
      <c r="J2342" s="3">
        <v>1055444</v>
      </c>
      <c r="K2342" s="3">
        <v>213276.2</v>
      </c>
      <c r="L2342" t="s">
        <v>14</v>
      </c>
      <c r="M2342">
        <v>4</v>
      </c>
    </row>
    <row r="2343" spans="1:13" x14ac:dyDescent="0.25">
      <c r="A2343">
        <v>2342</v>
      </c>
      <c r="B2343" s="1">
        <v>43207</v>
      </c>
      <c r="C2343" s="1">
        <v>43551</v>
      </c>
      <c r="D2343" t="s">
        <v>20</v>
      </c>
      <c r="E2343" t="s">
        <v>27</v>
      </c>
      <c r="F2343" s="2">
        <v>237</v>
      </c>
      <c r="G2343" t="s">
        <v>12</v>
      </c>
      <c r="H2343" s="3">
        <v>54445.56</v>
      </c>
      <c r="I2343" s="3">
        <v>1422649</v>
      </c>
      <c r="J2343" s="3">
        <v>1138119.2</v>
      </c>
      <c r="K2343" s="3">
        <v>230084.24000000005</v>
      </c>
      <c r="L2343" t="s">
        <v>18</v>
      </c>
      <c r="M2343">
        <v>4.2</v>
      </c>
    </row>
    <row r="2344" spans="1:13" x14ac:dyDescent="0.25">
      <c r="A2344">
        <v>2343</v>
      </c>
      <c r="B2344" s="1">
        <v>43208</v>
      </c>
      <c r="C2344" s="1">
        <v>43526</v>
      </c>
      <c r="D2344" t="s">
        <v>20</v>
      </c>
      <c r="E2344" t="s">
        <v>25</v>
      </c>
      <c r="F2344" s="2">
        <v>159</v>
      </c>
      <c r="G2344" t="s">
        <v>12</v>
      </c>
      <c r="H2344" s="3">
        <v>37959</v>
      </c>
      <c r="I2344" s="3">
        <v>1007585</v>
      </c>
      <c r="J2344" s="3">
        <v>806068</v>
      </c>
      <c r="K2344" s="3">
        <v>163558</v>
      </c>
      <c r="L2344" t="s">
        <v>19</v>
      </c>
      <c r="M2344">
        <v>4.8</v>
      </c>
    </row>
    <row r="2345" spans="1:13" x14ac:dyDescent="0.25">
      <c r="A2345">
        <v>2344</v>
      </c>
      <c r="B2345" s="1">
        <v>43210</v>
      </c>
      <c r="C2345" s="1">
        <v>43326</v>
      </c>
      <c r="D2345" t="s">
        <v>21</v>
      </c>
      <c r="E2345" t="s">
        <v>25</v>
      </c>
      <c r="F2345" s="2">
        <v>117</v>
      </c>
      <c r="G2345" t="s">
        <v>12</v>
      </c>
      <c r="H2345" s="3">
        <v>42785.4</v>
      </c>
      <c r="I2345" s="3">
        <v>1121645</v>
      </c>
      <c r="J2345" s="3">
        <v>897316</v>
      </c>
      <c r="K2345" s="3">
        <v>181543.6</v>
      </c>
      <c r="L2345" t="s">
        <v>19</v>
      </c>
      <c r="M2345">
        <v>4.9000000000000004</v>
      </c>
    </row>
    <row r="2346" spans="1:13" x14ac:dyDescent="0.25">
      <c r="A2346">
        <v>2345</v>
      </c>
      <c r="B2346" s="1">
        <v>43210</v>
      </c>
      <c r="C2346" s="1">
        <v>43486</v>
      </c>
      <c r="D2346" t="s">
        <v>20</v>
      </c>
      <c r="E2346" t="s">
        <v>29</v>
      </c>
      <c r="F2346" s="2">
        <v>86</v>
      </c>
      <c r="G2346" t="s">
        <v>11</v>
      </c>
      <c r="H2346" s="3">
        <v>26308.080000000002</v>
      </c>
      <c r="I2346" s="3">
        <v>710037</v>
      </c>
      <c r="J2346" s="3">
        <v>568029.6</v>
      </c>
      <c r="K2346" s="3">
        <v>115699.32000000002</v>
      </c>
      <c r="L2346" t="s">
        <v>19</v>
      </c>
      <c r="M2346">
        <v>4.3</v>
      </c>
    </row>
    <row r="2347" spans="1:13" x14ac:dyDescent="0.25">
      <c r="A2347">
        <v>2346</v>
      </c>
      <c r="B2347" s="1">
        <v>43211</v>
      </c>
      <c r="C2347" s="1">
        <v>43437</v>
      </c>
      <c r="D2347" t="s">
        <v>20</v>
      </c>
      <c r="E2347" t="s">
        <v>29</v>
      </c>
      <c r="F2347" s="2">
        <v>137</v>
      </c>
      <c r="G2347" t="s">
        <v>12</v>
      </c>
      <c r="H2347" s="3">
        <v>49208.88</v>
      </c>
      <c r="I2347" s="3">
        <v>1295457</v>
      </c>
      <c r="J2347" s="3">
        <v>1036365.6</v>
      </c>
      <c r="K2347" s="3">
        <v>209882.52000000002</v>
      </c>
      <c r="L2347" t="s">
        <v>19</v>
      </c>
      <c r="M2347">
        <v>4.2</v>
      </c>
    </row>
    <row r="2348" spans="1:13" x14ac:dyDescent="0.25">
      <c r="A2348">
        <v>2347</v>
      </c>
      <c r="B2348" s="1">
        <v>43211</v>
      </c>
      <c r="C2348" s="1">
        <v>43439</v>
      </c>
      <c r="D2348" t="s">
        <v>22</v>
      </c>
      <c r="E2348" t="s">
        <v>29</v>
      </c>
      <c r="F2348" s="2">
        <v>198</v>
      </c>
      <c r="G2348" t="s">
        <v>12</v>
      </c>
      <c r="H2348" s="3">
        <v>34627.599999999999</v>
      </c>
      <c r="I2348" s="3">
        <v>922700</v>
      </c>
      <c r="J2348" s="3">
        <v>738160</v>
      </c>
      <c r="K2348" s="3">
        <v>149912.4</v>
      </c>
      <c r="L2348" t="s">
        <v>14</v>
      </c>
      <c r="M2348">
        <v>3.7</v>
      </c>
    </row>
    <row r="2349" spans="1:13" x14ac:dyDescent="0.25">
      <c r="A2349">
        <v>2348</v>
      </c>
      <c r="B2349" s="1">
        <v>43211</v>
      </c>
      <c r="C2349" s="1">
        <v>43443</v>
      </c>
      <c r="D2349" t="s">
        <v>22</v>
      </c>
      <c r="E2349" t="s">
        <v>27</v>
      </c>
      <c r="F2349" s="2">
        <v>115</v>
      </c>
      <c r="G2349" t="s">
        <v>11</v>
      </c>
      <c r="H2349" s="3">
        <v>25119.599999999999</v>
      </c>
      <c r="I2349" s="3">
        <v>688675</v>
      </c>
      <c r="J2349" s="3">
        <v>550940</v>
      </c>
      <c r="K2349" s="3">
        <v>112615.4</v>
      </c>
      <c r="L2349" t="s">
        <v>19</v>
      </c>
      <c r="M2349">
        <v>4.3</v>
      </c>
    </row>
    <row r="2350" spans="1:13" x14ac:dyDescent="0.25">
      <c r="A2350">
        <v>2349</v>
      </c>
      <c r="B2350" s="1">
        <v>43212</v>
      </c>
      <c r="C2350" s="1">
        <v>43568</v>
      </c>
      <c r="D2350" t="s">
        <v>23</v>
      </c>
      <c r="E2350" t="s">
        <v>26</v>
      </c>
      <c r="F2350" s="2">
        <v>102</v>
      </c>
      <c r="G2350" t="s">
        <v>11</v>
      </c>
      <c r="H2350" s="3">
        <v>25943.88</v>
      </c>
      <c r="I2350" s="3">
        <v>704807</v>
      </c>
      <c r="J2350" s="3">
        <v>563845.6</v>
      </c>
      <c r="K2350" s="3">
        <v>115017.52000000002</v>
      </c>
      <c r="L2350" t="s">
        <v>18</v>
      </c>
      <c r="M2350">
        <v>3.6</v>
      </c>
    </row>
    <row r="2351" spans="1:13" x14ac:dyDescent="0.25">
      <c r="A2351">
        <v>2350</v>
      </c>
      <c r="B2351" s="1">
        <v>43212</v>
      </c>
      <c r="C2351" s="1">
        <v>43393</v>
      </c>
      <c r="D2351" t="s">
        <v>21</v>
      </c>
      <c r="E2351" t="s">
        <v>24</v>
      </c>
      <c r="F2351" s="2">
        <v>59</v>
      </c>
      <c r="G2351" t="s">
        <v>11</v>
      </c>
      <c r="H2351" s="3">
        <v>16664.32</v>
      </c>
      <c r="I2351" s="3">
        <v>469493</v>
      </c>
      <c r="J2351" s="3">
        <v>375594.4</v>
      </c>
      <c r="K2351" s="3">
        <v>77234.27999999997</v>
      </c>
      <c r="L2351" t="s">
        <v>14</v>
      </c>
      <c r="M2351">
        <v>3.8</v>
      </c>
    </row>
    <row r="2352" spans="1:13" x14ac:dyDescent="0.25">
      <c r="A2352">
        <v>2351</v>
      </c>
      <c r="B2352" s="1">
        <v>43212</v>
      </c>
      <c r="C2352" s="1">
        <v>43366</v>
      </c>
      <c r="D2352" t="s">
        <v>20</v>
      </c>
      <c r="E2352" t="s">
        <v>24</v>
      </c>
      <c r="F2352" s="2">
        <v>87</v>
      </c>
      <c r="G2352" t="s">
        <v>11</v>
      </c>
      <c r="H2352" s="3">
        <v>21558.240000000002</v>
      </c>
      <c r="I2352" s="3">
        <v>595691</v>
      </c>
      <c r="J2352" s="3">
        <v>476552.8</v>
      </c>
      <c r="K2352" s="3">
        <v>97579.96</v>
      </c>
      <c r="L2352" t="s">
        <v>16</v>
      </c>
      <c r="M2352">
        <v>4.2</v>
      </c>
    </row>
    <row r="2353" spans="1:13" x14ac:dyDescent="0.25">
      <c r="A2353">
        <v>2352</v>
      </c>
      <c r="B2353" s="1">
        <v>43212</v>
      </c>
      <c r="C2353" s="1">
        <v>43420</v>
      </c>
      <c r="D2353" t="s">
        <v>22</v>
      </c>
      <c r="E2353" t="s">
        <v>13</v>
      </c>
      <c r="F2353" s="2">
        <v>245</v>
      </c>
      <c r="G2353" t="s">
        <v>12</v>
      </c>
      <c r="H2353" s="3">
        <v>66750.559999999998</v>
      </c>
      <c r="I2353" s="3">
        <v>1726649</v>
      </c>
      <c r="J2353" s="3">
        <v>1381319.2</v>
      </c>
      <c r="K2353" s="3">
        <v>278579.24000000005</v>
      </c>
      <c r="L2353" t="s">
        <v>18</v>
      </c>
      <c r="M2353">
        <v>3.7</v>
      </c>
    </row>
    <row r="2354" spans="1:13" x14ac:dyDescent="0.25">
      <c r="A2354">
        <v>2353</v>
      </c>
      <c r="B2354" s="1">
        <v>43212</v>
      </c>
      <c r="C2354" s="1">
        <v>43471</v>
      </c>
      <c r="D2354" t="s">
        <v>20</v>
      </c>
      <c r="E2354" t="s">
        <v>24</v>
      </c>
      <c r="F2354" s="2">
        <v>157</v>
      </c>
      <c r="G2354" t="s">
        <v>11</v>
      </c>
      <c r="H2354" s="3">
        <v>29077</v>
      </c>
      <c r="I2354" s="3">
        <v>782085</v>
      </c>
      <c r="J2354" s="3">
        <v>625668</v>
      </c>
      <c r="K2354" s="3">
        <v>127340</v>
      </c>
      <c r="L2354" t="s">
        <v>16</v>
      </c>
      <c r="M2354">
        <v>4.3</v>
      </c>
    </row>
    <row r="2355" spans="1:13" x14ac:dyDescent="0.25">
      <c r="A2355">
        <v>2354</v>
      </c>
      <c r="B2355" s="1">
        <v>43212</v>
      </c>
      <c r="C2355" s="1">
        <v>43507</v>
      </c>
      <c r="D2355" t="s">
        <v>23</v>
      </c>
      <c r="E2355" t="s">
        <v>27</v>
      </c>
      <c r="F2355" s="2">
        <v>42</v>
      </c>
      <c r="G2355" t="s">
        <v>11</v>
      </c>
      <c r="H2355" s="3">
        <v>7776.16</v>
      </c>
      <c r="I2355" s="3">
        <v>260789</v>
      </c>
      <c r="J2355" s="3">
        <v>208631.2</v>
      </c>
      <c r="K2355" s="3">
        <v>44381.639999999985</v>
      </c>
      <c r="L2355" t="s">
        <v>19</v>
      </c>
      <c r="M2355">
        <v>3.7</v>
      </c>
    </row>
    <row r="2356" spans="1:13" x14ac:dyDescent="0.25">
      <c r="A2356">
        <v>2355</v>
      </c>
      <c r="B2356" s="1">
        <v>43212</v>
      </c>
      <c r="C2356" s="1">
        <v>43404</v>
      </c>
      <c r="D2356" t="s">
        <v>22</v>
      </c>
      <c r="E2356" t="s">
        <v>27</v>
      </c>
      <c r="F2356" s="2">
        <v>282</v>
      </c>
      <c r="G2356" t="s">
        <v>12</v>
      </c>
      <c r="H2356" s="3">
        <v>59604.92</v>
      </c>
      <c r="I2356" s="3">
        <v>1541308</v>
      </c>
      <c r="J2356" s="3">
        <v>1233046.3999999999</v>
      </c>
      <c r="K2356" s="3">
        <v>248656.68000000011</v>
      </c>
      <c r="L2356" t="s">
        <v>19</v>
      </c>
      <c r="M2356">
        <v>4.8</v>
      </c>
    </row>
    <row r="2357" spans="1:13" x14ac:dyDescent="0.25">
      <c r="A2357">
        <v>2356</v>
      </c>
      <c r="B2357" s="1">
        <v>43213</v>
      </c>
      <c r="C2357" s="1">
        <v>43457</v>
      </c>
      <c r="D2357" t="s">
        <v>20</v>
      </c>
      <c r="E2357" t="s">
        <v>28</v>
      </c>
      <c r="F2357" s="2">
        <v>194</v>
      </c>
      <c r="G2357" t="s">
        <v>12</v>
      </c>
      <c r="H2357" s="3">
        <v>70334.64</v>
      </c>
      <c r="I2357" s="3">
        <v>1814351</v>
      </c>
      <c r="J2357" s="3">
        <v>1451480.8</v>
      </c>
      <c r="K2357" s="3">
        <v>292535.55999999994</v>
      </c>
      <c r="L2357" t="s">
        <v>17</v>
      </c>
      <c r="M2357">
        <v>4.9000000000000004</v>
      </c>
    </row>
    <row r="2358" spans="1:13" x14ac:dyDescent="0.25">
      <c r="A2358">
        <v>2357</v>
      </c>
      <c r="B2358" s="1">
        <v>43213</v>
      </c>
      <c r="C2358" s="1">
        <v>43430</v>
      </c>
      <c r="D2358" t="s">
        <v>21</v>
      </c>
      <c r="E2358" t="s">
        <v>26</v>
      </c>
      <c r="F2358" s="2">
        <v>72</v>
      </c>
      <c r="G2358" t="s">
        <v>11</v>
      </c>
      <c r="H2358" s="3">
        <v>23836</v>
      </c>
      <c r="I2358" s="3">
        <v>658685</v>
      </c>
      <c r="J2358" s="3">
        <v>526948</v>
      </c>
      <c r="K2358" s="3">
        <v>107901</v>
      </c>
      <c r="L2358" t="s">
        <v>18</v>
      </c>
      <c r="M2358">
        <v>5</v>
      </c>
    </row>
    <row r="2359" spans="1:13" x14ac:dyDescent="0.25">
      <c r="A2359">
        <v>2358</v>
      </c>
      <c r="B2359" s="1">
        <v>43213</v>
      </c>
      <c r="C2359" s="1">
        <v>43329</v>
      </c>
      <c r="D2359" t="s">
        <v>21</v>
      </c>
      <c r="E2359" t="s">
        <v>13</v>
      </c>
      <c r="F2359" s="2">
        <v>283</v>
      </c>
      <c r="G2359" t="s">
        <v>12</v>
      </c>
      <c r="H2359" s="3">
        <v>61757.8</v>
      </c>
      <c r="I2359" s="3">
        <v>1603505</v>
      </c>
      <c r="J2359" s="3">
        <v>1282804</v>
      </c>
      <c r="K2359" s="3">
        <v>258943.2</v>
      </c>
      <c r="L2359" t="s">
        <v>14</v>
      </c>
      <c r="M2359">
        <v>3.9</v>
      </c>
    </row>
    <row r="2360" spans="1:13" x14ac:dyDescent="0.25">
      <c r="A2360">
        <v>2359</v>
      </c>
      <c r="B2360" s="1">
        <v>43215</v>
      </c>
      <c r="C2360" s="1">
        <v>43557</v>
      </c>
      <c r="D2360" t="s">
        <v>22</v>
      </c>
      <c r="E2360" t="s">
        <v>26</v>
      </c>
      <c r="F2360" s="2">
        <v>188</v>
      </c>
      <c r="G2360" t="s">
        <v>12</v>
      </c>
      <c r="H2360" s="3">
        <v>53847.08</v>
      </c>
      <c r="I2360" s="3">
        <v>1399837</v>
      </c>
      <c r="J2360" s="3">
        <v>1119869.6000000001</v>
      </c>
      <c r="K2360" s="3">
        <v>226120.31999999989</v>
      </c>
      <c r="L2360" t="s">
        <v>14</v>
      </c>
      <c r="M2360">
        <v>4.0999999999999996</v>
      </c>
    </row>
    <row r="2361" spans="1:13" x14ac:dyDescent="0.25">
      <c r="A2361">
        <v>2360</v>
      </c>
      <c r="B2361" s="1">
        <v>43215</v>
      </c>
      <c r="C2361" s="1">
        <v>43569</v>
      </c>
      <c r="D2361" t="s">
        <v>20</v>
      </c>
      <c r="E2361" t="s">
        <v>27</v>
      </c>
      <c r="F2361" s="2">
        <v>207</v>
      </c>
      <c r="G2361" t="s">
        <v>12</v>
      </c>
      <c r="H2361" s="3">
        <v>47498.96</v>
      </c>
      <c r="I2361" s="3">
        <v>1240009</v>
      </c>
      <c r="J2361" s="3">
        <v>992007.2</v>
      </c>
      <c r="K2361" s="3">
        <v>200502.84000000005</v>
      </c>
      <c r="L2361" t="s">
        <v>19</v>
      </c>
      <c r="M2361">
        <v>5</v>
      </c>
    </row>
    <row r="2362" spans="1:13" x14ac:dyDescent="0.25">
      <c r="A2362">
        <v>2361</v>
      </c>
      <c r="B2362" s="1">
        <v>43216</v>
      </c>
      <c r="C2362" s="1">
        <v>43479</v>
      </c>
      <c r="D2362" t="s">
        <v>21</v>
      </c>
      <c r="E2362" t="s">
        <v>13</v>
      </c>
      <c r="F2362" s="2">
        <v>212</v>
      </c>
      <c r="G2362" t="s">
        <v>12</v>
      </c>
      <c r="H2362" s="3">
        <v>84250.28</v>
      </c>
      <c r="I2362" s="3">
        <v>2172667</v>
      </c>
      <c r="J2362" s="3">
        <v>1738133.6</v>
      </c>
      <c r="K2362" s="3">
        <v>350283.11999999988</v>
      </c>
      <c r="L2362" t="s">
        <v>19</v>
      </c>
      <c r="M2362">
        <v>4.4000000000000004</v>
      </c>
    </row>
    <row r="2363" spans="1:13" x14ac:dyDescent="0.25">
      <c r="A2363">
        <v>2362</v>
      </c>
      <c r="B2363" s="1">
        <v>43216</v>
      </c>
      <c r="C2363" s="1">
        <v>43508</v>
      </c>
      <c r="D2363" t="s">
        <v>22</v>
      </c>
      <c r="E2363" t="s">
        <v>24</v>
      </c>
      <c r="F2363" s="2">
        <v>180</v>
      </c>
      <c r="G2363" t="s">
        <v>12</v>
      </c>
      <c r="H2363" s="3">
        <v>53356.08</v>
      </c>
      <c r="I2363" s="3">
        <v>1396162</v>
      </c>
      <c r="J2363" s="3">
        <v>1116929.6000000001</v>
      </c>
      <c r="K2363" s="3">
        <v>225876.31999999989</v>
      </c>
      <c r="L2363" t="s">
        <v>15</v>
      </c>
      <c r="M2363">
        <v>4.9000000000000004</v>
      </c>
    </row>
    <row r="2364" spans="1:13" x14ac:dyDescent="0.25">
      <c r="A2364">
        <v>2363</v>
      </c>
      <c r="B2364" s="1">
        <v>43217</v>
      </c>
      <c r="C2364" s="1">
        <v>43318</v>
      </c>
      <c r="D2364" t="s">
        <v>20</v>
      </c>
      <c r="E2364" t="s">
        <v>13</v>
      </c>
      <c r="F2364" s="2">
        <v>281</v>
      </c>
      <c r="G2364" t="s">
        <v>12</v>
      </c>
      <c r="H2364" s="3">
        <v>94864.28</v>
      </c>
      <c r="I2364" s="3">
        <v>2435167</v>
      </c>
      <c r="J2364" s="3">
        <v>1948133.6</v>
      </c>
      <c r="K2364" s="3">
        <v>392169.11999999988</v>
      </c>
      <c r="L2364" t="s">
        <v>16</v>
      </c>
      <c r="M2364">
        <v>3.8</v>
      </c>
    </row>
    <row r="2365" spans="1:13" x14ac:dyDescent="0.25">
      <c r="A2365">
        <v>2364</v>
      </c>
      <c r="B2365" s="1">
        <v>43218</v>
      </c>
      <c r="C2365" s="1">
        <v>43474</v>
      </c>
      <c r="D2365" t="s">
        <v>23</v>
      </c>
      <c r="E2365" t="s">
        <v>13</v>
      </c>
      <c r="F2365" s="2">
        <v>64</v>
      </c>
      <c r="G2365" t="s">
        <v>11</v>
      </c>
      <c r="H2365" s="3">
        <v>20367.2</v>
      </c>
      <c r="I2365" s="3">
        <v>570165</v>
      </c>
      <c r="J2365" s="3">
        <v>456132</v>
      </c>
      <c r="K2365" s="3">
        <v>93665.8</v>
      </c>
      <c r="L2365" t="s">
        <v>18</v>
      </c>
      <c r="M2365">
        <v>4.3</v>
      </c>
    </row>
    <row r="2366" spans="1:13" x14ac:dyDescent="0.25">
      <c r="A2366">
        <v>2365</v>
      </c>
      <c r="B2366" s="1">
        <v>43218</v>
      </c>
      <c r="C2366" s="1">
        <v>43422</v>
      </c>
      <c r="D2366" t="s">
        <v>21</v>
      </c>
      <c r="E2366" t="s">
        <v>25</v>
      </c>
      <c r="F2366" s="2">
        <v>274</v>
      </c>
      <c r="G2366" t="s">
        <v>12</v>
      </c>
      <c r="H2366" s="3">
        <v>71085.279999999999</v>
      </c>
      <c r="I2366" s="3">
        <v>1831292</v>
      </c>
      <c r="J2366" s="3">
        <v>1465033.6</v>
      </c>
      <c r="K2366" s="3">
        <v>295173.11999999988</v>
      </c>
      <c r="L2366" t="s">
        <v>19</v>
      </c>
      <c r="M2366">
        <v>4.2</v>
      </c>
    </row>
    <row r="2367" spans="1:13" x14ac:dyDescent="0.25">
      <c r="A2367">
        <v>2366</v>
      </c>
      <c r="B2367" s="1">
        <v>43218</v>
      </c>
      <c r="C2367" s="1">
        <v>43426</v>
      </c>
      <c r="D2367" t="s">
        <v>21</v>
      </c>
      <c r="E2367" t="s">
        <v>28</v>
      </c>
      <c r="F2367" s="2">
        <v>264</v>
      </c>
      <c r="G2367" t="s">
        <v>12</v>
      </c>
      <c r="H2367" s="3">
        <v>67735.600000000006</v>
      </c>
      <c r="I2367" s="3">
        <v>1752875</v>
      </c>
      <c r="J2367" s="3">
        <v>1402300</v>
      </c>
      <c r="K2367" s="3">
        <v>282839.40000000002</v>
      </c>
      <c r="L2367" t="s">
        <v>17</v>
      </c>
      <c r="M2367">
        <v>5</v>
      </c>
    </row>
    <row r="2368" spans="1:13" x14ac:dyDescent="0.25">
      <c r="A2368">
        <v>2367</v>
      </c>
      <c r="B2368" s="1">
        <v>43219</v>
      </c>
      <c r="C2368" s="1">
        <v>43385</v>
      </c>
      <c r="D2368" t="s">
        <v>21</v>
      </c>
      <c r="E2368" t="s">
        <v>13</v>
      </c>
      <c r="F2368" s="2">
        <v>238</v>
      </c>
      <c r="G2368" t="s">
        <v>12</v>
      </c>
      <c r="H2368" s="3">
        <v>80989.440000000002</v>
      </c>
      <c r="I2368" s="3">
        <v>2084246</v>
      </c>
      <c r="J2368" s="3">
        <v>1667396.8</v>
      </c>
      <c r="K2368" s="3">
        <v>335859.75999999995</v>
      </c>
      <c r="L2368" t="s">
        <v>18</v>
      </c>
      <c r="M2368">
        <v>4.7</v>
      </c>
    </row>
    <row r="2369" spans="1:13" x14ac:dyDescent="0.25">
      <c r="A2369">
        <v>2368</v>
      </c>
      <c r="B2369" s="1">
        <v>43219</v>
      </c>
      <c r="C2369" s="1">
        <v>43413</v>
      </c>
      <c r="D2369" t="s">
        <v>20</v>
      </c>
      <c r="E2369" t="s">
        <v>27</v>
      </c>
      <c r="F2369" s="2">
        <v>129</v>
      </c>
      <c r="G2369" t="s">
        <v>12</v>
      </c>
      <c r="H2369" s="3">
        <v>40391.919999999998</v>
      </c>
      <c r="I2369" s="3">
        <v>1061183</v>
      </c>
      <c r="J2369" s="3">
        <v>848946.4</v>
      </c>
      <c r="K2369" s="3">
        <v>171844.68</v>
      </c>
      <c r="L2369" t="s">
        <v>17</v>
      </c>
      <c r="M2369">
        <v>4.3</v>
      </c>
    </row>
    <row r="2370" spans="1:13" x14ac:dyDescent="0.25">
      <c r="A2370">
        <v>2369</v>
      </c>
      <c r="B2370" s="1">
        <v>43219</v>
      </c>
      <c r="C2370" s="1">
        <v>43363</v>
      </c>
      <c r="D2370" t="s">
        <v>21</v>
      </c>
      <c r="E2370" t="s">
        <v>27</v>
      </c>
      <c r="F2370" s="2">
        <v>64</v>
      </c>
      <c r="G2370" t="s">
        <v>11</v>
      </c>
      <c r="H2370" s="3">
        <v>17518.080000000002</v>
      </c>
      <c r="I2370" s="3">
        <v>501062</v>
      </c>
      <c r="J2370" s="3">
        <v>400849.6</v>
      </c>
      <c r="K2370" s="3">
        <v>82694.320000000022</v>
      </c>
      <c r="L2370" t="s">
        <v>16</v>
      </c>
      <c r="M2370">
        <v>4</v>
      </c>
    </row>
    <row r="2371" spans="1:13" x14ac:dyDescent="0.25">
      <c r="A2371">
        <v>2370</v>
      </c>
      <c r="B2371" s="1">
        <v>43219</v>
      </c>
      <c r="C2371" s="1">
        <v>43537</v>
      </c>
      <c r="D2371" t="s">
        <v>23</v>
      </c>
      <c r="E2371" t="s">
        <v>29</v>
      </c>
      <c r="F2371" s="2">
        <v>127</v>
      </c>
      <c r="G2371" t="s">
        <v>11</v>
      </c>
      <c r="H2371" s="3">
        <v>22134</v>
      </c>
      <c r="I2371" s="3">
        <v>617285</v>
      </c>
      <c r="J2371" s="3">
        <v>493828</v>
      </c>
      <c r="K2371" s="3">
        <v>101323</v>
      </c>
      <c r="L2371" t="s">
        <v>16</v>
      </c>
      <c r="M2371">
        <v>4.5</v>
      </c>
    </row>
    <row r="2372" spans="1:13" x14ac:dyDescent="0.25">
      <c r="A2372">
        <v>2371</v>
      </c>
      <c r="B2372" s="1">
        <v>43219</v>
      </c>
      <c r="C2372" s="1">
        <v>43557</v>
      </c>
      <c r="D2372" t="s">
        <v>21</v>
      </c>
      <c r="E2372" t="s">
        <v>25</v>
      </c>
      <c r="F2372" s="2">
        <v>266</v>
      </c>
      <c r="G2372" t="s">
        <v>12</v>
      </c>
      <c r="H2372" s="3">
        <v>93953.600000000006</v>
      </c>
      <c r="I2372" s="3">
        <v>2400875</v>
      </c>
      <c r="J2372" s="3">
        <v>1920700</v>
      </c>
      <c r="K2372" s="3">
        <v>386221.4</v>
      </c>
      <c r="L2372" t="s">
        <v>19</v>
      </c>
      <c r="M2372">
        <v>4.7</v>
      </c>
    </row>
    <row r="2373" spans="1:13" x14ac:dyDescent="0.25">
      <c r="A2373">
        <v>2372</v>
      </c>
      <c r="B2373" s="1">
        <v>43220</v>
      </c>
      <c r="C2373" s="1">
        <v>43377</v>
      </c>
      <c r="D2373" t="s">
        <v>23</v>
      </c>
      <c r="E2373" t="s">
        <v>27</v>
      </c>
      <c r="F2373" s="2">
        <v>216</v>
      </c>
      <c r="G2373" t="s">
        <v>12</v>
      </c>
      <c r="H2373" s="3">
        <v>60782</v>
      </c>
      <c r="I2373" s="3">
        <v>1585285</v>
      </c>
      <c r="J2373" s="3">
        <v>1268228</v>
      </c>
      <c r="K2373" s="3">
        <v>256275</v>
      </c>
      <c r="L2373" t="s">
        <v>18</v>
      </c>
      <c r="M2373">
        <v>4.4000000000000004</v>
      </c>
    </row>
    <row r="2374" spans="1:13" x14ac:dyDescent="0.25">
      <c r="A2374">
        <v>2373</v>
      </c>
      <c r="B2374" s="1">
        <v>43220</v>
      </c>
      <c r="C2374" s="1">
        <v>43317</v>
      </c>
      <c r="D2374" t="s">
        <v>20</v>
      </c>
      <c r="E2374" t="s">
        <v>28</v>
      </c>
      <c r="F2374" s="2">
        <v>195</v>
      </c>
      <c r="G2374" t="s">
        <v>12</v>
      </c>
      <c r="H2374" s="3">
        <v>79023</v>
      </c>
      <c r="I2374" s="3">
        <v>2032485</v>
      </c>
      <c r="J2374" s="3">
        <v>1625988</v>
      </c>
      <c r="K2374" s="3">
        <v>327474</v>
      </c>
      <c r="L2374" t="s">
        <v>16</v>
      </c>
      <c r="M2374">
        <v>4.9000000000000004</v>
      </c>
    </row>
    <row r="2375" spans="1:13" x14ac:dyDescent="0.25">
      <c r="A2375">
        <v>2374</v>
      </c>
      <c r="B2375" s="1">
        <v>43221</v>
      </c>
      <c r="C2375" s="1">
        <v>43511</v>
      </c>
      <c r="D2375" t="s">
        <v>21</v>
      </c>
      <c r="E2375" t="s">
        <v>25</v>
      </c>
      <c r="F2375" s="2">
        <v>235</v>
      </c>
      <c r="G2375" t="s">
        <v>12</v>
      </c>
      <c r="H2375" s="3">
        <v>49417.4</v>
      </c>
      <c r="I2375" s="3">
        <v>1300795</v>
      </c>
      <c r="J2375" s="3">
        <v>1040636</v>
      </c>
      <c r="K2375" s="3">
        <v>210741.6</v>
      </c>
      <c r="L2375" t="s">
        <v>14</v>
      </c>
      <c r="M2375">
        <v>3.9</v>
      </c>
    </row>
    <row r="2376" spans="1:13" x14ac:dyDescent="0.25">
      <c r="A2376">
        <v>2375</v>
      </c>
      <c r="B2376" s="1">
        <v>43221</v>
      </c>
      <c r="C2376" s="1">
        <v>43585</v>
      </c>
      <c r="D2376" t="s">
        <v>23</v>
      </c>
      <c r="E2376" t="s">
        <v>27</v>
      </c>
      <c r="F2376" s="2">
        <v>131</v>
      </c>
      <c r="G2376" t="s">
        <v>11</v>
      </c>
      <c r="H2376" s="3">
        <v>26714.04</v>
      </c>
      <c r="I2376" s="3">
        <v>723311</v>
      </c>
      <c r="J2376" s="3">
        <v>578648.80000000005</v>
      </c>
      <c r="K2376" s="3">
        <v>117948.15999999995</v>
      </c>
      <c r="L2376" t="s">
        <v>18</v>
      </c>
      <c r="M2376">
        <v>4.0999999999999996</v>
      </c>
    </row>
    <row r="2377" spans="1:13" x14ac:dyDescent="0.25">
      <c r="A2377">
        <v>2376</v>
      </c>
      <c r="B2377" s="1">
        <v>43221</v>
      </c>
      <c r="C2377" s="1">
        <v>43395</v>
      </c>
      <c r="D2377" t="s">
        <v>21</v>
      </c>
      <c r="E2377" t="s">
        <v>27</v>
      </c>
      <c r="F2377" s="2">
        <v>292</v>
      </c>
      <c r="G2377" t="s">
        <v>12</v>
      </c>
      <c r="H2377" s="3">
        <v>111903.03999999999</v>
      </c>
      <c r="I2377" s="3">
        <v>2850261</v>
      </c>
      <c r="J2377" s="3">
        <v>2280208.7999999998</v>
      </c>
      <c r="K2377" s="3">
        <v>458149.16000000021</v>
      </c>
      <c r="L2377" t="s">
        <v>19</v>
      </c>
      <c r="M2377">
        <v>5</v>
      </c>
    </row>
    <row r="2378" spans="1:13" x14ac:dyDescent="0.25">
      <c r="A2378">
        <v>2377</v>
      </c>
      <c r="B2378" s="1">
        <v>43221</v>
      </c>
      <c r="C2378" s="1">
        <v>43547</v>
      </c>
      <c r="D2378" t="s">
        <v>23</v>
      </c>
      <c r="E2378" t="s">
        <v>26</v>
      </c>
      <c r="F2378" s="2">
        <v>117</v>
      </c>
      <c r="G2378" t="s">
        <v>12</v>
      </c>
      <c r="H2378" s="3">
        <v>38400.76</v>
      </c>
      <c r="I2378" s="3">
        <v>1020854</v>
      </c>
      <c r="J2378" s="3">
        <v>816683.2</v>
      </c>
      <c r="K2378" s="3">
        <v>165770.04000000004</v>
      </c>
      <c r="L2378" t="s">
        <v>15</v>
      </c>
      <c r="M2378">
        <v>4.8</v>
      </c>
    </row>
    <row r="2379" spans="1:13" x14ac:dyDescent="0.25">
      <c r="A2379">
        <v>2378</v>
      </c>
      <c r="B2379" s="1">
        <v>43222</v>
      </c>
      <c r="C2379" s="1">
        <v>43586</v>
      </c>
      <c r="D2379" t="s">
        <v>22</v>
      </c>
      <c r="E2379" t="s">
        <v>29</v>
      </c>
      <c r="F2379" s="2">
        <v>287</v>
      </c>
      <c r="G2379" t="s">
        <v>12</v>
      </c>
      <c r="H2379" s="3">
        <v>60413.24</v>
      </c>
      <c r="I2379" s="3">
        <v>1574741</v>
      </c>
      <c r="J2379" s="3">
        <v>1259792.8</v>
      </c>
      <c r="K2379" s="3">
        <v>254534.95999999996</v>
      </c>
      <c r="L2379" t="s">
        <v>17</v>
      </c>
      <c r="M2379">
        <v>3.8</v>
      </c>
    </row>
    <row r="2380" spans="1:13" x14ac:dyDescent="0.25">
      <c r="A2380">
        <v>2379</v>
      </c>
      <c r="B2380" s="1">
        <v>43222</v>
      </c>
      <c r="C2380" s="1">
        <v>43573</v>
      </c>
      <c r="D2380" t="s">
        <v>22</v>
      </c>
      <c r="E2380" t="s">
        <v>28</v>
      </c>
      <c r="F2380" s="2">
        <v>230</v>
      </c>
      <c r="G2380" t="s">
        <v>12</v>
      </c>
      <c r="H2380" s="3">
        <v>47782.16</v>
      </c>
      <c r="I2380" s="3">
        <v>1256939</v>
      </c>
      <c r="J2380" s="3">
        <v>1005551.2</v>
      </c>
      <c r="K2380" s="3">
        <v>203605.64000000004</v>
      </c>
      <c r="L2380" t="s">
        <v>14</v>
      </c>
      <c r="M2380">
        <v>4.7</v>
      </c>
    </row>
    <row r="2381" spans="1:13" x14ac:dyDescent="0.25">
      <c r="A2381">
        <v>2380</v>
      </c>
      <c r="B2381" s="1">
        <v>43222</v>
      </c>
      <c r="C2381" s="1">
        <v>43453</v>
      </c>
      <c r="D2381" t="s">
        <v>22</v>
      </c>
      <c r="E2381" t="s">
        <v>24</v>
      </c>
      <c r="F2381" s="2">
        <v>233</v>
      </c>
      <c r="G2381" t="s">
        <v>12</v>
      </c>
      <c r="H2381" s="3">
        <v>77298.679999999993</v>
      </c>
      <c r="I2381" s="3">
        <v>1990227</v>
      </c>
      <c r="J2381" s="3">
        <v>1592181.6</v>
      </c>
      <c r="K2381" s="3">
        <v>320746.71999999991</v>
      </c>
      <c r="L2381" t="s">
        <v>16</v>
      </c>
      <c r="M2381">
        <v>4.9000000000000004</v>
      </c>
    </row>
    <row r="2382" spans="1:13" x14ac:dyDescent="0.25">
      <c r="A2382">
        <v>2381</v>
      </c>
      <c r="B2382" s="1">
        <v>43222</v>
      </c>
      <c r="C2382" s="1">
        <v>43451</v>
      </c>
      <c r="D2382" t="s">
        <v>21</v>
      </c>
      <c r="E2382" t="s">
        <v>13</v>
      </c>
      <c r="F2382" s="2">
        <v>200</v>
      </c>
      <c r="G2382" t="s">
        <v>12</v>
      </c>
      <c r="H2382" s="3">
        <v>76030.399999999994</v>
      </c>
      <c r="I2382" s="3">
        <v>1957745</v>
      </c>
      <c r="J2382" s="3">
        <v>1566196</v>
      </c>
      <c r="K2382" s="3">
        <v>315518.59999999998</v>
      </c>
      <c r="L2382" t="s">
        <v>18</v>
      </c>
      <c r="M2382">
        <v>4.0999999999999996</v>
      </c>
    </row>
    <row r="2383" spans="1:13" x14ac:dyDescent="0.25">
      <c r="A2383">
        <v>2382</v>
      </c>
      <c r="B2383" s="1">
        <v>43223</v>
      </c>
      <c r="C2383" s="1">
        <v>43399</v>
      </c>
      <c r="D2383" t="s">
        <v>22</v>
      </c>
      <c r="E2383" t="s">
        <v>13</v>
      </c>
      <c r="F2383" s="2">
        <v>145</v>
      </c>
      <c r="G2383" t="s">
        <v>11</v>
      </c>
      <c r="H2383" s="3">
        <v>29236.880000000001</v>
      </c>
      <c r="I2383" s="3">
        <v>785957</v>
      </c>
      <c r="J2383" s="3">
        <v>628765.6</v>
      </c>
      <c r="K2383" s="3">
        <v>127954.52000000002</v>
      </c>
      <c r="L2383" t="s">
        <v>18</v>
      </c>
      <c r="M2383">
        <v>3.9</v>
      </c>
    </row>
    <row r="2384" spans="1:13" x14ac:dyDescent="0.25">
      <c r="A2384">
        <v>2383</v>
      </c>
      <c r="B2384" s="1">
        <v>43223</v>
      </c>
      <c r="C2384" s="1">
        <v>43481</v>
      </c>
      <c r="D2384" t="s">
        <v>22</v>
      </c>
      <c r="E2384" t="s">
        <v>29</v>
      </c>
      <c r="F2384" s="2">
        <v>247</v>
      </c>
      <c r="G2384" t="s">
        <v>12</v>
      </c>
      <c r="H2384" s="3">
        <v>39460</v>
      </c>
      <c r="I2384" s="3">
        <v>1038985</v>
      </c>
      <c r="J2384" s="3">
        <v>831188</v>
      </c>
      <c r="K2384" s="3">
        <v>168337</v>
      </c>
      <c r="L2384" t="s">
        <v>14</v>
      </c>
      <c r="M2384">
        <v>3.7</v>
      </c>
    </row>
    <row r="2385" spans="1:13" x14ac:dyDescent="0.25">
      <c r="A2385">
        <v>2384</v>
      </c>
      <c r="B2385" s="1">
        <v>43223</v>
      </c>
      <c r="C2385" s="1">
        <v>43499</v>
      </c>
      <c r="D2385" t="s">
        <v>22</v>
      </c>
      <c r="E2385" t="s">
        <v>28</v>
      </c>
      <c r="F2385" s="2">
        <v>86</v>
      </c>
      <c r="G2385" t="s">
        <v>11</v>
      </c>
      <c r="H2385" s="3">
        <v>26331.72</v>
      </c>
      <c r="I2385" s="3">
        <v>716528</v>
      </c>
      <c r="J2385" s="3">
        <v>573222.40000000002</v>
      </c>
      <c r="K2385" s="3">
        <v>116973.87999999998</v>
      </c>
      <c r="L2385" t="s">
        <v>15</v>
      </c>
      <c r="M2385">
        <v>4.8</v>
      </c>
    </row>
    <row r="2386" spans="1:13" x14ac:dyDescent="0.25">
      <c r="A2386">
        <v>2385</v>
      </c>
      <c r="B2386" s="1">
        <v>43223</v>
      </c>
      <c r="C2386" s="1">
        <v>43519</v>
      </c>
      <c r="D2386" t="s">
        <v>23</v>
      </c>
      <c r="E2386" t="s">
        <v>27</v>
      </c>
      <c r="F2386" s="2">
        <v>181</v>
      </c>
      <c r="G2386" t="s">
        <v>12</v>
      </c>
      <c r="H2386" s="3">
        <v>69712.759999999995</v>
      </c>
      <c r="I2386" s="3">
        <v>1806129</v>
      </c>
      <c r="J2386" s="3">
        <v>1444903.2</v>
      </c>
      <c r="K2386" s="3">
        <v>291513.04000000004</v>
      </c>
      <c r="L2386" t="s">
        <v>14</v>
      </c>
      <c r="M2386">
        <v>4.2</v>
      </c>
    </row>
    <row r="2387" spans="1:13" x14ac:dyDescent="0.25">
      <c r="A2387">
        <v>2386</v>
      </c>
      <c r="B2387" s="1">
        <v>43223</v>
      </c>
      <c r="C2387" s="1">
        <v>43523</v>
      </c>
      <c r="D2387" t="s">
        <v>22</v>
      </c>
      <c r="E2387" t="s">
        <v>24</v>
      </c>
      <c r="F2387" s="2">
        <v>140</v>
      </c>
      <c r="G2387" t="s">
        <v>12</v>
      </c>
      <c r="H2387" s="3">
        <v>47235.360000000001</v>
      </c>
      <c r="I2387" s="3">
        <v>1247669</v>
      </c>
      <c r="J2387" s="3">
        <v>998135.2</v>
      </c>
      <c r="K2387" s="3">
        <v>202298.44000000006</v>
      </c>
      <c r="L2387" t="s">
        <v>18</v>
      </c>
      <c r="M2387">
        <v>4.2</v>
      </c>
    </row>
    <row r="2388" spans="1:13" x14ac:dyDescent="0.25">
      <c r="A2388">
        <v>2387</v>
      </c>
      <c r="B2388" s="1">
        <v>43224</v>
      </c>
      <c r="C2388" s="1">
        <v>43493</v>
      </c>
      <c r="D2388" t="s">
        <v>20</v>
      </c>
      <c r="E2388" t="s">
        <v>29</v>
      </c>
      <c r="F2388" s="2">
        <v>289</v>
      </c>
      <c r="G2388" t="s">
        <v>12</v>
      </c>
      <c r="H2388" s="3">
        <v>70702.2</v>
      </c>
      <c r="I2388" s="3">
        <v>1821065</v>
      </c>
      <c r="J2388" s="3">
        <v>1456852</v>
      </c>
      <c r="K2388" s="3">
        <v>293510.8</v>
      </c>
      <c r="L2388" t="s">
        <v>19</v>
      </c>
      <c r="M2388">
        <v>4.5999999999999996</v>
      </c>
    </row>
    <row r="2389" spans="1:13" x14ac:dyDescent="0.25">
      <c r="A2389">
        <v>2388</v>
      </c>
      <c r="B2389" s="1">
        <v>43225</v>
      </c>
      <c r="C2389" s="1">
        <v>43437</v>
      </c>
      <c r="D2389" t="s">
        <v>21</v>
      </c>
      <c r="E2389" t="s">
        <v>26</v>
      </c>
      <c r="F2389" s="2">
        <v>99</v>
      </c>
      <c r="G2389" t="s">
        <v>11</v>
      </c>
      <c r="H2389" s="3">
        <v>22819.200000000001</v>
      </c>
      <c r="I2389" s="3">
        <v>630615</v>
      </c>
      <c r="J2389" s="3">
        <v>504492</v>
      </c>
      <c r="K2389" s="3">
        <v>103303.8</v>
      </c>
      <c r="L2389" t="s">
        <v>14</v>
      </c>
      <c r="M2389">
        <v>4.5999999999999996</v>
      </c>
    </row>
    <row r="2390" spans="1:13" x14ac:dyDescent="0.25">
      <c r="A2390">
        <v>2389</v>
      </c>
      <c r="B2390" s="1">
        <v>43225</v>
      </c>
      <c r="C2390" s="1">
        <v>43532</v>
      </c>
      <c r="D2390" t="s">
        <v>23</v>
      </c>
      <c r="E2390" t="s">
        <v>24</v>
      </c>
      <c r="F2390" s="2">
        <v>247</v>
      </c>
      <c r="G2390" t="s">
        <v>12</v>
      </c>
      <c r="H2390" s="3">
        <v>90032</v>
      </c>
      <c r="I2390" s="3">
        <v>2317735</v>
      </c>
      <c r="J2390" s="3">
        <v>1854188</v>
      </c>
      <c r="K2390" s="3">
        <v>373515</v>
      </c>
      <c r="L2390" t="s">
        <v>19</v>
      </c>
      <c r="M2390">
        <v>4.3</v>
      </c>
    </row>
    <row r="2391" spans="1:13" x14ac:dyDescent="0.25">
      <c r="A2391">
        <v>2390</v>
      </c>
      <c r="B2391" s="1">
        <v>43225</v>
      </c>
      <c r="C2391" s="1">
        <v>43586</v>
      </c>
      <c r="D2391" t="s">
        <v>21</v>
      </c>
      <c r="E2391" t="s">
        <v>29</v>
      </c>
      <c r="F2391" s="2">
        <v>285</v>
      </c>
      <c r="G2391" t="s">
        <v>12</v>
      </c>
      <c r="H2391" s="3">
        <v>73383.600000000006</v>
      </c>
      <c r="I2391" s="3">
        <v>1889875</v>
      </c>
      <c r="J2391" s="3">
        <v>1511900</v>
      </c>
      <c r="K2391" s="3">
        <v>304591.40000000002</v>
      </c>
      <c r="L2391" t="s">
        <v>19</v>
      </c>
      <c r="M2391">
        <v>4.5999999999999996</v>
      </c>
    </row>
    <row r="2392" spans="1:13" x14ac:dyDescent="0.25">
      <c r="A2392">
        <v>2391</v>
      </c>
      <c r="B2392" s="1">
        <v>43228</v>
      </c>
      <c r="C2392" s="1">
        <v>43484</v>
      </c>
      <c r="D2392" t="s">
        <v>23</v>
      </c>
      <c r="E2392" t="s">
        <v>29</v>
      </c>
      <c r="F2392" s="2">
        <v>254</v>
      </c>
      <c r="G2392" t="s">
        <v>12</v>
      </c>
      <c r="H2392" s="3">
        <v>62509.760000000002</v>
      </c>
      <c r="I2392" s="3">
        <v>1627829</v>
      </c>
      <c r="J2392" s="3">
        <v>1302263.2</v>
      </c>
      <c r="K2392" s="3">
        <v>263056.04000000004</v>
      </c>
      <c r="L2392" t="s">
        <v>19</v>
      </c>
      <c r="M2392">
        <v>4.9000000000000004</v>
      </c>
    </row>
    <row r="2393" spans="1:13" x14ac:dyDescent="0.25">
      <c r="A2393">
        <v>2392</v>
      </c>
      <c r="B2393" s="1">
        <v>43228</v>
      </c>
      <c r="C2393" s="1">
        <v>43592</v>
      </c>
      <c r="D2393" t="s">
        <v>22</v>
      </c>
      <c r="E2393" t="s">
        <v>25</v>
      </c>
      <c r="F2393" s="2">
        <v>86</v>
      </c>
      <c r="G2393" t="s">
        <v>12</v>
      </c>
      <c r="H2393" s="3">
        <v>30455.200000000001</v>
      </c>
      <c r="I2393" s="3">
        <v>819865</v>
      </c>
      <c r="J2393" s="3">
        <v>655892</v>
      </c>
      <c r="K2393" s="3">
        <v>133517.79999999999</v>
      </c>
      <c r="L2393" t="s">
        <v>18</v>
      </c>
      <c r="M2393">
        <v>3.6</v>
      </c>
    </row>
    <row r="2394" spans="1:13" x14ac:dyDescent="0.25">
      <c r="A2394">
        <v>2393</v>
      </c>
      <c r="B2394" s="1">
        <v>43229</v>
      </c>
      <c r="C2394" s="1">
        <v>43375</v>
      </c>
      <c r="D2394" t="s">
        <v>22</v>
      </c>
      <c r="E2394" t="s">
        <v>29</v>
      </c>
      <c r="F2394" s="2">
        <v>277</v>
      </c>
      <c r="G2394" t="s">
        <v>12</v>
      </c>
      <c r="H2394" s="3">
        <v>81850.679999999993</v>
      </c>
      <c r="I2394" s="3">
        <v>2109177</v>
      </c>
      <c r="J2394" s="3">
        <v>1687341.6</v>
      </c>
      <c r="K2394" s="3">
        <v>339984.71999999991</v>
      </c>
      <c r="L2394" t="s">
        <v>14</v>
      </c>
      <c r="M2394">
        <v>4.5</v>
      </c>
    </row>
    <row r="2395" spans="1:13" x14ac:dyDescent="0.25">
      <c r="A2395">
        <v>2394</v>
      </c>
      <c r="B2395" s="1">
        <v>43229</v>
      </c>
      <c r="C2395" s="1">
        <v>43562</v>
      </c>
      <c r="D2395" t="s">
        <v>23</v>
      </c>
      <c r="E2395" t="s">
        <v>13</v>
      </c>
      <c r="F2395" s="2">
        <v>165</v>
      </c>
      <c r="G2395" t="s">
        <v>11</v>
      </c>
      <c r="H2395" s="3">
        <v>27560.799999999999</v>
      </c>
      <c r="I2395" s="3">
        <v>745280</v>
      </c>
      <c r="J2395" s="3">
        <v>596224</v>
      </c>
      <c r="K2395" s="3">
        <v>121495.2</v>
      </c>
      <c r="L2395" t="s">
        <v>14</v>
      </c>
      <c r="M2395">
        <v>3.8</v>
      </c>
    </row>
    <row r="2396" spans="1:13" x14ac:dyDescent="0.25">
      <c r="A2396">
        <v>2395</v>
      </c>
      <c r="B2396" s="1">
        <v>43230</v>
      </c>
      <c r="C2396" s="1">
        <v>43388</v>
      </c>
      <c r="D2396" t="s">
        <v>20</v>
      </c>
      <c r="E2396" t="s">
        <v>28</v>
      </c>
      <c r="F2396" s="2">
        <v>295</v>
      </c>
      <c r="G2396" t="s">
        <v>12</v>
      </c>
      <c r="H2396" s="3">
        <v>102730</v>
      </c>
      <c r="I2396" s="3">
        <v>2621585</v>
      </c>
      <c r="J2396" s="3">
        <v>2097268</v>
      </c>
      <c r="K2396" s="3">
        <v>421587</v>
      </c>
      <c r="L2396" t="s">
        <v>19</v>
      </c>
      <c r="M2396">
        <v>4.5</v>
      </c>
    </row>
    <row r="2397" spans="1:13" x14ac:dyDescent="0.25">
      <c r="A2397">
        <v>2396</v>
      </c>
      <c r="B2397" s="1">
        <v>43231</v>
      </c>
      <c r="C2397" s="1">
        <v>43409</v>
      </c>
      <c r="D2397" t="s">
        <v>23</v>
      </c>
      <c r="E2397" t="s">
        <v>27</v>
      </c>
      <c r="F2397" s="2">
        <v>167</v>
      </c>
      <c r="G2397" t="s">
        <v>12</v>
      </c>
      <c r="H2397" s="3">
        <v>63235.199999999997</v>
      </c>
      <c r="I2397" s="3">
        <v>1639415</v>
      </c>
      <c r="J2397" s="3">
        <v>1311532</v>
      </c>
      <c r="K2397" s="3">
        <v>264647.8</v>
      </c>
      <c r="L2397" t="s">
        <v>16</v>
      </c>
      <c r="M2397">
        <v>3.9</v>
      </c>
    </row>
    <row r="2398" spans="1:13" x14ac:dyDescent="0.25">
      <c r="A2398">
        <v>2397</v>
      </c>
      <c r="B2398" s="1">
        <v>43232</v>
      </c>
      <c r="C2398" s="1">
        <v>43528</v>
      </c>
      <c r="D2398" t="s">
        <v>21</v>
      </c>
      <c r="E2398" t="s">
        <v>28</v>
      </c>
      <c r="F2398" s="2">
        <v>231</v>
      </c>
      <c r="G2398" t="s">
        <v>12</v>
      </c>
      <c r="H2398" s="3">
        <v>79121.2</v>
      </c>
      <c r="I2398" s="3">
        <v>2037765</v>
      </c>
      <c r="J2398" s="3">
        <v>1630212</v>
      </c>
      <c r="K2398" s="3">
        <v>328431.8</v>
      </c>
      <c r="L2398" t="s">
        <v>17</v>
      </c>
      <c r="M2398">
        <v>4.0999999999999996</v>
      </c>
    </row>
    <row r="2399" spans="1:13" x14ac:dyDescent="0.25">
      <c r="A2399">
        <v>2398</v>
      </c>
      <c r="B2399" s="1">
        <v>43232</v>
      </c>
      <c r="C2399" s="1">
        <v>43463</v>
      </c>
      <c r="D2399" t="s">
        <v>20</v>
      </c>
      <c r="E2399" t="s">
        <v>13</v>
      </c>
      <c r="F2399" s="2">
        <v>89</v>
      </c>
      <c r="G2399" t="s">
        <v>11</v>
      </c>
      <c r="H2399" s="3">
        <v>19305.36</v>
      </c>
      <c r="I2399" s="3">
        <v>542669</v>
      </c>
      <c r="J2399" s="3">
        <v>434135.2</v>
      </c>
      <c r="K2399" s="3">
        <v>89228.439999999988</v>
      </c>
      <c r="L2399" t="s">
        <v>18</v>
      </c>
      <c r="M2399">
        <v>4.5999999999999996</v>
      </c>
    </row>
    <row r="2400" spans="1:13" x14ac:dyDescent="0.25">
      <c r="A2400">
        <v>2399</v>
      </c>
      <c r="B2400" s="1">
        <v>43232</v>
      </c>
      <c r="C2400" s="1">
        <v>43546</v>
      </c>
      <c r="D2400" t="s">
        <v>20</v>
      </c>
      <c r="E2400" t="s">
        <v>27</v>
      </c>
      <c r="F2400" s="2">
        <v>100</v>
      </c>
      <c r="G2400" t="s">
        <v>11</v>
      </c>
      <c r="H2400" s="3">
        <v>28201.200000000001</v>
      </c>
      <c r="I2400" s="3">
        <v>765765</v>
      </c>
      <c r="J2400" s="3">
        <v>612612</v>
      </c>
      <c r="K2400" s="3">
        <v>124951.8</v>
      </c>
      <c r="L2400" t="s">
        <v>17</v>
      </c>
      <c r="M2400">
        <v>5</v>
      </c>
    </row>
    <row r="2401" spans="1:13" x14ac:dyDescent="0.25">
      <c r="A2401">
        <v>2400</v>
      </c>
      <c r="B2401" s="1">
        <v>43232</v>
      </c>
      <c r="C2401" s="1">
        <v>43518</v>
      </c>
      <c r="D2401" t="s">
        <v>20</v>
      </c>
      <c r="E2401" t="s">
        <v>27</v>
      </c>
      <c r="F2401" s="2">
        <v>100</v>
      </c>
      <c r="G2401" t="s">
        <v>12</v>
      </c>
      <c r="H2401" s="3">
        <v>32220.84</v>
      </c>
      <c r="I2401" s="3">
        <v>868381</v>
      </c>
      <c r="J2401" s="3">
        <v>694704.8</v>
      </c>
      <c r="K2401" s="3">
        <v>141455.35999999996</v>
      </c>
      <c r="L2401" t="s">
        <v>15</v>
      </c>
      <c r="M2401">
        <v>4.5999999999999996</v>
      </c>
    </row>
    <row r="2402" spans="1:13" x14ac:dyDescent="0.25">
      <c r="A2402">
        <v>2401</v>
      </c>
      <c r="B2402" s="1">
        <v>43233</v>
      </c>
      <c r="C2402" s="1">
        <v>43491</v>
      </c>
      <c r="D2402" t="s">
        <v>22</v>
      </c>
      <c r="E2402" t="s">
        <v>27</v>
      </c>
      <c r="F2402" s="2">
        <v>213</v>
      </c>
      <c r="G2402" t="s">
        <v>12</v>
      </c>
      <c r="H2402" s="3">
        <v>85150.92</v>
      </c>
      <c r="I2402" s="3">
        <v>2180933</v>
      </c>
      <c r="J2402" s="3">
        <v>1744746.4</v>
      </c>
      <c r="K2402" s="3">
        <v>351035.68000000011</v>
      </c>
      <c r="L2402" t="s">
        <v>18</v>
      </c>
      <c r="M2402">
        <v>4.8</v>
      </c>
    </row>
    <row r="2403" spans="1:13" x14ac:dyDescent="0.25">
      <c r="A2403">
        <v>2402</v>
      </c>
      <c r="B2403" s="1">
        <v>43233</v>
      </c>
      <c r="C2403" s="1">
        <v>43421</v>
      </c>
      <c r="D2403" t="s">
        <v>20</v>
      </c>
      <c r="E2403" t="s">
        <v>13</v>
      </c>
      <c r="F2403" s="2">
        <v>81</v>
      </c>
      <c r="G2403" t="s">
        <v>11</v>
      </c>
      <c r="H2403" s="3">
        <v>13374.68</v>
      </c>
      <c r="I2403" s="3">
        <v>397427</v>
      </c>
      <c r="J2403" s="3">
        <v>317941.59999999998</v>
      </c>
      <c r="K2403" s="3">
        <v>66110.72000000003</v>
      </c>
      <c r="L2403" t="s">
        <v>17</v>
      </c>
      <c r="M2403">
        <v>3.7</v>
      </c>
    </row>
    <row r="2404" spans="1:13" x14ac:dyDescent="0.25">
      <c r="A2404">
        <v>2403</v>
      </c>
      <c r="B2404" s="1">
        <v>43233</v>
      </c>
      <c r="C2404" s="1">
        <v>43415</v>
      </c>
      <c r="D2404" t="s">
        <v>23</v>
      </c>
      <c r="E2404" t="s">
        <v>24</v>
      </c>
      <c r="F2404" s="2">
        <v>271</v>
      </c>
      <c r="G2404" t="s">
        <v>12</v>
      </c>
      <c r="H2404" s="3">
        <v>71811</v>
      </c>
      <c r="I2404" s="3">
        <v>1856435</v>
      </c>
      <c r="J2404" s="3">
        <v>1485148</v>
      </c>
      <c r="K2404" s="3">
        <v>299476</v>
      </c>
      <c r="L2404" t="s">
        <v>19</v>
      </c>
      <c r="M2404">
        <v>4.3</v>
      </c>
    </row>
    <row r="2405" spans="1:13" x14ac:dyDescent="0.25">
      <c r="A2405">
        <v>2404</v>
      </c>
      <c r="B2405" s="1">
        <v>43233</v>
      </c>
      <c r="C2405" s="1">
        <v>43383</v>
      </c>
      <c r="D2405" t="s">
        <v>21</v>
      </c>
      <c r="E2405" t="s">
        <v>13</v>
      </c>
      <c r="F2405" s="2">
        <v>215</v>
      </c>
      <c r="G2405" t="s">
        <v>12</v>
      </c>
      <c r="H2405" s="3">
        <v>53395.92</v>
      </c>
      <c r="I2405" s="3">
        <v>1392983</v>
      </c>
      <c r="J2405" s="3">
        <v>1114386.3999999999</v>
      </c>
      <c r="K2405" s="3">
        <v>225200.68000000011</v>
      </c>
      <c r="L2405" t="s">
        <v>19</v>
      </c>
      <c r="M2405">
        <v>4.5</v>
      </c>
    </row>
    <row r="2406" spans="1:13" x14ac:dyDescent="0.25">
      <c r="A2406">
        <v>2405</v>
      </c>
      <c r="B2406" s="1">
        <v>43234</v>
      </c>
      <c r="C2406" s="1">
        <v>43550</v>
      </c>
      <c r="D2406" t="s">
        <v>20</v>
      </c>
      <c r="E2406" t="s">
        <v>27</v>
      </c>
      <c r="F2406" s="2">
        <v>203</v>
      </c>
      <c r="G2406" t="s">
        <v>12</v>
      </c>
      <c r="H2406" s="3">
        <v>53763.8</v>
      </c>
      <c r="I2406" s="3">
        <v>1408205</v>
      </c>
      <c r="J2406" s="3">
        <v>1126564</v>
      </c>
      <c r="K2406" s="3">
        <v>227877.2</v>
      </c>
      <c r="L2406" t="s">
        <v>15</v>
      </c>
      <c r="M2406">
        <v>4.2</v>
      </c>
    </row>
    <row r="2407" spans="1:13" x14ac:dyDescent="0.25">
      <c r="A2407">
        <v>2406</v>
      </c>
      <c r="B2407" s="1">
        <v>43234</v>
      </c>
      <c r="C2407" s="1">
        <v>43383</v>
      </c>
      <c r="D2407" t="s">
        <v>23</v>
      </c>
      <c r="E2407" t="s">
        <v>24</v>
      </c>
      <c r="F2407" s="2">
        <v>194</v>
      </c>
      <c r="G2407" t="s">
        <v>12</v>
      </c>
      <c r="H2407" s="3">
        <v>72480.84</v>
      </c>
      <c r="I2407" s="3">
        <v>1877056</v>
      </c>
      <c r="J2407" s="3">
        <v>1501644.8</v>
      </c>
      <c r="K2407" s="3">
        <v>302930.36</v>
      </c>
      <c r="L2407" t="s">
        <v>19</v>
      </c>
      <c r="M2407">
        <v>4.5</v>
      </c>
    </row>
    <row r="2408" spans="1:13" x14ac:dyDescent="0.25">
      <c r="A2408">
        <v>2407</v>
      </c>
      <c r="B2408" s="1">
        <v>43234</v>
      </c>
      <c r="C2408" s="1">
        <v>43339</v>
      </c>
      <c r="D2408" t="s">
        <v>20</v>
      </c>
      <c r="E2408" t="s">
        <v>25</v>
      </c>
      <c r="F2408" s="2">
        <v>132</v>
      </c>
      <c r="G2408" t="s">
        <v>11</v>
      </c>
      <c r="H2408" s="3">
        <v>21325.8</v>
      </c>
      <c r="I2408" s="3">
        <v>596655</v>
      </c>
      <c r="J2408" s="3">
        <v>477324</v>
      </c>
      <c r="K2408" s="3">
        <v>98005.2</v>
      </c>
      <c r="L2408" t="s">
        <v>17</v>
      </c>
      <c r="M2408">
        <v>3.7</v>
      </c>
    </row>
    <row r="2409" spans="1:13" x14ac:dyDescent="0.25">
      <c r="A2409">
        <v>2408</v>
      </c>
      <c r="B2409" s="1">
        <v>43234</v>
      </c>
      <c r="C2409" s="1">
        <v>43385</v>
      </c>
      <c r="D2409" t="s">
        <v>22</v>
      </c>
      <c r="E2409" t="s">
        <v>13</v>
      </c>
      <c r="F2409" s="2">
        <v>193</v>
      </c>
      <c r="G2409" t="s">
        <v>12</v>
      </c>
      <c r="H2409" s="3">
        <v>31815.759999999998</v>
      </c>
      <c r="I2409" s="3">
        <v>853579</v>
      </c>
      <c r="J2409" s="3">
        <v>682863.2</v>
      </c>
      <c r="K2409" s="3">
        <v>138900.04000000004</v>
      </c>
      <c r="L2409" t="s">
        <v>18</v>
      </c>
      <c r="M2409">
        <v>3.6</v>
      </c>
    </row>
    <row r="2410" spans="1:13" x14ac:dyDescent="0.25">
      <c r="A2410">
        <v>2409</v>
      </c>
      <c r="B2410" s="1">
        <v>43234</v>
      </c>
      <c r="C2410" s="1">
        <v>43450</v>
      </c>
      <c r="D2410" t="s">
        <v>21</v>
      </c>
      <c r="E2410" t="s">
        <v>24</v>
      </c>
      <c r="F2410" s="2">
        <v>188</v>
      </c>
      <c r="G2410" t="s">
        <v>12</v>
      </c>
      <c r="H2410" s="3">
        <v>70612.600000000006</v>
      </c>
      <c r="I2410" s="3">
        <v>1826975</v>
      </c>
      <c r="J2410" s="3">
        <v>1461580</v>
      </c>
      <c r="K2410" s="3">
        <v>294782.40000000002</v>
      </c>
      <c r="L2410" t="s">
        <v>14</v>
      </c>
      <c r="M2410">
        <v>4.4000000000000004</v>
      </c>
    </row>
    <row r="2411" spans="1:13" x14ac:dyDescent="0.25">
      <c r="A2411">
        <v>2410</v>
      </c>
      <c r="B2411" s="1">
        <v>43235</v>
      </c>
      <c r="C2411" s="1">
        <v>43548</v>
      </c>
      <c r="D2411" t="s">
        <v>21</v>
      </c>
      <c r="E2411" t="s">
        <v>24</v>
      </c>
      <c r="F2411" s="2">
        <v>62</v>
      </c>
      <c r="G2411" t="s">
        <v>11</v>
      </c>
      <c r="H2411" s="3">
        <v>23448.52</v>
      </c>
      <c r="I2411" s="3">
        <v>652148</v>
      </c>
      <c r="J2411" s="3">
        <v>521718.4</v>
      </c>
      <c r="K2411" s="3">
        <v>106981.07999999997</v>
      </c>
      <c r="L2411" t="s">
        <v>17</v>
      </c>
      <c r="M2411">
        <v>3.6</v>
      </c>
    </row>
    <row r="2412" spans="1:13" x14ac:dyDescent="0.25">
      <c r="A2412">
        <v>2411</v>
      </c>
      <c r="B2412" s="1">
        <v>43235</v>
      </c>
      <c r="C2412" s="1">
        <v>43489</v>
      </c>
      <c r="D2412" t="s">
        <v>21</v>
      </c>
      <c r="E2412" t="s">
        <v>24</v>
      </c>
      <c r="F2412" s="2">
        <v>198</v>
      </c>
      <c r="G2412" t="s">
        <v>12</v>
      </c>
      <c r="H2412" s="3">
        <v>45611.519999999997</v>
      </c>
      <c r="I2412" s="3">
        <v>1199873</v>
      </c>
      <c r="J2412" s="3">
        <v>959898.4</v>
      </c>
      <c r="K2412" s="3">
        <v>194363.08</v>
      </c>
      <c r="L2412" t="s">
        <v>16</v>
      </c>
      <c r="M2412">
        <v>3.9</v>
      </c>
    </row>
    <row r="2413" spans="1:13" x14ac:dyDescent="0.25">
      <c r="A2413">
        <v>2412</v>
      </c>
      <c r="B2413" s="1">
        <v>43236</v>
      </c>
      <c r="C2413" s="1">
        <v>43525</v>
      </c>
      <c r="D2413" t="s">
        <v>23</v>
      </c>
      <c r="E2413" t="s">
        <v>28</v>
      </c>
      <c r="F2413" s="2">
        <v>274</v>
      </c>
      <c r="G2413" t="s">
        <v>12</v>
      </c>
      <c r="H2413" s="3">
        <v>71315.72</v>
      </c>
      <c r="I2413" s="3">
        <v>1839478</v>
      </c>
      <c r="J2413" s="3">
        <v>1471582.4</v>
      </c>
      <c r="K2413" s="3">
        <v>296579.88000000012</v>
      </c>
      <c r="L2413" t="s">
        <v>16</v>
      </c>
      <c r="M2413">
        <v>4</v>
      </c>
    </row>
    <row r="2414" spans="1:13" x14ac:dyDescent="0.25">
      <c r="A2414">
        <v>2413</v>
      </c>
      <c r="B2414" s="1">
        <v>43236</v>
      </c>
      <c r="C2414" s="1">
        <v>43329</v>
      </c>
      <c r="D2414" t="s">
        <v>22</v>
      </c>
      <c r="E2414" t="s">
        <v>27</v>
      </c>
      <c r="F2414" s="2">
        <v>117</v>
      </c>
      <c r="G2414" t="s">
        <v>11</v>
      </c>
      <c r="H2414" s="3">
        <v>19182.2</v>
      </c>
      <c r="I2414" s="3">
        <v>535865</v>
      </c>
      <c r="J2414" s="3">
        <v>428692</v>
      </c>
      <c r="K2414" s="3">
        <v>87990.8</v>
      </c>
      <c r="L2414" t="s">
        <v>16</v>
      </c>
      <c r="M2414">
        <v>4</v>
      </c>
    </row>
    <row r="2415" spans="1:13" x14ac:dyDescent="0.25">
      <c r="A2415">
        <v>2414</v>
      </c>
      <c r="B2415" s="1">
        <v>43236</v>
      </c>
      <c r="C2415" s="1">
        <v>43419</v>
      </c>
      <c r="D2415" t="s">
        <v>23</v>
      </c>
      <c r="E2415" t="s">
        <v>28</v>
      </c>
      <c r="F2415" s="2">
        <v>253</v>
      </c>
      <c r="G2415" t="s">
        <v>12</v>
      </c>
      <c r="H2415" s="3">
        <v>87359.16</v>
      </c>
      <c r="I2415" s="3">
        <v>2239489</v>
      </c>
      <c r="J2415" s="3">
        <v>1791591.2</v>
      </c>
      <c r="K2415" s="3">
        <v>360538.64</v>
      </c>
      <c r="L2415" t="s">
        <v>15</v>
      </c>
      <c r="M2415">
        <v>5</v>
      </c>
    </row>
    <row r="2416" spans="1:13" x14ac:dyDescent="0.25">
      <c r="A2416">
        <v>2415</v>
      </c>
      <c r="B2416" s="1">
        <v>43236</v>
      </c>
      <c r="C2416" s="1">
        <v>43548</v>
      </c>
      <c r="D2416" t="s">
        <v>21</v>
      </c>
      <c r="E2416" t="s">
        <v>28</v>
      </c>
      <c r="F2416" s="2">
        <v>289</v>
      </c>
      <c r="G2416" t="s">
        <v>12</v>
      </c>
      <c r="H2416" s="3">
        <v>87374.2</v>
      </c>
      <c r="I2416" s="3">
        <v>2236890</v>
      </c>
      <c r="J2416" s="3">
        <v>1789512</v>
      </c>
      <c r="K2416" s="3">
        <v>360003.8</v>
      </c>
      <c r="L2416" t="s">
        <v>18</v>
      </c>
      <c r="M2416">
        <v>3.6</v>
      </c>
    </row>
    <row r="2417" spans="1:13" x14ac:dyDescent="0.25">
      <c r="A2417">
        <v>2416</v>
      </c>
      <c r="B2417" s="1">
        <v>43236</v>
      </c>
      <c r="C2417" s="1">
        <v>43372</v>
      </c>
      <c r="D2417" t="s">
        <v>20</v>
      </c>
      <c r="E2417" t="s">
        <v>27</v>
      </c>
      <c r="F2417" s="2">
        <v>176</v>
      </c>
      <c r="G2417" t="s">
        <v>12</v>
      </c>
      <c r="H2417" s="3">
        <v>32087.16</v>
      </c>
      <c r="I2417" s="3">
        <v>869014</v>
      </c>
      <c r="J2417" s="3">
        <v>695211.2</v>
      </c>
      <c r="K2417" s="3">
        <v>141715.64000000004</v>
      </c>
      <c r="L2417" t="s">
        <v>17</v>
      </c>
      <c r="M2417">
        <v>4</v>
      </c>
    </row>
    <row r="2418" spans="1:13" x14ac:dyDescent="0.25">
      <c r="A2418">
        <v>2417</v>
      </c>
      <c r="B2418" s="1">
        <v>43237</v>
      </c>
      <c r="C2418" s="1">
        <v>43480</v>
      </c>
      <c r="D2418" t="s">
        <v>21</v>
      </c>
      <c r="E2418" t="s">
        <v>26</v>
      </c>
      <c r="F2418" s="2">
        <v>179</v>
      </c>
      <c r="G2418" t="s">
        <v>12</v>
      </c>
      <c r="H2418" s="3">
        <v>43424.639999999999</v>
      </c>
      <c r="I2418" s="3">
        <v>1149501</v>
      </c>
      <c r="J2418" s="3">
        <v>919600.8</v>
      </c>
      <c r="K2418" s="3">
        <v>186475.55999999994</v>
      </c>
      <c r="L2418" t="s">
        <v>18</v>
      </c>
      <c r="M2418">
        <v>3.6</v>
      </c>
    </row>
    <row r="2419" spans="1:13" x14ac:dyDescent="0.25">
      <c r="A2419">
        <v>2418</v>
      </c>
      <c r="B2419" s="1">
        <v>43238</v>
      </c>
      <c r="C2419" s="1">
        <v>43365</v>
      </c>
      <c r="D2419" t="s">
        <v>21</v>
      </c>
      <c r="E2419" t="s">
        <v>13</v>
      </c>
      <c r="F2419" s="2">
        <v>163</v>
      </c>
      <c r="G2419" t="s">
        <v>12</v>
      </c>
      <c r="H2419" s="3">
        <v>33335.800000000003</v>
      </c>
      <c r="I2419" s="3">
        <v>889855</v>
      </c>
      <c r="J2419" s="3">
        <v>711884</v>
      </c>
      <c r="K2419" s="3">
        <v>144635.20000000001</v>
      </c>
      <c r="L2419" t="s">
        <v>18</v>
      </c>
      <c r="M2419">
        <v>4.2</v>
      </c>
    </row>
    <row r="2420" spans="1:13" x14ac:dyDescent="0.25">
      <c r="A2420">
        <v>2419</v>
      </c>
      <c r="B2420" s="1">
        <v>43238</v>
      </c>
      <c r="C2420" s="1">
        <v>43381</v>
      </c>
      <c r="D2420" t="s">
        <v>22</v>
      </c>
      <c r="E2420" t="s">
        <v>24</v>
      </c>
      <c r="F2420" s="2">
        <v>171</v>
      </c>
      <c r="G2420" t="s">
        <v>12</v>
      </c>
      <c r="H2420" s="3">
        <v>47510.04</v>
      </c>
      <c r="I2420" s="3">
        <v>1251061</v>
      </c>
      <c r="J2420" s="3">
        <v>1000848.8</v>
      </c>
      <c r="K2420" s="3">
        <v>202702.15999999995</v>
      </c>
      <c r="L2420" t="s">
        <v>19</v>
      </c>
      <c r="M2420">
        <v>3.8</v>
      </c>
    </row>
    <row r="2421" spans="1:13" x14ac:dyDescent="0.25">
      <c r="A2421">
        <v>2420</v>
      </c>
      <c r="B2421" s="1">
        <v>43238</v>
      </c>
      <c r="C2421" s="1">
        <v>43374</v>
      </c>
      <c r="D2421" t="s">
        <v>23</v>
      </c>
      <c r="E2421" t="s">
        <v>24</v>
      </c>
      <c r="F2421" s="2">
        <v>144</v>
      </c>
      <c r="G2421" t="s">
        <v>12</v>
      </c>
      <c r="H2421" s="3">
        <v>43159.96</v>
      </c>
      <c r="I2421" s="3">
        <v>1135509</v>
      </c>
      <c r="J2421" s="3">
        <v>908407.2</v>
      </c>
      <c r="K2421" s="3">
        <v>183941.84000000005</v>
      </c>
      <c r="L2421" t="s">
        <v>19</v>
      </c>
      <c r="M2421">
        <v>4.5</v>
      </c>
    </row>
    <row r="2422" spans="1:13" x14ac:dyDescent="0.25">
      <c r="A2422">
        <v>2421</v>
      </c>
      <c r="B2422" s="1">
        <v>43239</v>
      </c>
      <c r="C2422" s="1">
        <v>43569</v>
      </c>
      <c r="D2422" t="s">
        <v>23</v>
      </c>
      <c r="E2422" t="s">
        <v>24</v>
      </c>
      <c r="F2422" s="2">
        <v>46</v>
      </c>
      <c r="G2422" t="s">
        <v>11</v>
      </c>
      <c r="H2422" s="3">
        <v>9260.32</v>
      </c>
      <c r="I2422" s="3">
        <v>284768</v>
      </c>
      <c r="J2422" s="3">
        <v>227814.39999999999</v>
      </c>
      <c r="K2422" s="3">
        <v>47693.280000000006</v>
      </c>
      <c r="L2422" t="s">
        <v>18</v>
      </c>
      <c r="M2422">
        <v>4.2</v>
      </c>
    </row>
    <row r="2423" spans="1:13" x14ac:dyDescent="0.25">
      <c r="A2423">
        <v>2422</v>
      </c>
      <c r="B2423" s="1">
        <v>43239</v>
      </c>
      <c r="C2423" s="1">
        <v>43500</v>
      </c>
      <c r="D2423" t="s">
        <v>23</v>
      </c>
      <c r="E2423" t="s">
        <v>24</v>
      </c>
      <c r="F2423" s="2">
        <v>275</v>
      </c>
      <c r="G2423" t="s">
        <v>12</v>
      </c>
      <c r="H2423" s="3">
        <v>93724</v>
      </c>
      <c r="I2423" s="3">
        <v>2406685</v>
      </c>
      <c r="J2423" s="3">
        <v>1925348</v>
      </c>
      <c r="K2423" s="3">
        <v>387613</v>
      </c>
      <c r="L2423" t="s">
        <v>19</v>
      </c>
      <c r="M2423">
        <v>4</v>
      </c>
    </row>
    <row r="2424" spans="1:13" x14ac:dyDescent="0.25">
      <c r="A2424">
        <v>2423</v>
      </c>
      <c r="B2424" s="1">
        <v>43240</v>
      </c>
      <c r="C2424" s="1">
        <v>43378</v>
      </c>
      <c r="D2424" t="s">
        <v>21</v>
      </c>
      <c r="E2424" t="s">
        <v>24</v>
      </c>
      <c r="F2424" s="2">
        <v>149</v>
      </c>
      <c r="G2424" t="s">
        <v>12</v>
      </c>
      <c r="H2424" s="3">
        <v>50950.04</v>
      </c>
      <c r="I2424" s="3">
        <v>1330661</v>
      </c>
      <c r="J2424" s="3">
        <v>1064528.8</v>
      </c>
      <c r="K2424" s="3">
        <v>215182.15999999995</v>
      </c>
      <c r="L2424" t="s">
        <v>14</v>
      </c>
      <c r="M2424">
        <v>4.5999999999999996</v>
      </c>
    </row>
    <row r="2425" spans="1:13" x14ac:dyDescent="0.25">
      <c r="A2425">
        <v>2424</v>
      </c>
      <c r="B2425" s="1">
        <v>43240</v>
      </c>
      <c r="C2425" s="1">
        <v>43365</v>
      </c>
      <c r="D2425" t="s">
        <v>21</v>
      </c>
      <c r="E2425" t="s">
        <v>25</v>
      </c>
      <c r="F2425" s="2">
        <v>219</v>
      </c>
      <c r="G2425" t="s">
        <v>12</v>
      </c>
      <c r="H2425" s="3">
        <v>69142</v>
      </c>
      <c r="I2425" s="3">
        <v>1789460</v>
      </c>
      <c r="J2425" s="3">
        <v>1431568</v>
      </c>
      <c r="K2425" s="3">
        <v>288750</v>
      </c>
      <c r="L2425" t="s">
        <v>17</v>
      </c>
      <c r="M2425">
        <v>4</v>
      </c>
    </row>
    <row r="2426" spans="1:13" x14ac:dyDescent="0.25">
      <c r="A2426">
        <v>2425</v>
      </c>
      <c r="B2426" s="1">
        <v>43240</v>
      </c>
      <c r="C2426" s="1">
        <v>43419</v>
      </c>
      <c r="D2426" t="s">
        <v>21</v>
      </c>
      <c r="E2426" t="s">
        <v>29</v>
      </c>
      <c r="F2426" s="2">
        <v>278</v>
      </c>
      <c r="G2426" t="s">
        <v>12</v>
      </c>
      <c r="H2426" s="3">
        <v>102890.6</v>
      </c>
      <c r="I2426" s="3">
        <v>2639675</v>
      </c>
      <c r="J2426" s="3">
        <v>2111740</v>
      </c>
      <c r="K2426" s="3">
        <v>425044.4</v>
      </c>
      <c r="L2426" t="s">
        <v>16</v>
      </c>
      <c r="M2426">
        <v>3.6</v>
      </c>
    </row>
    <row r="2427" spans="1:13" x14ac:dyDescent="0.25">
      <c r="A2427">
        <v>2426</v>
      </c>
      <c r="B2427" s="1">
        <v>43240</v>
      </c>
      <c r="C2427" s="1">
        <v>43586</v>
      </c>
      <c r="D2427" t="s">
        <v>21</v>
      </c>
      <c r="E2427" t="s">
        <v>13</v>
      </c>
      <c r="F2427" s="2">
        <v>243</v>
      </c>
      <c r="G2427" t="s">
        <v>12</v>
      </c>
      <c r="H2427" s="3">
        <v>92070.6</v>
      </c>
      <c r="I2427" s="3">
        <v>2357050</v>
      </c>
      <c r="J2427" s="3">
        <v>1885640</v>
      </c>
      <c r="K2427" s="3">
        <v>379339.4</v>
      </c>
      <c r="L2427" t="s">
        <v>17</v>
      </c>
      <c r="M2427">
        <v>3.9</v>
      </c>
    </row>
    <row r="2428" spans="1:13" x14ac:dyDescent="0.25">
      <c r="A2428">
        <v>2427</v>
      </c>
      <c r="B2428" s="1">
        <v>43241</v>
      </c>
      <c r="C2428" s="1">
        <v>43444</v>
      </c>
      <c r="D2428" t="s">
        <v>22</v>
      </c>
      <c r="E2428" t="s">
        <v>27</v>
      </c>
      <c r="F2428" s="2">
        <v>209</v>
      </c>
      <c r="G2428" t="s">
        <v>12</v>
      </c>
      <c r="H2428" s="3">
        <v>36078.639999999999</v>
      </c>
      <c r="I2428" s="3">
        <v>964526</v>
      </c>
      <c r="J2428" s="3">
        <v>771620.8</v>
      </c>
      <c r="K2428" s="3">
        <v>156826.55999999994</v>
      </c>
      <c r="L2428" t="s">
        <v>19</v>
      </c>
      <c r="M2428">
        <v>3.7</v>
      </c>
    </row>
    <row r="2429" spans="1:13" x14ac:dyDescent="0.25">
      <c r="A2429">
        <v>2428</v>
      </c>
      <c r="B2429" s="1">
        <v>43241</v>
      </c>
      <c r="C2429" s="1">
        <v>43490</v>
      </c>
      <c r="D2429" t="s">
        <v>22</v>
      </c>
      <c r="E2429" t="s">
        <v>24</v>
      </c>
      <c r="F2429" s="2">
        <v>270</v>
      </c>
      <c r="G2429" t="s">
        <v>12</v>
      </c>
      <c r="H2429" s="3">
        <v>89615.039999999994</v>
      </c>
      <c r="I2429" s="3">
        <v>2304561</v>
      </c>
      <c r="J2429" s="3">
        <v>1843648.8</v>
      </c>
      <c r="K2429" s="3">
        <v>371297.16</v>
      </c>
      <c r="L2429" t="s">
        <v>18</v>
      </c>
      <c r="M2429">
        <v>3.9</v>
      </c>
    </row>
    <row r="2430" spans="1:13" x14ac:dyDescent="0.25">
      <c r="A2430">
        <v>2429</v>
      </c>
      <c r="B2430" s="1">
        <v>43241</v>
      </c>
      <c r="C2430" s="1">
        <v>43559</v>
      </c>
      <c r="D2430" t="s">
        <v>20</v>
      </c>
      <c r="E2430" t="s">
        <v>24</v>
      </c>
      <c r="F2430" s="2">
        <v>238</v>
      </c>
      <c r="G2430" t="s">
        <v>12</v>
      </c>
      <c r="H2430" s="3">
        <v>80492.800000000003</v>
      </c>
      <c r="I2430" s="3">
        <v>2073905</v>
      </c>
      <c r="J2430" s="3">
        <v>1659124</v>
      </c>
      <c r="K2430" s="3">
        <v>334288.2</v>
      </c>
      <c r="L2430" t="s">
        <v>15</v>
      </c>
      <c r="M2430">
        <v>4.3</v>
      </c>
    </row>
    <row r="2431" spans="1:13" x14ac:dyDescent="0.25">
      <c r="A2431">
        <v>2430</v>
      </c>
      <c r="B2431" s="1">
        <v>43242</v>
      </c>
      <c r="C2431" s="1">
        <v>43487</v>
      </c>
      <c r="D2431" t="s">
        <v>20</v>
      </c>
      <c r="E2431" t="s">
        <v>13</v>
      </c>
      <c r="F2431" s="2">
        <v>265</v>
      </c>
      <c r="G2431" t="s">
        <v>12</v>
      </c>
      <c r="H2431" s="3">
        <v>91496</v>
      </c>
      <c r="I2431" s="3">
        <v>2339985</v>
      </c>
      <c r="J2431" s="3">
        <v>1871988</v>
      </c>
      <c r="K2431" s="3">
        <v>376501</v>
      </c>
      <c r="L2431" t="s">
        <v>19</v>
      </c>
      <c r="M2431">
        <v>4.5999999999999996</v>
      </c>
    </row>
    <row r="2432" spans="1:13" x14ac:dyDescent="0.25">
      <c r="A2432">
        <v>2431</v>
      </c>
      <c r="B2432" s="1">
        <v>43242</v>
      </c>
      <c r="C2432" s="1">
        <v>43339</v>
      </c>
      <c r="D2432" t="s">
        <v>20</v>
      </c>
      <c r="E2432" t="s">
        <v>26</v>
      </c>
      <c r="F2432" s="2">
        <v>226</v>
      </c>
      <c r="G2432" t="s">
        <v>12</v>
      </c>
      <c r="H2432" s="3">
        <v>66829.72</v>
      </c>
      <c r="I2432" s="3">
        <v>1735653</v>
      </c>
      <c r="J2432" s="3">
        <v>1388522.4</v>
      </c>
      <c r="K2432" s="3">
        <v>280300.88000000012</v>
      </c>
      <c r="L2432" t="s">
        <v>14</v>
      </c>
      <c r="M2432">
        <v>4.8</v>
      </c>
    </row>
    <row r="2433" spans="1:13" x14ac:dyDescent="0.25">
      <c r="A2433">
        <v>2432</v>
      </c>
      <c r="B2433" s="1">
        <v>43242</v>
      </c>
      <c r="C2433" s="1">
        <v>43523</v>
      </c>
      <c r="D2433" t="s">
        <v>22</v>
      </c>
      <c r="E2433" t="s">
        <v>28</v>
      </c>
      <c r="F2433" s="2">
        <v>200</v>
      </c>
      <c r="G2433" t="s">
        <v>12</v>
      </c>
      <c r="H2433" s="3">
        <v>51726.84</v>
      </c>
      <c r="I2433" s="3">
        <v>1352331</v>
      </c>
      <c r="J2433" s="3">
        <v>1081864.8</v>
      </c>
      <c r="K2433" s="3">
        <v>218739.35999999996</v>
      </c>
      <c r="L2433" t="s">
        <v>14</v>
      </c>
      <c r="M2433">
        <v>4.0999999999999996</v>
      </c>
    </row>
    <row r="2434" spans="1:13" x14ac:dyDescent="0.25">
      <c r="A2434">
        <v>2433</v>
      </c>
      <c r="B2434" s="1">
        <v>43243</v>
      </c>
      <c r="C2434" s="1">
        <v>43494</v>
      </c>
      <c r="D2434" t="s">
        <v>23</v>
      </c>
      <c r="E2434" t="s">
        <v>24</v>
      </c>
      <c r="F2434" s="2">
        <v>199</v>
      </c>
      <c r="G2434" t="s">
        <v>12</v>
      </c>
      <c r="H2434" s="3">
        <v>43842.400000000001</v>
      </c>
      <c r="I2434" s="3">
        <v>1148495</v>
      </c>
      <c r="J2434" s="3">
        <v>918796</v>
      </c>
      <c r="K2434" s="3">
        <v>185856.6</v>
      </c>
      <c r="L2434" t="s">
        <v>15</v>
      </c>
      <c r="M2434">
        <v>4.3</v>
      </c>
    </row>
    <row r="2435" spans="1:13" x14ac:dyDescent="0.25">
      <c r="A2435">
        <v>2434</v>
      </c>
      <c r="B2435" s="1">
        <v>43244</v>
      </c>
      <c r="C2435" s="1">
        <v>43496</v>
      </c>
      <c r="D2435" t="s">
        <v>22</v>
      </c>
      <c r="E2435" t="s">
        <v>29</v>
      </c>
      <c r="F2435" s="2">
        <v>118</v>
      </c>
      <c r="G2435" t="s">
        <v>12</v>
      </c>
      <c r="H2435" s="3">
        <v>32042</v>
      </c>
      <c r="I2435" s="3">
        <v>859110</v>
      </c>
      <c r="J2435" s="3">
        <v>687288</v>
      </c>
      <c r="K2435" s="3">
        <v>139780</v>
      </c>
      <c r="L2435" t="s">
        <v>16</v>
      </c>
      <c r="M2435">
        <v>3.6</v>
      </c>
    </row>
    <row r="2436" spans="1:13" x14ac:dyDescent="0.25">
      <c r="A2436">
        <v>2435</v>
      </c>
      <c r="B2436" s="1">
        <v>43245</v>
      </c>
      <c r="C2436" s="1">
        <v>43475</v>
      </c>
      <c r="D2436" t="s">
        <v>21</v>
      </c>
      <c r="E2436" t="s">
        <v>24</v>
      </c>
      <c r="F2436" s="2">
        <v>192</v>
      </c>
      <c r="G2436" t="s">
        <v>12</v>
      </c>
      <c r="H2436" s="3">
        <v>75963.8</v>
      </c>
      <c r="I2436" s="3">
        <v>1964255</v>
      </c>
      <c r="J2436" s="3">
        <v>1571404</v>
      </c>
      <c r="K2436" s="3">
        <v>316887.2</v>
      </c>
      <c r="L2436" t="s">
        <v>17</v>
      </c>
      <c r="M2436">
        <v>4.7</v>
      </c>
    </row>
    <row r="2437" spans="1:13" x14ac:dyDescent="0.25">
      <c r="A2437">
        <v>2436</v>
      </c>
      <c r="B2437" s="1">
        <v>43246</v>
      </c>
      <c r="C2437" s="1">
        <v>43342</v>
      </c>
      <c r="D2437" t="s">
        <v>20</v>
      </c>
      <c r="E2437" t="s">
        <v>28</v>
      </c>
      <c r="F2437" s="2">
        <v>122</v>
      </c>
      <c r="G2437" t="s">
        <v>12</v>
      </c>
      <c r="H2437" s="3">
        <v>31730.2</v>
      </c>
      <c r="I2437" s="3">
        <v>854990</v>
      </c>
      <c r="J2437" s="3">
        <v>683992</v>
      </c>
      <c r="K2437" s="3">
        <v>139267.79999999999</v>
      </c>
      <c r="L2437" t="s">
        <v>14</v>
      </c>
      <c r="M2437">
        <v>5</v>
      </c>
    </row>
    <row r="2438" spans="1:13" x14ac:dyDescent="0.25">
      <c r="A2438">
        <v>2437</v>
      </c>
      <c r="B2438" s="1">
        <v>43246</v>
      </c>
      <c r="C2438" s="1">
        <v>43460</v>
      </c>
      <c r="D2438" t="s">
        <v>23</v>
      </c>
      <c r="E2438" t="s">
        <v>29</v>
      </c>
      <c r="F2438" s="2">
        <v>38</v>
      </c>
      <c r="G2438" t="s">
        <v>11</v>
      </c>
      <c r="H2438" s="3">
        <v>14391.2</v>
      </c>
      <c r="I2438" s="3">
        <v>416390</v>
      </c>
      <c r="J2438" s="3">
        <v>333112</v>
      </c>
      <c r="K2438" s="3">
        <v>68886.8</v>
      </c>
      <c r="L2438" t="s">
        <v>17</v>
      </c>
      <c r="M2438">
        <v>4.2</v>
      </c>
    </row>
    <row r="2439" spans="1:13" x14ac:dyDescent="0.25">
      <c r="A2439">
        <v>2438</v>
      </c>
      <c r="B2439" s="1">
        <v>43246</v>
      </c>
      <c r="C2439" s="1">
        <v>43460</v>
      </c>
      <c r="D2439" t="s">
        <v>21</v>
      </c>
      <c r="E2439" t="s">
        <v>28</v>
      </c>
      <c r="F2439" s="2">
        <v>273</v>
      </c>
      <c r="G2439" t="s">
        <v>12</v>
      </c>
      <c r="H2439" s="3">
        <v>92399.6</v>
      </c>
      <c r="I2439" s="3">
        <v>2373075</v>
      </c>
      <c r="J2439" s="3">
        <v>1898460</v>
      </c>
      <c r="K2439" s="3">
        <v>382215.4</v>
      </c>
      <c r="L2439" t="s">
        <v>19</v>
      </c>
      <c r="M2439">
        <v>4</v>
      </c>
    </row>
    <row r="2440" spans="1:13" x14ac:dyDescent="0.25">
      <c r="A2440">
        <v>2439</v>
      </c>
      <c r="B2440" s="1">
        <v>43247</v>
      </c>
      <c r="C2440" s="1">
        <v>43585</v>
      </c>
      <c r="D2440" t="s">
        <v>20</v>
      </c>
      <c r="E2440" t="s">
        <v>13</v>
      </c>
      <c r="F2440" s="2">
        <v>204</v>
      </c>
      <c r="G2440" t="s">
        <v>12</v>
      </c>
      <c r="H2440" s="3">
        <v>54196.160000000003</v>
      </c>
      <c r="I2440" s="3">
        <v>1417589</v>
      </c>
      <c r="J2440" s="3">
        <v>1134071.2</v>
      </c>
      <c r="K2440" s="3">
        <v>229321.64000000004</v>
      </c>
      <c r="L2440" t="s">
        <v>18</v>
      </c>
      <c r="M2440">
        <v>4.7</v>
      </c>
    </row>
    <row r="2441" spans="1:13" x14ac:dyDescent="0.25">
      <c r="A2441">
        <v>2440</v>
      </c>
      <c r="B2441" s="1">
        <v>43247</v>
      </c>
      <c r="C2441" s="1">
        <v>43470</v>
      </c>
      <c r="D2441" t="s">
        <v>23</v>
      </c>
      <c r="E2441" t="s">
        <v>29</v>
      </c>
      <c r="F2441" s="2">
        <v>74</v>
      </c>
      <c r="G2441" t="s">
        <v>12</v>
      </c>
      <c r="H2441" s="3">
        <v>30702.799999999999</v>
      </c>
      <c r="I2441" s="3">
        <v>822805</v>
      </c>
      <c r="J2441" s="3">
        <v>658244</v>
      </c>
      <c r="K2441" s="3">
        <v>133858.20000000001</v>
      </c>
      <c r="L2441" t="s">
        <v>17</v>
      </c>
      <c r="M2441">
        <v>4.5999999999999996</v>
      </c>
    </row>
    <row r="2442" spans="1:13" x14ac:dyDescent="0.25">
      <c r="A2442">
        <v>2441</v>
      </c>
      <c r="B2442" s="1">
        <v>43248</v>
      </c>
      <c r="C2442" s="1">
        <v>43354</v>
      </c>
      <c r="D2442" t="s">
        <v>23</v>
      </c>
      <c r="E2442" t="s">
        <v>28</v>
      </c>
      <c r="F2442" s="2">
        <v>100</v>
      </c>
      <c r="G2442" t="s">
        <v>12</v>
      </c>
      <c r="H2442" s="3">
        <v>31011.72</v>
      </c>
      <c r="I2442" s="3">
        <v>831803</v>
      </c>
      <c r="J2442" s="3">
        <v>665442.4</v>
      </c>
      <c r="K2442" s="3">
        <v>135348.87999999998</v>
      </c>
      <c r="L2442" t="s">
        <v>16</v>
      </c>
      <c r="M2442">
        <v>4.9000000000000004</v>
      </c>
    </row>
    <row r="2443" spans="1:13" x14ac:dyDescent="0.25">
      <c r="A2443">
        <v>2442</v>
      </c>
      <c r="B2443" s="1">
        <v>43248</v>
      </c>
      <c r="C2443" s="1">
        <v>43494</v>
      </c>
      <c r="D2443" t="s">
        <v>23</v>
      </c>
      <c r="E2443" t="s">
        <v>28</v>
      </c>
      <c r="F2443" s="2">
        <v>189</v>
      </c>
      <c r="G2443" t="s">
        <v>12</v>
      </c>
      <c r="H2443" s="3">
        <v>57949.32</v>
      </c>
      <c r="I2443" s="3">
        <v>1502543</v>
      </c>
      <c r="J2443" s="3">
        <v>1202034.3999999999</v>
      </c>
      <c r="K2443" s="3">
        <v>242559.28000000009</v>
      </c>
      <c r="L2443" t="s">
        <v>14</v>
      </c>
      <c r="M2443">
        <v>4.9000000000000004</v>
      </c>
    </row>
    <row r="2444" spans="1:13" x14ac:dyDescent="0.25">
      <c r="A2444">
        <v>2443</v>
      </c>
      <c r="B2444" s="1">
        <v>43248</v>
      </c>
      <c r="C2444" s="1">
        <v>43487</v>
      </c>
      <c r="D2444" t="s">
        <v>21</v>
      </c>
      <c r="E2444" t="s">
        <v>24</v>
      </c>
      <c r="F2444" s="2">
        <v>250</v>
      </c>
      <c r="G2444" t="s">
        <v>12</v>
      </c>
      <c r="H2444" s="3">
        <v>45698.52</v>
      </c>
      <c r="I2444" s="3">
        <v>1199273</v>
      </c>
      <c r="J2444" s="3">
        <v>959418.4</v>
      </c>
      <c r="K2444" s="3">
        <v>194156.08</v>
      </c>
      <c r="L2444" t="s">
        <v>19</v>
      </c>
      <c r="M2444">
        <v>4.5</v>
      </c>
    </row>
    <row r="2445" spans="1:13" x14ac:dyDescent="0.25">
      <c r="A2445">
        <v>2444</v>
      </c>
      <c r="B2445" s="1">
        <v>43248</v>
      </c>
      <c r="C2445" s="1">
        <v>43540</v>
      </c>
      <c r="D2445" t="s">
        <v>23</v>
      </c>
      <c r="E2445" t="s">
        <v>28</v>
      </c>
      <c r="F2445" s="2">
        <v>100</v>
      </c>
      <c r="G2445" t="s">
        <v>12</v>
      </c>
      <c r="H2445" s="3">
        <v>35931</v>
      </c>
      <c r="I2445" s="3">
        <v>958685</v>
      </c>
      <c r="J2445" s="3">
        <v>766948</v>
      </c>
      <c r="K2445" s="3">
        <v>155806</v>
      </c>
      <c r="L2445" t="s">
        <v>15</v>
      </c>
      <c r="M2445">
        <v>3.9</v>
      </c>
    </row>
    <row r="2446" spans="1:13" x14ac:dyDescent="0.25">
      <c r="A2446">
        <v>2445</v>
      </c>
      <c r="B2446" s="1">
        <v>43249</v>
      </c>
      <c r="C2446" s="1">
        <v>43544</v>
      </c>
      <c r="D2446" t="s">
        <v>21</v>
      </c>
      <c r="E2446" t="s">
        <v>13</v>
      </c>
      <c r="F2446" s="2">
        <v>33</v>
      </c>
      <c r="G2446" t="s">
        <v>11</v>
      </c>
      <c r="H2446" s="3">
        <v>12108.8</v>
      </c>
      <c r="I2446" s="3">
        <v>365205</v>
      </c>
      <c r="J2446" s="3">
        <v>292164</v>
      </c>
      <c r="K2446" s="3">
        <v>60932.2</v>
      </c>
      <c r="L2446" t="s">
        <v>19</v>
      </c>
      <c r="M2446">
        <v>4.2</v>
      </c>
    </row>
    <row r="2447" spans="1:13" x14ac:dyDescent="0.25">
      <c r="A2447">
        <v>2446</v>
      </c>
      <c r="B2447" s="1">
        <v>43249</v>
      </c>
      <c r="C2447" s="1">
        <v>43553</v>
      </c>
      <c r="D2447" t="s">
        <v>22</v>
      </c>
      <c r="E2447" t="s">
        <v>27</v>
      </c>
      <c r="F2447" s="2">
        <v>221</v>
      </c>
      <c r="G2447" t="s">
        <v>12</v>
      </c>
      <c r="H2447" s="3">
        <v>86981.8</v>
      </c>
      <c r="I2447" s="3">
        <v>2240105</v>
      </c>
      <c r="J2447" s="3">
        <v>1792084</v>
      </c>
      <c r="K2447" s="3">
        <v>361039.2</v>
      </c>
      <c r="L2447" t="s">
        <v>16</v>
      </c>
      <c r="M2447">
        <v>3.6</v>
      </c>
    </row>
    <row r="2448" spans="1:13" x14ac:dyDescent="0.25">
      <c r="A2448">
        <v>2447</v>
      </c>
      <c r="B2448" s="1">
        <v>43249</v>
      </c>
      <c r="C2448" s="1">
        <v>43462</v>
      </c>
      <c r="D2448" t="s">
        <v>21</v>
      </c>
      <c r="E2448" t="s">
        <v>13</v>
      </c>
      <c r="F2448" s="2">
        <v>197</v>
      </c>
      <c r="G2448" t="s">
        <v>12</v>
      </c>
      <c r="H2448" s="3">
        <v>60363.92</v>
      </c>
      <c r="I2448" s="3">
        <v>1561383</v>
      </c>
      <c r="J2448" s="3">
        <v>1249106.3999999999</v>
      </c>
      <c r="K2448" s="3">
        <v>251912.68000000011</v>
      </c>
      <c r="L2448" t="s">
        <v>14</v>
      </c>
      <c r="M2448">
        <v>5</v>
      </c>
    </row>
    <row r="2449" spans="1:13" x14ac:dyDescent="0.25">
      <c r="A2449">
        <v>2448</v>
      </c>
      <c r="B2449" s="1">
        <v>43250</v>
      </c>
      <c r="C2449" s="1">
        <v>43430</v>
      </c>
      <c r="D2449" t="s">
        <v>20</v>
      </c>
      <c r="E2449" t="s">
        <v>29</v>
      </c>
      <c r="F2449" s="2">
        <v>59</v>
      </c>
      <c r="G2449" t="s">
        <v>11</v>
      </c>
      <c r="H2449" s="3">
        <v>17366.599999999999</v>
      </c>
      <c r="I2449" s="3">
        <v>495125</v>
      </c>
      <c r="J2449" s="3">
        <v>396100</v>
      </c>
      <c r="K2449" s="3">
        <v>81658.399999999994</v>
      </c>
      <c r="L2449" t="s">
        <v>16</v>
      </c>
      <c r="M2449">
        <v>3.7</v>
      </c>
    </row>
    <row r="2450" spans="1:13" x14ac:dyDescent="0.25">
      <c r="A2450">
        <v>2449</v>
      </c>
      <c r="B2450" s="1">
        <v>43250</v>
      </c>
      <c r="C2450" s="1">
        <v>43584</v>
      </c>
      <c r="D2450" t="s">
        <v>21</v>
      </c>
      <c r="E2450" t="s">
        <v>27</v>
      </c>
      <c r="F2450" s="2">
        <v>79</v>
      </c>
      <c r="G2450" t="s">
        <v>12</v>
      </c>
      <c r="H2450" s="3">
        <v>31936.720000000001</v>
      </c>
      <c r="I2450" s="3">
        <v>862003</v>
      </c>
      <c r="J2450" s="3">
        <v>689602.4</v>
      </c>
      <c r="K2450" s="3">
        <v>140463.87999999998</v>
      </c>
      <c r="L2450" t="s">
        <v>16</v>
      </c>
      <c r="M2450">
        <v>4.5999999999999996</v>
      </c>
    </row>
    <row r="2451" spans="1:13" x14ac:dyDescent="0.25">
      <c r="A2451">
        <v>2450</v>
      </c>
      <c r="B2451" s="1">
        <v>43250</v>
      </c>
      <c r="C2451" s="1">
        <v>43461</v>
      </c>
      <c r="D2451" t="s">
        <v>20</v>
      </c>
      <c r="E2451" t="s">
        <v>27</v>
      </c>
      <c r="F2451" s="2">
        <v>177</v>
      </c>
      <c r="G2451" t="s">
        <v>12</v>
      </c>
      <c r="H2451" s="3">
        <v>56869.04</v>
      </c>
      <c r="I2451" s="3">
        <v>1474711</v>
      </c>
      <c r="J2451" s="3">
        <v>1179768.8</v>
      </c>
      <c r="K2451" s="3">
        <v>238073.15999999995</v>
      </c>
      <c r="L2451" t="s">
        <v>15</v>
      </c>
      <c r="M2451">
        <v>3.7</v>
      </c>
    </row>
    <row r="2452" spans="1:13" x14ac:dyDescent="0.25">
      <c r="A2452">
        <v>2451</v>
      </c>
      <c r="B2452" s="1">
        <v>43251</v>
      </c>
      <c r="C2452" s="1">
        <v>43430</v>
      </c>
      <c r="D2452" t="s">
        <v>21</v>
      </c>
      <c r="E2452" t="s">
        <v>24</v>
      </c>
      <c r="F2452" s="2">
        <v>81</v>
      </c>
      <c r="G2452" t="s">
        <v>11</v>
      </c>
      <c r="H2452" s="3">
        <v>15970</v>
      </c>
      <c r="I2452" s="3">
        <v>455735</v>
      </c>
      <c r="J2452" s="3">
        <v>364588</v>
      </c>
      <c r="K2452" s="3">
        <v>75177</v>
      </c>
      <c r="L2452" t="s">
        <v>18</v>
      </c>
      <c r="M2452">
        <v>4.9000000000000004</v>
      </c>
    </row>
    <row r="2453" spans="1:13" x14ac:dyDescent="0.25">
      <c r="A2453">
        <v>2452</v>
      </c>
      <c r="B2453" s="1">
        <v>43251</v>
      </c>
      <c r="C2453" s="1">
        <v>43405</v>
      </c>
      <c r="D2453" t="s">
        <v>20</v>
      </c>
      <c r="E2453" t="s">
        <v>25</v>
      </c>
      <c r="F2453" s="2">
        <v>184</v>
      </c>
      <c r="G2453" t="s">
        <v>12</v>
      </c>
      <c r="H2453" s="3">
        <v>55362.8</v>
      </c>
      <c r="I2453" s="3">
        <v>1446855</v>
      </c>
      <c r="J2453" s="3">
        <v>1157484</v>
      </c>
      <c r="K2453" s="3">
        <v>234008.2</v>
      </c>
      <c r="L2453" t="s">
        <v>18</v>
      </c>
      <c r="M2453">
        <v>3.7</v>
      </c>
    </row>
    <row r="2454" spans="1:13" x14ac:dyDescent="0.25">
      <c r="A2454">
        <v>2453</v>
      </c>
      <c r="B2454" s="1">
        <v>43251</v>
      </c>
      <c r="C2454" s="1">
        <v>43354</v>
      </c>
      <c r="D2454" t="s">
        <v>21</v>
      </c>
      <c r="E2454" t="s">
        <v>27</v>
      </c>
      <c r="F2454" s="2">
        <v>151</v>
      </c>
      <c r="G2454" t="s">
        <v>12</v>
      </c>
      <c r="H2454" s="3">
        <v>35522</v>
      </c>
      <c r="I2454" s="3">
        <v>952985</v>
      </c>
      <c r="J2454" s="3">
        <v>762388</v>
      </c>
      <c r="K2454" s="3">
        <v>155075</v>
      </c>
      <c r="L2454" t="s">
        <v>16</v>
      </c>
      <c r="M2454">
        <v>4.9000000000000004</v>
      </c>
    </row>
    <row r="2455" spans="1:13" x14ac:dyDescent="0.25">
      <c r="A2455">
        <v>2454</v>
      </c>
      <c r="B2455" s="1">
        <v>43252</v>
      </c>
      <c r="C2455" s="1">
        <v>43343</v>
      </c>
      <c r="D2455" t="s">
        <v>22</v>
      </c>
      <c r="E2455" t="s">
        <v>28</v>
      </c>
      <c r="F2455" s="2">
        <v>227</v>
      </c>
      <c r="G2455" t="s">
        <v>12</v>
      </c>
      <c r="H2455" s="3">
        <v>51016.800000000003</v>
      </c>
      <c r="I2455" s="3">
        <v>1342205</v>
      </c>
      <c r="J2455" s="3">
        <v>1073764</v>
      </c>
      <c r="K2455" s="3">
        <v>217424.2</v>
      </c>
      <c r="L2455" t="s">
        <v>19</v>
      </c>
      <c r="M2455">
        <v>4.2</v>
      </c>
    </row>
    <row r="2456" spans="1:13" x14ac:dyDescent="0.25">
      <c r="A2456">
        <v>2455</v>
      </c>
      <c r="B2456" s="1">
        <v>43252</v>
      </c>
      <c r="C2456" s="1">
        <v>43478</v>
      </c>
      <c r="D2456" t="s">
        <v>20</v>
      </c>
      <c r="E2456" t="s">
        <v>26</v>
      </c>
      <c r="F2456" s="2">
        <v>160</v>
      </c>
      <c r="G2456" t="s">
        <v>11</v>
      </c>
      <c r="H2456" s="3">
        <v>26346.720000000001</v>
      </c>
      <c r="I2456" s="3">
        <v>721853</v>
      </c>
      <c r="J2456" s="3">
        <v>577482.4</v>
      </c>
      <c r="K2456" s="3">
        <v>118023.87999999998</v>
      </c>
      <c r="L2456" t="s">
        <v>14</v>
      </c>
      <c r="M2456">
        <v>4.0999999999999996</v>
      </c>
    </row>
    <row r="2457" spans="1:13" x14ac:dyDescent="0.25">
      <c r="A2457">
        <v>2456</v>
      </c>
      <c r="B2457" s="1">
        <v>43252</v>
      </c>
      <c r="C2457" s="1">
        <v>43557</v>
      </c>
      <c r="D2457" t="s">
        <v>20</v>
      </c>
      <c r="E2457" t="s">
        <v>27</v>
      </c>
      <c r="F2457" s="2">
        <v>264</v>
      </c>
      <c r="G2457" t="s">
        <v>12</v>
      </c>
      <c r="H2457" s="3">
        <v>43200.4</v>
      </c>
      <c r="I2457" s="3">
        <v>1133495</v>
      </c>
      <c r="J2457" s="3">
        <v>906796</v>
      </c>
      <c r="K2457" s="3">
        <v>183498.6</v>
      </c>
      <c r="L2457" t="s">
        <v>18</v>
      </c>
      <c r="M2457">
        <v>3.7</v>
      </c>
    </row>
    <row r="2458" spans="1:13" x14ac:dyDescent="0.25">
      <c r="A2458">
        <v>2457</v>
      </c>
      <c r="B2458" s="1">
        <v>43253</v>
      </c>
      <c r="C2458" s="1">
        <v>43491</v>
      </c>
      <c r="D2458" t="s">
        <v>22</v>
      </c>
      <c r="E2458" t="s">
        <v>13</v>
      </c>
      <c r="F2458" s="2">
        <v>203</v>
      </c>
      <c r="G2458" t="s">
        <v>12</v>
      </c>
      <c r="H2458" s="3">
        <v>79868.72</v>
      </c>
      <c r="I2458" s="3">
        <v>2053753</v>
      </c>
      <c r="J2458" s="3">
        <v>1643002.4</v>
      </c>
      <c r="K2458" s="3">
        <v>330881.88000000012</v>
      </c>
      <c r="L2458" t="s">
        <v>19</v>
      </c>
      <c r="M2458">
        <v>3.6</v>
      </c>
    </row>
    <row r="2459" spans="1:13" x14ac:dyDescent="0.25">
      <c r="A2459">
        <v>2458</v>
      </c>
      <c r="B2459" s="1">
        <v>43253</v>
      </c>
      <c r="C2459" s="1">
        <v>43450</v>
      </c>
      <c r="D2459" t="s">
        <v>21</v>
      </c>
      <c r="E2459" t="s">
        <v>13</v>
      </c>
      <c r="F2459" s="2">
        <v>183</v>
      </c>
      <c r="G2459" t="s">
        <v>12</v>
      </c>
      <c r="H2459" s="3">
        <v>52803.12</v>
      </c>
      <c r="I2459" s="3">
        <v>1378763</v>
      </c>
      <c r="J2459" s="3">
        <v>1103010.3999999999</v>
      </c>
      <c r="K2459" s="3">
        <v>222949.4800000001</v>
      </c>
      <c r="L2459" t="s">
        <v>14</v>
      </c>
      <c r="M2459">
        <v>3.7</v>
      </c>
    </row>
    <row r="2460" spans="1:13" x14ac:dyDescent="0.25">
      <c r="A2460">
        <v>2459</v>
      </c>
      <c r="B2460" s="1">
        <v>43253</v>
      </c>
      <c r="C2460" s="1">
        <v>43546</v>
      </c>
      <c r="D2460" t="s">
        <v>23</v>
      </c>
      <c r="E2460" t="s">
        <v>13</v>
      </c>
      <c r="F2460" s="2">
        <v>239</v>
      </c>
      <c r="G2460" t="s">
        <v>12</v>
      </c>
      <c r="H2460" s="3">
        <v>41061.480000000003</v>
      </c>
      <c r="I2460" s="3">
        <v>1081247</v>
      </c>
      <c r="J2460" s="3">
        <v>864997.6</v>
      </c>
      <c r="K2460" s="3">
        <v>175187.92</v>
      </c>
      <c r="L2460" t="s">
        <v>18</v>
      </c>
      <c r="M2460">
        <v>4.2</v>
      </c>
    </row>
    <row r="2461" spans="1:13" x14ac:dyDescent="0.25">
      <c r="A2461">
        <v>2460</v>
      </c>
      <c r="B2461" s="1">
        <v>43254</v>
      </c>
      <c r="C2461" s="1">
        <v>43504</v>
      </c>
      <c r="D2461" t="s">
        <v>22</v>
      </c>
      <c r="E2461" t="s">
        <v>24</v>
      </c>
      <c r="F2461" s="2">
        <v>107</v>
      </c>
      <c r="G2461" t="s">
        <v>12</v>
      </c>
      <c r="H2461" s="3">
        <v>40357</v>
      </c>
      <c r="I2461" s="3">
        <v>1062785</v>
      </c>
      <c r="J2461" s="3">
        <v>850228</v>
      </c>
      <c r="K2461" s="3">
        <v>172200</v>
      </c>
      <c r="L2461" t="s">
        <v>19</v>
      </c>
      <c r="M2461">
        <v>5</v>
      </c>
    </row>
    <row r="2462" spans="1:13" x14ac:dyDescent="0.25">
      <c r="A2462">
        <v>2461</v>
      </c>
      <c r="B2462" s="1">
        <v>43254</v>
      </c>
      <c r="C2462" s="1">
        <v>43463</v>
      </c>
      <c r="D2462" t="s">
        <v>20</v>
      </c>
      <c r="E2462" t="s">
        <v>29</v>
      </c>
      <c r="F2462" s="2">
        <v>259</v>
      </c>
      <c r="G2462" t="s">
        <v>12</v>
      </c>
      <c r="H2462" s="3">
        <v>72774.759999999995</v>
      </c>
      <c r="I2462" s="3">
        <v>1880179</v>
      </c>
      <c r="J2462" s="3">
        <v>1504143.2</v>
      </c>
      <c r="K2462" s="3">
        <v>303261.04000000004</v>
      </c>
      <c r="L2462" t="s">
        <v>14</v>
      </c>
      <c r="M2462">
        <v>4.5999999999999996</v>
      </c>
    </row>
    <row r="2463" spans="1:13" x14ac:dyDescent="0.25">
      <c r="A2463">
        <v>2462</v>
      </c>
      <c r="B2463" s="1">
        <v>43254</v>
      </c>
      <c r="C2463" s="1">
        <v>43423</v>
      </c>
      <c r="D2463" t="s">
        <v>23</v>
      </c>
      <c r="E2463" t="s">
        <v>13</v>
      </c>
      <c r="F2463" s="2">
        <v>115</v>
      </c>
      <c r="G2463" t="s">
        <v>12</v>
      </c>
      <c r="H2463" s="3">
        <v>43657.120000000003</v>
      </c>
      <c r="I2463" s="3">
        <v>1143513</v>
      </c>
      <c r="J2463" s="3">
        <v>914810.4</v>
      </c>
      <c r="K2463" s="3">
        <v>185045.47999999998</v>
      </c>
      <c r="L2463" t="s">
        <v>15</v>
      </c>
      <c r="M2463">
        <v>3.8</v>
      </c>
    </row>
    <row r="2464" spans="1:13" x14ac:dyDescent="0.25">
      <c r="A2464">
        <v>2463</v>
      </c>
      <c r="B2464" s="1">
        <v>43254</v>
      </c>
      <c r="C2464" s="1">
        <v>43527</v>
      </c>
      <c r="D2464" t="s">
        <v>23</v>
      </c>
      <c r="E2464" t="s">
        <v>28</v>
      </c>
      <c r="F2464" s="2">
        <v>218</v>
      </c>
      <c r="G2464" t="s">
        <v>12</v>
      </c>
      <c r="H2464" s="3">
        <v>67355.399999999994</v>
      </c>
      <c r="I2464" s="3">
        <v>1742245</v>
      </c>
      <c r="J2464" s="3">
        <v>1393796</v>
      </c>
      <c r="K2464" s="3">
        <v>281093.59999999998</v>
      </c>
      <c r="L2464" t="s">
        <v>17</v>
      </c>
      <c r="M2464">
        <v>4.9000000000000004</v>
      </c>
    </row>
    <row r="2465" spans="1:13" x14ac:dyDescent="0.25">
      <c r="A2465">
        <v>2464</v>
      </c>
      <c r="B2465" s="1">
        <v>43255</v>
      </c>
      <c r="C2465" s="1">
        <v>43501</v>
      </c>
      <c r="D2465" t="s">
        <v>23</v>
      </c>
      <c r="E2465" t="s">
        <v>27</v>
      </c>
      <c r="F2465" s="2">
        <v>54</v>
      </c>
      <c r="G2465" t="s">
        <v>11</v>
      </c>
      <c r="H2465" s="3">
        <v>13566.84</v>
      </c>
      <c r="I2465" s="3">
        <v>397181</v>
      </c>
      <c r="J2465" s="3">
        <v>317744.8</v>
      </c>
      <c r="K2465" s="3">
        <v>65869.360000000015</v>
      </c>
      <c r="L2465" t="s">
        <v>15</v>
      </c>
      <c r="M2465">
        <v>4</v>
      </c>
    </row>
    <row r="2466" spans="1:13" x14ac:dyDescent="0.25">
      <c r="A2466">
        <v>2465</v>
      </c>
      <c r="B2466" s="1">
        <v>43255</v>
      </c>
      <c r="C2466" s="1">
        <v>43580</v>
      </c>
      <c r="D2466" t="s">
        <v>23</v>
      </c>
      <c r="E2466" t="s">
        <v>27</v>
      </c>
      <c r="F2466" s="2">
        <v>253</v>
      </c>
      <c r="G2466" t="s">
        <v>12</v>
      </c>
      <c r="H2466" s="3">
        <v>63733.2</v>
      </c>
      <c r="I2466" s="3">
        <v>1653165</v>
      </c>
      <c r="J2466" s="3">
        <v>1322532</v>
      </c>
      <c r="K2466" s="3">
        <v>266899.8</v>
      </c>
      <c r="L2466" t="s">
        <v>14</v>
      </c>
      <c r="M2466">
        <v>4.8</v>
      </c>
    </row>
    <row r="2467" spans="1:13" x14ac:dyDescent="0.25">
      <c r="A2467">
        <v>2466</v>
      </c>
      <c r="B2467" s="1">
        <v>43255</v>
      </c>
      <c r="C2467" s="1">
        <v>43425</v>
      </c>
      <c r="D2467" t="s">
        <v>21</v>
      </c>
      <c r="E2467" t="s">
        <v>29</v>
      </c>
      <c r="F2467" s="2">
        <v>126</v>
      </c>
      <c r="G2467" t="s">
        <v>11</v>
      </c>
      <c r="H2467" s="3">
        <v>23783.119999999999</v>
      </c>
      <c r="I2467" s="3">
        <v>653363</v>
      </c>
      <c r="J2467" s="3">
        <v>522690.4</v>
      </c>
      <c r="K2467" s="3">
        <v>106889.47999999998</v>
      </c>
      <c r="L2467" t="s">
        <v>18</v>
      </c>
      <c r="M2467">
        <v>3.6</v>
      </c>
    </row>
    <row r="2468" spans="1:13" x14ac:dyDescent="0.25">
      <c r="A2468">
        <v>2467</v>
      </c>
      <c r="B2468" s="1">
        <v>43256</v>
      </c>
      <c r="C2468" s="1">
        <v>43442</v>
      </c>
      <c r="D2468" t="s">
        <v>23</v>
      </c>
      <c r="E2468" t="s">
        <v>25</v>
      </c>
      <c r="F2468" s="2">
        <v>205</v>
      </c>
      <c r="G2468" t="s">
        <v>12</v>
      </c>
      <c r="H2468" s="3">
        <v>44314.04</v>
      </c>
      <c r="I2468" s="3">
        <v>1163436</v>
      </c>
      <c r="J2468" s="3">
        <v>930748.8</v>
      </c>
      <c r="K2468" s="3">
        <v>188373.15999999995</v>
      </c>
      <c r="L2468" t="s">
        <v>16</v>
      </c>
      <c r="M2468">
        <v>3.9</v>
      </c>
    </row>
    <row r="2469" spans="1:13" x14ac:dyDescent="0.25">
      <c r="A2469">
        <v>2468</v>
      </c>
      <c r="B2469" s="1">
        <v>43256</v>
      </c>
      <c r="C2469" s="1">
        <v>43538</v>
      </c>
      <c r="D2469" t="s">
        <v>22</v>
      </c>
      <c r="E2469" t="s">
        <v>25</v>
      </c>
      <c r="F2469" s="2">
        <v>159</v>
      </c>
      <c r="G2469" t="s">
        <v>12</v>
      </c>
      <c r="H2469" s="3">
        <v>41860.04</v>
      </c>
      <c r="I2469" s="3">
        <v>1104861</v>
      </c>
      <c r="J2469" s="3">
        <v>883888.8</v>
      </c>
      <c r="K2469" s="3">
        <v>179112.15999999995</v>
      </c>
      <c r="L2469" t="s">
        <v>14</v>
      </c>
      <c r="M2469">
        <v>4.3</v>
      </c>
    </row>
    <row r="2470" spans="1:13" x14ac:dyDescent="0.25">
      <c r="A2470">
        <v>2469</v>
      </c>
      <c r="B2470" s="1">
        <v>43256</v>
      </c>
      <c r="C2470" s="1">
        <v>43528</v>
      </c>
      <c r="D2470" t="s">
        <v>22</v>
      </c>
      <c r="E2470" t="s">
        <v>29</v>
      </c>
      <c r="F2470" s="2">
        <v>167</v>
      </c>
      <c r="G2470" t="s">
        <v>12</v>
      </c>
      <c r="H2470" s="3">
        <v>49336.12</v>
      </c>
      <c r="I2470" s="3">
        <v>1288313</v>
      </c>
      <c r="J2470" s="3">
        <v>1030650.4</v>
      </c>
      <c r="K2470" s="3">
        <v>208326.47999999998</v>
      </c>
      <c r="L2470" t="s">
        <v>16</v>
      </c>
      <c r="M2470">
        <v>3.6</v>
      </c>
    </row>
    <row r="2471" spans="1:13" x14ac:dyDescent="0.25">
      <c r="A2471">
        <v>2470</v>
      </c>
      <c r="B2471" s="1">
        <v>43257</v>
      </c>
      <c r="C2471" s="1">
        <v>43442</v>
      </c>
      <c r="D2471" t="s">
        <v>22</v>
      </c>
      <c r="E2471" t="s">
        <v>29</v>
      </c>
      <c r="F2471" s="2">
        <v>120</v>
      </c>
      <c r="G2471" t="s">
        <v>12</v>
      </c>
      <c r="H2471" s="3">
        <v>47237.760000000002</v>
      </c>
      <c r="I2471" s="3">
        <v>1235879</v>
      </c>
      <c r="J2471" s="3">
        <v>988703.2</v>
      </c>
      <c r="K2471" s="3">
        <v>199938.04000000004</v>
      </c>
      <c r="L2471" t="s">
        <v>14</v>
      </c>
      <c r="M2471">
        <v>4.8</v>
      </c>
    </row>
    <row r="2472" spans="1:13" x14ac:dyDescent="0.25">
      <c r="A2472">
        <v>2471</v>
      </c>
      <c r="B2472" s="1">
        <v>43257</v>
      </c>
      <c r="C2472" s="1">
        <v>43546</v>
      </c>
      <c r="D2472" t="s">
        <v>22</v>
      </c>
      <c r="E2472" t="s">
        <v>28</v>
      </c>
      <c r="F2472" s="2">
        <v>257</v>
      </c>
      <c r="G2472" t="s">
        <v>12</v>
      </c>
      <c r="H2472" s="3">
        <v>52655.96</v>
      </c>
      <c r="I2472" s="3">
        <v>1380509</v>
      </c>
      <c r="J2472" s="3">
        <v>1104407.2</v>
      </c>
      <c r="K2472" s="3">
        <v>223445.84000000005</v>
      </c>
      <c r="L2472" t="s">
        <v>18</v>
      </c>
      <c r="M2472">
        <v>3.8</v>
      </c>
    </row>
    <row r="2473" spans="1:13" x14ac:dyDescent="0.25">
      <c r="A2473">
        <v>2472</v>
      </c>
      <c r="B2473" s="1">
        <v>43257</v>
      </c>
      <c r="C2473" s="1">
        <v>43585</v>
      </c>
      <c r="D2473" t="s">
        <v>21</v>
      </c>
      <c r="E2473" t="s">
        <v>29</v>
      </c>
      <c r="F2473" s="2">
        <v>164</v>
      </c>
      <c r="G2473" t="s">
        <v>12</v>
      </c>
      <c r="H2473" s="3">
        <v>55248.4</v>
      </c>
      <c r="I2473" s="3">
        <v>1433545</v>
      </c>
      <c r="J2473" s="3">
        <v>1146836</v>
      </c>
      <c r="K2473" s="3">
        <v>231460.6</v>
      </c>
      <c r="L2473" t="s">
        <v>15</v>
      </c>
      <c r="M2473">
        <v>3.8</v>
      </c>
    </row>
    <row r="2474" spans="1:13" x14ac:dyDescent="0.25">
      <c r="A2474">
        <v>2473</v>
      </c>
      <c r="B2474" s="1">
        <v>43257</v>
      </c>
      <c r="C2474" s="1">
        <v>43452</v>
      </c>
      <c r="D2474" t="s">
        <v>21</v>
      </c>
      <c r="E2474" t="s">
        <v>26</v>
      </c>
      <c r="F2474" s="2">
        <v>211</v>
      </c>
      <c r="G2474" t="s">
        <v>12</v>
      </c>
      <c r="H2474" s="3">
        <v>53395.44</v>
      </c>
      <c r="I2474" s="3">
        <v>1399896</v>
      </c>
      <c r="J2474" s="3">
        <v>1119916.8</v>
      </c>
      <c r="K2474" s="3">
        <v>226583.75999999995</v>
      </c>
      <c r="L2474" t="s">
        <v>14</v>
      </c>
      <c r="M2474">
        <v>4.4000000000000004</v>
      </c>
    </row>
    <row r="2475" spans="1:13" x14ac:dyDescent="0.25">
      <c r="A2475">
        <v>2474</v>
      </c>
      <c r="B2475" s="1">
        <v>43257</v>
      </c>
      <c r="C2475" s="1">
        <v>43399</v>
      </c>
      <c r="D2475" t="s">
        <v>22</v>
      </c>
      <c r="E2475" t="s">
        <v>29</v>
      </c>
      <c r="F2475" s="2">
        <v>291</v>
      </c>
      <c r="G2475" t="s">
        <v>12</v>
      </c>
      <c r="H2475" s="3">
        <v>93459.04</v>
      </c>
      <c r="I2475" s="3">
        <v>2389661</v>
      </c>
      <c r="J2475" s="3">
        <v>1911728.8</v>
      </c>
      <c r="K2475" s="3">
        <v>384473.16</v>
      </c>
      <c r="L2475" t="s">
        <v>15</v>
      </c>
      <c r="M2475">
        <v>4.2</v>
      </c>
    </row>
    <row r="2476" spans="1:13" x14ac:dyDescent="0.25">
      <c r="A2476">
        <v>2475</v>
      </c>
      <c r="B2476" s="1">
        <v>43257</v>
      </c>
      <c r="C2476" s="1">
        <v>43504</v>
      </c>
      <c r="D2476" t="s">
        <v>21</v>
      </c>
      <c r="E2476" t="s">
        <v>13</v>
      </c>
      <c r="F2476" s="2">
        <v>69</v>
      </c>
      <c r="G2476" t="s">
        <v>11</v>
      </c>
      <c r="H2476" s="3">
        <v>14609.16</v>
      </c>
      <c r="I2476" s="3">
        <v>432364</v>
      </c>
      <c r="J2476" s="3">
        <v>345891.2</v>
      </c>
      <c r="K2476" s="3">
        <v>71863.639999999985</v>
      </c>
      <c r="L2476" t="s">
        <v>17</v>
      </c>
      <c r="M2476">
        <v>4.2</v>
      </c>
    </row>
    <row r="2477" spans="1:13" x14ac:dyDescent="0.25">
      <c r="A2477">
        <v>2476</v>
      </c>
      <c r="B2477" s="1">
        <v>43257</v>
      </c>
      <c r="C2477" s="1">
        <v>43567</v>
      </c>
      <c r="D2477" t="s">
        <v>21</v>
      </c>
      <c r="E2477" t="s">
        <v>28</v>
      </c>
      <c r="F2477" s="2">
        <v>203</v>
      </c>
      <c r="G2477" t="s">
        <v>12</v>
      </c>
      <c r="H2477" s="3">
        <v>64895.6</v>
      </c>
      <c r="I2477" s="3">
        <v>1674000</v>
      </c>
      <c r="J2477" s="3">
        <v>1339200</v>
      </c>
      <c r="K2477" s="3">
        <v>269904.40000000002</v>
      </c>
      <c r="L2477" t="s">
        <v>17</v>
      </c>
      <c r="M2477">
        <v>5</v>
      </c>
    </row>
    <row r="2478" spans="1:13" x14ac:dyDescent="0.25">
      <c r="A2478">
        <v>2477</v>
      </c>
      <c r="B2478" s="1">
        <v>43257</v>
      </c>
      <c r="C2478" s="1">
        <v>43441</v>
      </c>
      <c r="D2478" t="s">
        <v>20</v>
      </c>
      <c r="E2478" t="s">
        <v>27</v>
      </c>
      <c r="F2478" s="2">
        <v>212</v>
      </c>
      <c r="G2478" t="s">
        <v>12</v>
      </c>
      <c r="H2478" s="3">
        <v>38494.6</v>
      </c>
      <c r="I2478" s="3">
        <v>1021400</v>
      </c>
      <c r="J2478" s="3">
        <v>817120</v>
      </c>
      <c r="K2478" s="3">
        <v>165785.4</v>
      </c>
      <c r="L2478" t="s">
        <v>18</v>
      </c>
      <c r="M2478">
        <v>4.5999999999999996</v>
      </c>
    </row>
    <row r="2479" spans="1:13" x14ac:dyDescent="0.25">
      <c r="A2479">
        <v>2478</v>
      </c>
      <c r="B2479" s="1">
        <v>43258</v>
      </c>
      <c r="C2479" s="1">
        <v>43437</v>
      </c>
      <c r="D2479" t="s">
        <v>23</v>
      </c>
      <c r="E2479" t="s">
        <v>26</v>
      </c>
      <c r="F2479" s="2">
        <v>196</v>
      </c>
      <c r="G2479" t="s">
        <v>12</v>
      </c>
      <c r="H2479" s="3">
        <v>52729.120000000003</v>
      </c>
      <c r="I2479" s="3">
        <v>1378763</v>
      </c>
      <c r="J2479" s="3">
        <v>1103010.3999999999</v>
      </c>
      <c r="K2479" s="3">
        <v>223023.4800000001</v>
      </c>
      <c r="L2479" t="s">
        <v>19</v>
      </c>
      <c r="M2479">
        <v>4.0999999999999996</v>
      </c>
    </row>
    <row r="2480" spans="1:13" x14ac:dyDescent="0.25">
      <c r="A2480">
        <v>2479</v>
      </c>
      <c r="B2480" s="1">
        <v>43258</v>
      </c>
      <c r="C2480" s="1">
        <v>43573</v>
      </c>
      <c r="D2480" t="s">
        <v>22</v>
      </c>
      <c r="E2480" t="s">
        <v>24</v>
      </c>
      <c r="F2480" s="2">
        <v>267</v>
      </c>
      <c r="G2480" t="s">
        <v>12</v>
      </c>
      <c r="H2480" s="3">
        <v>104580</v>
      </c>
      <c r="I2480" s="3">
        <v>2668985</v>
      </c>
      <c r="J2480" s="3">
        <v>2135188</v>
      </c>
      <c r="K2480" s="3">
        <v>429217</v>
      </c>
      <c r="L2480" t="s">
        <v>14</v>
      </c>
      <c r="M2480">
        <v>5</v>
      </c>
    </row>
    <row r="2481" spans="1:13" x14ac:dyDescent="0.25">
      <c r="A2481">
        <v>2480</v>
      </c>
      <c r="B2481" s="1">
        <v>43259</v>
      </c>
      <c r="C2481" s="1">
        <v>43417</v>
      </c>
      <c r="D2481" t="s">
        <v>23</v>
      </c>
      <c r="E2481" t="s">
        <v>13</v>
      </c>
      <c r="F2481" s="2">
        <v>108</v>
      </c>
      <c r="G2481" t="s">
        <v>12</v>
      </c>
      <c r="H2481" s="3">
        <v>45162.400000000001</v>
      </c>
      <c r="I2481" s="3">
        <v>1184070</v>
      </c>
      <c r="J2481" s="3">
        <v>947256</v>
      </c>
      <c r="K2481" s="3">
        <v>191651.6</v>
      </c>
      <c r="L2481" t="s">
        <v>16</v>
      </c>
      <c r="M2481">
        <v>4.3</v>
      </c>
    </row>
    <row r="2482" spans="1:13" x14ac:dyDescent="0.25">
      <c r="A2482">
        <v>2481</v>
      </c>
      <c r="B2482" s="1">
        <v>43259</v>
      </c>
      <c r="C2482" s="1">
        <v>43476</v>
      </c>
      <c r="D2482" t="s">
        <v>20</v>
      </c>
      <c r="E2482" t="s">
        <v>24</v>
      </c>
      <c r="F2482" s="2">
        <v>68</v>
      </c>
      <c r="G2482" t="s">
        <v>11</v>
      </c>
      <c r="H2482" s="3">
        <v>14090.36</v>
      </c>
      <c r="I2482" s="3">
        <v>414844</v>
      </c>
      <c r="J2482" s="3">
        <v>331875.20000000001</v>
      </c>
      <c r="K2482" s="3">
        <v>68878.439999999988</v>
      </c>
      <c r="L2482" t="s">
        <v>15</v>
      </c>
      <c r="M2482">
        <v>4.5</v>
      </c>
    </row>
    <row r="2483" spans="1:13" x14ac:dyDescent="0.25">
      <c r="A2483">
        <v>2482</v>
      </c>
      <c r="B2483" s="1">
        <v>43259</v>
      </c>
      <c r="C2483" s="1">
        <v>43373</v>
      </c>
      <c r="D2483" t="s">
        <v>21</v>
      </c>
      <c r="E2483" t="s">
        <v>13</v>
      </c>
      <c r="F2483" s="2">
        <v>249</v>
      </c>
      <c r="G2483" t="s">
        <v>12</v>
      </c>
      <c r="H2483" s="3">
        <v>94324.800000000003</v>
      </c>
      <c r="I2483" s="3">
        <v>2416655</v>
      </c>
      <c r="J2483" s="3">
        <v>1933324</v>
      </c>
      <c r="K2483" s="3">
        <v>389006.2</v>
      </c>
      <c r="L2483" t="s">
        <v>15</v>
      </c>
      <c r="M2483">
        <v>4.7</v>
      </c>
    </row>
    <row r="2484" spans="1:13" x14ac:dyDescent="0.25">
      <c r="A2484">
        <v>2483</v>
      </c>
      <c r="B2484" s="1">
        <v>43260</v>
      </c>
      <c r="C2484" s="1">
        <v>43591</v>
      </c>
      <c r="D2484" t="s">
        <v>23</v>
      </c>
      <c r="E2484" t="s">
        <v>26</v>
      </c>
      <c r="F2484" s="2">
        <v>263</v>
      </c>
      <c r="G2484" t="s">
        <v>12</v>
      </c>
      <c r="H2484" s="3">
        <v>87707.76</v>
      </c>
      <c r="I2484" s="3">
        <v>2247779</v>
      </c>
      <c r="J2484" s="3">
        <v>1798223.2</v>
      </c>
      <c r="K2484" s="3">
        <v>361848.04000000004</v>
      </c>
      <c r="L2484" t="s">
        <v>16</v>
      </c>
      <c r="M2484">
        <v>3.6</v>
      </c>
    </row>
    <row r="2485" spans="1:13" x14ac:dyDescent="0.25">
      <c r="A2485">
        <v>2484</v>
      </c>
      <c r="B2485" s="1">
        <v>43261</v>
      </c>
      <c r="C2485" s="1">
        <v>43472</v>
      </c>
      <c r="D2485" t="s">
        <v>23</v>
      </c>
      <c r="E2485" t="s">
        <v>24</v>
      </c>
      <c r="F2485" s="2">
        <v>154</v>
      </c>
      <c r="G2485" t="s">
        <v>12</v>
      </c>
      <c r="H2485" s="3">
        <v>53660.2</v>
      </c>
      <c r="I2485" s="3">
        <v>1404965</v>
      </c>
      <c r="J2485" s="3">
        <v>1123972</v>
      </c>
      <c r="K2485" s="3">
        <v>227332.8</v>
      </c>
      <c r="L2485" t="s">
        <v>16</v>
      </c>
      <c r="M2485">
        <v>4.5</v>
      </c>
    </row>
    <row r="2486" spans="1:13" x14ac:dyDescent="0.25">
      <c r="A2486">
        <v>2485</v>
      </c>
      <c r="B2486" s="1">
        <v>43261</v>
      </c>
      <c r="C2486" s="1">
        <v>43572</v>
      </c>
      <c r="D2486" t="s">
        <v>22</v>
      </c>
      <c r="E2486" t="s">
        <v>24</v>
      </c>
      <c r="F2486" s="2">
        <v>84</v>
      </c>
      <c r="G2486" t="s">
        <v>12</v>
      </c>
      <c r="H2486" s="3">
        <v>33684.199999999997</v>
      </c>
      <c r="I2486" s="3">
        <v>908765</v>
      </c>
      <c r="J2486" s="3">
        <v>727012</v>
      </c>
      <c r="K2486" s="3">
        <v>148068.79999999999</v>
      </c>
      <c r="L2486" t="s">
        <v>16</v>
      </c>
      <c r="M2486">
        <v>4.7</v>
      </c>
    </row>
    <row r="2487" spans="1:13" x14ac:dyDescent="0.25">
      <c r="A2487">
        <v>2486</v>
      </c>
      <c r="B2487" s="1">
        <v>43261</v>
      </c>
      <c r="C2487" s="1">
        <v>43400</v>
      </c>
      <c r="D2487" t="s">
        <v>21</v>
      </c>
      <c r="E2487" t="s">
        <v>28</v>
      </c>
      <c r="F2487" s="2">
        <v>115</v>
      </c>
      <c r="G2487" t="s">
        <v>12</v>
      </c>
      <c r="H2487" s="3">
        <v>44960.88</v>
      </c>
      <c r="I2487" s="3">
        <v>1186382</v>
      </c>
      <c r="J2487" s="3">
        <v>949105.6</v>
      </c>
      <c r="K2487" s="3">
        <v>192315.52000000002</v>
      </c>
      <c r="L2487" t="s">
        <v>19</v>
      </c>
      <c r="M2487">
        <v>4.0999999999999996</v>
      </c>
    </row>
    <row r="2488" spans="1:13" x14ac:dyDescent="0.25">
      <c r="A2488">
        <v>2487</v>
      </c>
      <c r="B2488" s="1">
        <v>43262</v>
      </c>
      <c r="C2488" s="1">
        <v>43455</v>
      </c>
      <c r="D2488" t="s">
        <v>21</v>
      </c>
      <c r="E2488" t="s">
        <v>24</v>
      </c>
      <c r="F2488" s="2">
        <v>73</v>
      </c>
      <c r="G2488" t="s">
        <v>11</v>
      </c>
      <c r="H2488" s="3">
        <v>29012.880000000001</v>
      </c>
      <c r="I2488" s="3">
        <v>782307</v>
      </c>
      <c r="J2488" s="3">
        <v>625845.6</v>
      </c>
      <c r="K2488" s="3">
        <v>127448.52000000002</v>
      </c>
      <c r="L2488" t="s">
        <v>17</v>
      </c>
      <c r="M2488">
        <v>4.0999999999999996</v>
      </c>
    </row>
    <row r="2489" spans="1:13" x14ac:dyDescent="0.25">
      <c r="A2489">
        <v>2488</v>
      </c>
      <c r="B2489" s="1">
        <v>43262</v>
      </c>
      <c r="C2489" s="1">
        <v>43406</v>
      </c>
      <c r="D2489" t="s">
        <v>21</v>
      </c>
      <c r="E2489" t="s">
        <v>28</v>
      </c>
      <c r="F2489" s="2">
        <v>144</v>
      </c>
      <c r="G2489" t="s">
        <v>11</v>
      </c>
      <c r="H2489" s="3">
        <v>26826.68</v>
      </c>
      <c r="I2489" s="3">
        <v>737977</v>
      </c>
      <c r="J2489" s="3">
        <v>590381.6</v>
      </c>
      <c r="K2489" s="3">
        <v>120768.72000000003</v>
      </c>
      <c r="L2489" t="s">
        <v>14</v>
      </c>
      <c r="M2489">
        <v>3.7</v>
      </c>
    </row>
    <row r="2490" spans="1:13" x14ac:dyDescent="0.25">
      <c r="A2490">
        <v>2489</v>
      </c>
      <c r="B2490" s="1">
        <v>43262</v>
      </c>
      <c r="C2490" s="1">
        <v>43506</v>
      </c>
      <c r="D2490" t="s">
        <v>20</v>
      </c>
      <c r="E2490" t="s">
        <v>26</v>
      </c>
      <c r="F2490" s="2">
        <v>126</v>
      </c>
      <c r="G2490" t="s">
        <v>12</v>
      </c>
      <c r="H2490" s="3">
        <v>36423.480000000003</v>
      </c>
      <c r="I2490" s="3">
        <v>972672</v>
      </c>
      <c r="J2490" s="3">
        <v>778137.59999999998</v>
      </c>
      <c r="K2490" s="3">
        <v>158110.92000000001</v>
      </c>
      <c r="L2490" t="s">
        <v>15</v>
      </c>
      <c r="M2490">
        <v>4.4000000000000004</v>
      </c>
    </row>
    <row r="2491" spans="1:13" x14ac:dyDescent="0.25">
      <c r="A2491">
        <v>2490</v>
      </c>
      <c r="B2491" s="1">
        <v>43262</v>
      </c>
      <c r="C2491" s="1">
        <v>43386</v>
      </c>
      <c r="D2491" t="s">
        <v>23</v>
      </c>
      <c r="E2491" t="s">
        <v>26</v>
      </c>
      <c r="F2491" s="2">
        <v>120</v>
      </c>
      <c r="G2491" t="s">
        <v>12</v>
      </c>
      <c r="H2491" s="3">
        <v>43270</v>
      </c>
      <c r="I2491" s="3">
        <v>1138985</v>
      </c>
      <c r="J2491" s="3">
        <v>911188</v>
      </c>
      <c r="K2491" s="3">
        <v>184527</v>
      </c>
      <c r="L2491" t="s">
        <v>15</v>
      </c>
      <c r="M2491">
        <v>4.0999999999999996</v>
      </c>
    </row>
    <row r="2492" spans="1:13" x14ac:dyDescent="0.25">
      <c r="A2492">
        <v>2491</v>
      </c>
      <c r="B2492" s="1">
        <v>43262</v>
      </c>
      <c r="C2492" s="1">
        <v>43488</v>
      </c>
      <c r="D2492" t="s">
        <v>21</v>
      </c>
      <c r="E2492" t="s">
        <v>29</v>
      </c>
      <c r="F2492" s="2">
        <v>160</v>
      </c>
      <c r="G2492" t="s">
        <v>12</v>
      </c>
      <c r="H2492" s="3">
        <v>47412.2</v>
      </c>
      <c r="I2492" s="3">
        <v>1240490</v>
      </c>
      <c r="J2492" s="3">
        <v>992392</v>
      </c>
      <c r="K2492" s="3">
        <v>200685.8</v>
      </c>
      <c r="L2492" t="s">
        <v>18</v>
      </c>
      <c r="M2492">
        <v>4.3</v>
      </c>
    </row>
    <row r="2493" spans="1:13" x14ac:dyDescent="0.25">
      <c r="A2493">
        <v>2492</v>
      </c>
      <c r="B2493" s="1">
        <v>43262</v>
      </c>
      <c r="C2493" s="1">
        <v>43458</v>
      </c>
      <c r="D2493" t="s">
        <v>23</v>
      </c>
      <c r="E2493" t="s">
        <v>29</v>
      </c>
      <c r="F2493" s="2">
        <v>226</v>
      </c>
      <c r="G2493" t="s">
        <v>12</v>
      </c>
      <c r="H2493" s="3">
        <v>81788.160000000003</v>
      </c>
      <c r="I2493" s="3">
        <v>2106014</v>
      </c>
      <c r="J2493" s="3">
        <v>1684811.2</v>
      </c>
      <c r="K2493" s="3">
        <v>339414.64</v>
      </c>
      <c r="L2493" t="s">
        <v>17</v>
      </c>
      <c r="M2493">
        <v>4.4000000000000004</v>
      </c>
    </row>
    <row r="2494" spans="1:13" x14ac:dyDescent="0.25">
      <c r="A2494">
        <v>2493</v>
      </c>
      <c r="B2494" s="1">
        <v>43264</v>
      </c>
      <c r="C2494" s="1">
        <v>43434</v>
      </c>
      <c r="D2494" t="s">
        <v>21</v>
      </c>
      <c r="E2494" t="s">
        <v>26</v>
      </c>
      <c r="F2494" s="2">
        <v>277</v>
      </c>
      <c r="G2494" t="s">
        <v>12</v>
      </c>
      <c r="H2494" s="3">
        <v>107963.36</v>
      </c>
      <c r="I2494" s="3">
        <v>2754119</v>
      </c>
      <c r="J2494" s="3">
        <v>2203295.2000000002</v>
      </c>
      <c r="K2494" s="3">
        <v>442860.43999999983</v>
      </c>
      <c r="L2494" t="s">
        <v>15</v>
      </c>
      <c r="M2494">
        <v>4.4000000000000004</v>
      </c>
    </row>
    <row r="2495" spans="1:13" x14ac:dyDescent="0.25">
      <c r="A2495">
        <v>2494</v>
      </c>
      <c r="B2495" s="1">
        <v>43265</v>
      </c>
      <c r="C2495" s="1">
        <v>43382</v>
      </c>
      <c r="D2495" t="s">
        <v>22</v>
      </c>
      <c r="E2495" t="s">
        <v>13</v>
      </c>
      <c r="F2495" s="2">
        <v>232</v>
      </c>
      <c r="G2495" t="s">
        <v>12</v>
      </c>
      <c r="H2495" s="3">
        <v>88804.68</v>
      </c>
      <c r="I2495" s="3">
        <v>2271852</v>
      </c>
      <c r="J2495" s="3">
        <v>1817481.6</v>
      </c>
      <c r="K2495" s="3">
        <v>365565.71999999991</v>
      </c>
      <c r="L2495" t="s">
        <v>18</v>
      </c>
      <c r="M2495">
        <v>5</v>
      </c>
    </row>
    <row r="2496" spans="1:13" x14ac:dyDescent="0.25">
      <c r="A2496">
        <v>2495</v>
      </c>
      <c r="B2496" s="1">
        <v>43266</v>
      </c>
      <c r="C2496" s="1">
        <v>43390</v>
      </c>
      <c r="D2496" t="s">
        <v>20</v>
      </c>
      <c r="E2496" t="s">
        <v>13</v>
      </c>
      <c r="F2496" s="2">
        <v>157</v>
      </c>
      <c r="G2496" t="s">
        <v>12</v>
      </c>
      <c r="H2496" s="3">
        <v>40087.199999999997</v>
      </c>
      <c r="I2496" s="3">
        <v>1063665</v>
      </c>
      <c r="J2496" s="3">
        <v>850932</v>
      </c>
      <c r="K2496" s="3">
        <v>172645.8</v>
      </c>
      <c r="L2496" t="s">
        <v>18</v>
      </c>
      <c r="M2496">
        <v>4.9000000000000004</v>
      </c>
    </row>
    <row r="2497" spans="1:13" x14ac:dyDescent="0.25">
      <c r="A2497">
        <v>2496</v>
      </c>
      <c r="B2497" s="1">
        <v>43267</v>
      </c>
      <c r="C2497" s="1">
        <v>43592</v>
      </c>
      <c r="D2497" t="s">
        <v>21</v>
      </c>
      <c r="E2497" t="s">
        <v>13</v>
      </c>
      <c r="F2497" s="2">
        <v>159</v>
      </c>
      <c r="G2497" t="s">
        <v>12</v>
      </c>
      <c r="H2497" s="3">
        <v>45460.4</v>
      </c>
      <c r="I2497" s="3">
        <v>1203345</v>
      </c>
      <c r="J2497" s="3">
        <v>962676</v>
      </c>
      <c r="K2497" s="3">
        <v>195208.6</v>
      </c>
      <c r="L2497" t="s">
        <v>16</v>
      </c>
      <c r="M2497">
        <v>4.9000000000000004</v>
      </c>
    </row>
    <row r="2498" spans="1:13" x14ac:dyDescent="0.25">
      <c r="A2498">
        <v>2497</v>
      </c>
      <c r="B2498" s="1">
        <v>43267</v>
      </c>
      <c r="C2498" s="1">
        <v>43578</v>
      </c>
      <c r="D2498" t="s">
        <v>21</v>
      </c>
      <c r="E2498" t="s">
        <v>26</v>
      </c>
      <c r="F2498" s="2">
        <v>139</v>
      </c>
      <c r="G2498" t="s">
        <v>12</v>
      </c>
      <c r="H2498" s="3">
        <v>37532.44</v>
      </c>
      <c r="I2498" s="3">
        <v>991471</v>
      </c>
      <c r="J2498" s="3">
        <v>793176.8</v>
      </c>
      <c r="K2498" s="3">
        <v>160761.75999999995</v>
      </c>
      <c r="L2498" t="s">
        <v>18</v>
      </c>
      <c r="M2498">
        <v>4.3</v>
      </c>
    </row>
    <row r="2499" spans="1:13" x14ac:dyDescent="0.25">
      <c r="A2499">
        <v>2498</v>
      </c>
      <c r="B2499" s="1">
        <v>43267</v>
      </c>
      <c r="C2499" s="1">
        <v>43384</v>
      </c>
      <c r="D2499" t="s">
        <v>22</v>
      </c>
      <c r="E2499" t="s">
        <v>25</v>
      </c>
      <c r="F2499" s="2">
        <v>79</v>
      </c>
      <c r="G2499" t="s">
        <v>12</v>
      </c>
      <c r="H2499" s="3">
        <v>30844.6</v>
      </c>
      <c r="I2499" s="3">
        <v>833700</v>
      </c>
      <c r="J2499" s="3">
        <v>666960</v>
      </c>
      <c r="K2499" s="3">
        <v>135895.4</v>
      </c>
      <c r="L2499" t="s">
        <v>15</v>
      </c>
      <c r="M2499">
        <v>4</v>
      </c>
    </row>
    <row r="2500" spans="1:13" x14ac:dyDescent="0.25">
      <c r="A2500">
        <v>2499</v>
      </c>
      <c r="B2500" s="1">
        <v>43267</v>
      </c>
      <c r="C2500" s="1">
        <v>43466</v>
      </c>
      <c r="D2500" t="s">
        <v>23</v>
      </c>
      <c r="E2500" t="s">
        <v>29</v>
      </c>
      <c r="F2500" s="2">
        <v>274</v>
      </c>
      <c r="G2500" t="s">
        <v>12</v>
      </c>
      <c r="H2500" s="3">
        <v>94229.2</v>
      </c>
      <c r="I2500" s="3">
        <v>2420965</v>
      </c>
      <c r="J2500" s="3">
        <v>1936772</v>
      </c>
      <c r="K2500" s="3">
        <v>389963.8</v>
      </c>
      <c r="L2500" t="s">
        <v>15</v>
      </c>
      <c r="M2500">
        <v>4.3</v>
      </c>
    </row>
    <row r="2501" spans="1:13" x14ac:dyDescent="0.25">
      <c r="A2501">
        <v>2500</v>
      </c>
      <c r="B2501" s="1">
        <v>43268</v>
      </c>
      <c r="C2501" s="1">
        <v>43385</v>
      </c>
      <c r="D2501" t="s">
        <v>20</v>
      </c>
      <c r="E2501" t="s">
        <v>27</v>
      </c>
      <c r="F2501" s="2">
        <v>175</v>
      </c>
      <c r="G2501" t="s">
        <v>12</v>
      </c>
      <c r="H2501" s="3">
        <v>34490.6</v>
      </c>
      <c r="I2501" s="3">
        <v>924425</v>
      </c>
      <c r="J2501" s="3">
        <v>739540</v>
      </c>
      <c r="K2501" s="3">
        <v>150394.4</v>
      </c>
      <c r="L2501" t="s">
        <v>17</v>
      </c>
      <c r="M2501">
        <v>4.7</v>
      </c>
    </row>
    <row r="2502" spans="1:13" x14ac:dyDescent="0.25">
      <c r="A2502">
        <v>2501</v>
      </c>
      <c r="B2502" s="1">
        <v>43268</v>
      </c>
      <c r="C2502" s="1">
        <v>43470</v>
      </c>
      <c r="D2502" t="s">
        <v>21</v>
      </c>
      <c r="E2502" t="s">
        <v>29</v>
      </c>
      <c r="F2502" s="2">
        <v>128</v>
      </c>
      <c r="G2502" t="s">
        <v>12</v>
      </c>
      <c r="H2502" s="3">
        <v>42133.24</v>
      </c>
      <c r="I2502" s="3">
        <v>1119741</v>
      </c>
      <c r="J2502" s="3">
        <v>895792.8</v>
      </c>
      <c r="K2502" s="3">
        <v>181814.95999999996</v>
      </c>
      <c r="L2502" t="s">
        <v>17</v>
      </c>
      <c r="M2502">
        <v>3.7</v>
      </c>
    </row>
    <row r="2503" spans="1:13" x14ac:dyDescent="0.25">
      <c r="A2503">
        <v>2502</v>
      </c>
      <c r="B2503" s="1">
        <v>43268</v>
      </c>
      <c r="C2503" s="1">
        <v>43445</v>
      </c>
      <c r="D2503" t="s">
        <v>20</v>
      </c>
      <c r="E2503" t="s">
        <v>28</v>
      </c>
      <c r="F2503" s="2">
        <v>240</v>
      </c>
      <c r="G2503" t="s">
        <v>12</v>
      </c>
      <c r="H2503" s="3">
        <v>80641.2</v>
      </c>
      <c r="I2503" s="3">
        <v>2067290</v>
      </c>
      <c r="J2503" s="3">
        <v>1653832</v>
      </c>
      <c r="K2503" s="3">
        <v>332816.8</v>
      </c>
      <c r="L2503" t="s">
        <v>18</v>
      </c>
      <c r="M2503">
        <v>5</v>
      </c>
    </row>
    <row r="2504" spans="1:13" x14ac:dyDescent="0.25">
      <c r="A2504">
        <v>2503</v>
      </c>
      <c r="B2504" s="1">
        <v>43269</v>
      </c>
      <c r="C2504" s="1">
        <v>43501</v>
      </c>
      <c r="D2504" t="s">
        <v>21</v>
      </c>
      <c r="E2504" t="s">
        <v>13</v>
      </c>
      <c r="F2504" s="2">
        <v>40</v>
      </c>
      <c r="G2504" t="s">
        <v>11</v>
      </c>
      <c r="H2504" s="3">
        <v>6537.8</v>
      </c>
      <c r="I2504" s="3">
        <v>217655</v>
      </c>
      <c r="J2504" s="3">
        <v>174124</v>
      </c>
      <c r="K2504" s="3">
        <v>36993.199999999997</v>
      </c>
      <c r="L2504" t="s">
        <v>17</v>
      </c>
      <c r="M2504">
        <v>4.3</v>
      </c>
    </row>
    <row r="2505" spans="1:13" x14ac:dyDescent="0.25">
      <c r="A2505">
        <v>2504</v>
      </c>
      <c r="B2505" s="1">
        <v>43269</v>
      </c>
      <c r="C2505" s="1">
        <v>43462</v>
      </c>
      <c r="D2505" t="s">
        <v>23</v>
      </c>
      <c r="E2505" t="s">
        <v>29</v>
      </c>
      <c r="F2505" s="2">
        <v>294</v>
      </c>
      <c r="G2505" t="s">
        <v>12</v>
      </c>
      <c r="H2505" s="3">
        <v>85448.4</v>
      </c>
      <c r="I2505" s="3">
        <v>2198645</v>
      </c>
      <c r="J2505" s="3">
        <v>1758916</v>
      </c>
      <c r="K2505" s="3">
        <v>354280.6</v>
      </c>
      <c r="L2505" t="s">
        <v>17</v>
      </c>
      <c r="M2505">
        <v>3.7</v>
      </c>
    </row>
    <row r="2506" spans="1:13" x14ac:dyDescent="0.25">
      <c r="A2506">
        <v>2505</v>
      </c>
      <c r="B2506" s="1">
        <v>43271</v>
      </c>
      <c r="C2506" s="1">
        <v>43584</v>
      </c>
      <c r="D2506" t="s">
        <v>21</v>
      </c>
      <c r="E2506" t="s">
        <v>27</v>
      </c>
      <c r="F2506" s="2">
        <v>59</v>
      </c>
      <c r="G2506" t="s">
        <v>11</v>
      </c>
      <c r="H2506" s="3">
        <v>15689.4</v>
      </c>
      <c r="I2506" s="3">
        <v>450395</v>
      </c>
      <c r="J2506" s="3">
        <v>360316</v>
      </c>
      <c r="K2506" s="3">
        <v>74389.600000000006</v>
      </c>
      <c r="L2506" t="s">
        <v>18</v>
      </c>
      <c r="M2506">
        <v>4.2</v>
      </c>
    </row>
    <row r="2507" spans="1:13" x14ac:dyDescent="0.25">
      <c r="A2507">
        <v>2506</v>
      </c>
      <c r="B2507" s="1">
        <v>43272</v>
      </c>
      <c r="C2507" s="1">
        <v>43576</v>
      </c>
      <c r="D2507" t="s">
        <v>22</v>
      </c>
      <c r="E2507" t="s">
        <v>13</v>
      </c>
      <c r="F2507" s="2">
        <v>272</v>
      </c>
      <c r="G2507" t="s">
        <v>12</v>
      </c>
      <c r="H2507" s="3">
        <v>89364.92</v>
      </c>
      <c r="I2507" s="3">
        <v>2286833</v>
      </c>
      <c r="J2507" s="3">
        <v>1829466.4</v>
      </c>
      <c r="K2507" s="3">
        <v>368001.68000000011</v>
      </c>
      <c r="L2507" t="s">
        <v>17</v>
      </c>
      <c r="M2507">
        <v>3.6</v>
      </c>
    </row>
    <row r="2508" spans="1:13" x14ac:dyDescent="0.25">
      <c r="A2508">
        <v>2507</v>
      </c>
      <c r="B2508" s="1">
        <v>43272</v>
      </c>
      <c r="C2508" s="1">
        <v>43458</v>
      </c>
      <c r="D2508" t="s">
        <v>21</v>
      </c>
      <c r="E2508" t="s">
        <v>29</v>
      </c>
      <c r="F2508" s="2">
        <v>208</v>
      </c>
      <c r="G2508" t="s">
        <v>12</v>
      </c>
      <c r="H2508" s="3">
        <v>68781.72</v>
      </c>
      <c r="I2508" s="3">
        <v>1772553</v>
      </c>
      <c r="J2508" s="3">
        <v>1418042.4</v>
      </c>
      <c r="K2508" s="3">
        <v>285728.88000000012</v>
      </c>
      <c r="L2508" t="s">
        <v>16</v>
      </c>
      <c r="M2508">
        <v>4</v>
      </c>
    </row>
    <row r="2509" spans="1:13" x14ac:dyDescent="0.25">
      <c r="A2509">
        <v>2508</v>
      </c>
      <c r="B2509" s="1">
        <v>43272</v>
      </c>
      <c r="C2509" s="1">
        <v>43498</v>
      </c>
      <c r="D2509" t="s">
        <v>20</v>
      </c>
      <c r="E2509" t="s">
        <v>27</v>
      </c>
      <c r="F2509" s="2">
        <v>90</v>
      </c>
      <c r="G2509" t="s">
        <v>11</v>
      </c>
      <c r="H2509" s="3">
        <v>23784.720000000001</v>
      </c>
      <c r="I2509" s="3">
        <v>656703</v>
      </c>
      <c r="J2509" s="3">
        <v>525362.4</v>
      </c>
      <c r="K2509" s="3">
        <v>107555.87999999998</v>
      </c>
      <c r="L2509" t="s">
        <v>17</v>
      </c>
      <c r="M2509">
        <v>3.7</v>
      </c>
    </row>
    <row r="2510" spans="1:13" x14ac:dyDescent="0.25">
      <c r="A2510">
        <v>2509</v>
      </c>
      <c r="B2510" s="1">
        <v>43272</v>
      </c>
      <c r="C2510" s="1">
        <v>43534</v>
      </c>
      <c r="D2510" t="s">
        <v>21</v>
      </c>
      <c r="E2510" t="s">
        <v>29</v>
      </c>
      <c r="F2510" s="2">
        <v>234</v>
      </c>
      <c r="G2510" t="s">
        <v>12</v>
      </c>
      <c r="H2510" s="3">
        <v>52033.760000000002</v>
      </c>
      <c r="I2510" s="3">
        <v>1364154</v>
      </c>
      <c r="J2510" s="3">
        <v>1091323.2</v>
      </c>
      <c r="K2510" s="3">
        <v>220797.04000000004</v>
      </c>
      <c r="L2510" t="s">
        <v>17</v>
      </c>
      <c r="M2510">
        <v>5</v>
      </c>
    </row>
    <row r="2511" spans="1:13" x14ac:dyDescent="0.25">
      <c r="A2511">
        <v>2510</v>
      </c>
      <c r="B2511" s="1">
        <v>43273</v>
      </c>
      <c r="C2511" s="1">
        <v>43371</v>
      </c>
      <c r="D2511" t="s">
        <v>20</v>
      </c>
      <c r="E2511" t="s">
        <v>29</v>
      </c>
      <c r="F2511" s="2">
        <v>85</v>
      </c>
      <c r="G2511" t="s">
        <v>12</v>
      </c>
      <c r="H2511" s="3">
        <v>34296.559999999998</v>
      </c>
      <c r="I2511" s="3">
        <v>921824</v>
      </c>
      <c r="J2511" s="3">
        <v>737459.19999999995</v>
      </c>
      <c r="K2511" s="3">
        <v>150068.24000000005</v>
      </c>
      <c r="L2511" t="s">
        <v>15</v>
      </c>
      <c r="M2511">
        <v>3.7</v>
      </c>
    </row>
    <row r="2512" spans="1:13" x14ac:dyDescent="0.25">
      <c r="A2512">
        <v>2511</v>
      </c>
      <c r="B2512" s="1">
        <v>43273</v>
      </c>
      <c r="C2512" s="1">
        <v>43414</v>
      </c>
      <c r="D2512" t="s">
        <v>20</v>
      </c>
      <c r="E2512" t="s">
        <v>28</v>
      </c>
      <c r="F2512" s="2">
        <v>240</v>
      </c>
      <c r="G2512" t="s">
        <v>12</v>
      </c>
      <c r="H2512" s="3">
        <v>86805.08</v>
      </c>
      <c r="I2512" s="3">
        <v>2234987</v>
      </c>
      <c r="J2512" s="3">
        <v>1787989.6</v>
      </c>
      <c r="K2512" s="3">
        <v>360192.31999999989</v>
      </c>
      <c r="L2512" t="s">
        <v>14</v>
      </c>
      <c r="M2512">
        <v>4.2</v>
      </c>
    </row>
    <row r="2513" spans="1:13" x14ac:dyDescent="0.25">
      <c r="A2513">
        <v>2512</v>
      </c>
      <c r="B2513" s="1">
        <v>43274</v>
      </c>
      <c r="C2513" s="1">
        <v>43412</v>
      </c>
      <c r="D2513" t="s">
        <v>20</v>
      </c>
      <c r="E2513" t="s">
        <v>25</v>
      </c>
      <c r="F2513" s="2">
        <v>171</v>
      </c>
      <c r="G2513" t="s">
        <v>12</v>
      </c>
      <c r="H2513" s="3">
        <v>39752.480000000003</v>
      </c>
      <c r="I2513" s="3">
        <v>1047347</v>
      </c>
      <c r="J2513" s="3">
        <v>837877.6</v>
      </c>
      <c r="K2513" s="3">
        <v>169716.92</v>
      </c>
      <c r="L2513" t="s">
        <v>14</v>
      </c>
      <c r="M2513">
        <v>5</v>
      </c>
    </row>
    <row r="2514" spans="1:13" x14ac:dyDescent="0.25">
      <c r="A2514">
        <v>2513</v>
      </c>
      <c r="B2514" s="1">
        <v>43274</v>
      </c>
      <c r="C2514" s="1">
        <v>43444</v>
      </c>
      <c r="D2514" t="s">
        <v>20</v>
      </c>
      <c r="E2514" t="s">
        <v>28</v>
      </c>
      <c r="F2514" s="2">
        <v>292</v>
      </c>
      <c r="G2514" t="s">
        <v>12</v>
      </c>
      <c r="H2514" s="3">
        <v>97320.92</v>
      </c>
      <c r="I2514" s="3">
        <v>2495283</v>
      </c>
      <c r="J2514" s="3">
        <v>1996226.4</v>
      </c>
      <c r="K2514" s="3">
        <v>401735.68000000011</v>
      </c>
      <c r="L2514" t="s">
        <v>17</v>
      </c>
      <c r="M2514">
        <v>4.3</v>
      </c>
    </row>
    <row r="2515" spans="1:13" x14ac:dyDescent="0.25">
      <c r="A2515">
        <v>2514</v>
      </c>
      <c r="B2515" s="1">
        <v>43275</v>
      </c>
      <c r="C2515" s="1">
        <v>43544</v>
      </c>
      <c r="D2515" t="s">
        <v>22</v>
      </c>
      <c r="E2515" t="s">
        <v>28</v>
      </c>
      <c r="F2515" s="2">
        <v>172</v>
      </c>
      <c r="G2515" t="s">
        <v>11</v>
      </c>
      <c r="H2515" s="3">
        <v>27955.64</v>
      </c>
      <c r="I2515" s="3">
        <v>754751</v>
      </c>
      <c r="J2515" s="3">
        <v>603800.80000000005</v>
      </c>
      <c r="K2515" s="3">
        <v>122994.55999999995</v>
      </c>
      <c r="L2515" t="s">
        <v>16</v>
      </c>
      <c r="M2515">
        <v>3.7</v>
      </c>
    </row>
    <row r="2516" spans="1:13" x14ac:dyDescent="0.25">
      <c r="A2516">
        <v>2515</v>
      </c>
      <c r="B2516" s="1">
        <v>43275</v>
      </c>
      <c r="C2516" s="1">
        <v>43574</v>
      </c>
      <c r="D2516" t="s">
        <v>21</v>
      </c>
      <c r="E2516" t="s">
        <v>29</v>
      </c>
      <c r="F2516" s="2">
        <v>278</v>
      </c>
      <c r="G2516" t="s">
        <v>12</v>
      </c>
      <c r="H2516" s="3">
        <v>60239.6</v>
      </c>
      <c r="I2516" s="3">
        <v>1558100</v>
      </c>
      <c r="J2516" s="3">
        <v>1246480</v>
      </c>
      <c r="K2516" s="3">
        <v>251380.4</v>
      </c>
      <c r="L2516" t="s">
        <v>14</v>
      </c>
      <c r="M2516">
        <v>4.9000000000000004</v>
      </c>
    </row>
    <row r="2517" spans="1:13" x14ac:dyDescent="0.25">
      <c r="A2517">
        <v>2516</v>
      </c>
      <c r="B2517" s="1">
        <v>43275</v>
      </c>
      <c r="C2517" s="1">
        <v>43437</v>
      </c>
      <c r="D2517" t="s">
        <v>22</v>
      </c>
      <c r="E2517" t="s">
        <v>25</v>
      </c>
      <c r="F2517" s="2">
        <v>110</v>
      </c>
      <c r="G2517" t="s">
        <v>12</v>
      </c>
      <c r="H2517" s="3">
        <v>30865.599999999999</v>
      </c>
      <c r="I2517" s="3">
        <v>833700</v>
      </c>
      <c r="J2517" s="3">
        <v>666960</v>
      </c>
      <c r="K2517" s="3">
        <v>135874.4</v>
      </c>
      <c r="L2517" t="s">
        <v>18</v>
      </c>
      <c r="M2517">
        <v>3.9</v>
      </c>
    </row>
    <row r="2518" spans="1:13" x14ac:dyDescent="0.25">
      <c r="A2518">
        <v>2517</v>
      </c>
      <c r="B2518" s="1">
        <v>43276</v>
      </c>
      <c r="C2518" s="1">
        <v>43514</v>
      </c>
      <c r="D2518" t="s">
        <v>20</v>
      </c>
      <c r="E2518" t="s">
        <v>25</v>
      </c>
      <c r="F2518" s="2">
        <v>210</v>
      </c>
      <c r="G2518" t="s">
        <v>12</v>
      </c>
      <c r="H2518" s="3">
        <v>49409.2</v>
      </c>
      <c r="I2518" s="3">
        <v>1289990</v>
      </c>
      <c r="J2518" s="3">
        <v>1031992</v>
      </c>
      <c r="K2518" s="3">
        <v>208588.79999999999</v>
      </c>
      <c r="L2518" t="s">
        <v>18</v>
      </c>
      <c r="M2518">
        <v>3.8</v>
      </c>
    </row>
    <row r="2519" spans="1:13" x14ac:dyDescent="0.25">
      <c r="A2519">
        <v>2518</v>
      </c>
      <c r="B2519" s="1">
        <v>43276</v>
      </c>
      <c r="C2519" s="1">
        <v>43432</v>
      </c>
      <c r="D2519" t="s">
        <v>22</v>
      </c>
      <c r="E2519" t="s">
        <v>25</v>
      </c>
      <c r="F2519" s="2">
        <v>148</v>
      </c>
      <c r="G2519" t="s">
        <v>12</v>
      </c>
      <c r="H2519" s="3">
        <v>35815.199999999997</v>
      </c>
      <c r="I2519" s="3">
        <v>948815</v>
      </c>
      <c r="J2519" s="3">
        <v>759052</v>
      </c>
      <c r="K2519" s="3">
        <v>153947.79999999999</v>
      </c>
      <c r="L2519" t="s">
        <v>15</v>
      </c>
      <c r="M2519">
        <v>3.6</v>
      </c>
    </row>
    <row r="2520" spans="1:13" x14ac:dyDescent="0.25">
      <c r="A2520">
        <v>2519</v>
      </c>
      <c r="B2520" s="1">
        <v>43276</v>
      </c>
      <c r="C2520" s="1">
        <v>43397</v>
      </c>
      <c r="D2520" t="s">
        <v>20</v>
      </c>
      <c r="E2520" t="s">
        <v>27</v>
      </c>
      <c r="F2520" s="2">
        <v>239</v>
      </c>
      <c r="G2520" t="s">
        <v>12</v>
      </c>
      <c r="H2520" s="3">
        <v>42735.48</v>
      </c>
      <c r="I2520" s="3">
        <v>1124297</v>
      </c>
      <c r="J2520" s="3">
        <v>899437.6</v>
      </c>
      <c r="K2520" s="3">
        <v>182123.92</v>
      </c>
      <c r="L2520" t="s">
        <v>17</v>
      </c>
      <c r="M2520">
        <v>4.2</v>
      </c>
    </row>
    <row r="2521" spans="1:13" x14ac:dyDescent="0.25">
      <c r="A2521">
        <v>2520</v>
      </c>
      <c r="B2521" s="1">
        <v>43277</v>
      </c>
      <c r="C2521" s="1">
        <v>43384</v>
      </c>
      <c r="D2521" t="s">
        <v>21</v>
      </c>
      <c r="E2521" t="s">
        <v>13</v>
      </c>
      <c r="F2521" s="2">
        <v>95</v>
      </c>
      <c r="G2521" t="s">
        <v>12</v>
      </c>
      <c r="H2521" s="3">
        <v>31701.84</v>
      </c>
      <c r="I2521" s="3">
        <v>856106</v>
      </c>
      <c r="J2521" s="3">
        <v>684884.8</v>
      </c>
      <c r="K2521" s="3">
        <v>139519.35999999996</v>
      </c>
      <c r="L2521" t="s">
        <v>15</v>
      </c>
      <c r="M2521">
        <v>4.8</v>
      </c>
    </row>
    <row r="2522" spans="1:13" x14ac:dyDescent="0.25">
      <c r="A2522">
        <v>2521</v>
      </c>
      <c r="B2522" s="1">
        <v>43279</v>
      </c>
      <c r="C2522" s="1">
        <v>43531</v>
      </c>
      <c r="D2522" t="s">
        <v>20</v>
      </c>
      <c r="E2522" t="s">
        <v>25</v>
      </c>
      <c r="F2522" s="2">
        <v>67</v>
      </c>
      <c r="G2522" t="s">
        <v>11</v>
      </c>
      <c r="H2522" s="3">
        <v>11960.24</v>
      </c>
      <c r="I2522" s="3">
        <v>356766</v>
      </c>
      <c r="J2522" s="3">
        <v>285412.8</v>
      </c>
      <c r="K2522" s="3">
        <v>59392.960000000014</v>
      </c>
      <c r="L2522" t="s">
        <v>17</v>
      </c>
      <c r="M2522">
        <v>4.8</v>
      </c>
    </row>
    <row r="2523" spans="1:13" x14ac:dyDescent="0.25">
      <c r="A2523">
        <v>2522</v>
      </c>
      <c r="B2523" s="1">
        <v>43279</v>
      </c>
      <c r="C2523" s="1">
        <v>43448</v>
      </c>
      <c r="D2523" t="s">
        <v>22</v>
      </c>
      <c r="E2523" t="s">
        <v>27</v>
      </c>
      <c r="F2523" s="2">
        <v>209</v>
      </c>
      <c r="G2523" t="s">
        <v>12</v>
      </c>
      <c r="H2523" s="3">
        <v>58955.8</v>
      </c>
      <c r="I2523" s="3">
        <v>1540905</v>
      </c>
      <c r="J2523" s="3">
        <v>1232724</v>
      </c>
      <c r="K2523" s="3">
        <v>249225.2</v>
      </c>
      <c r="L2523" t="s">
        <v>16</v>
      </c>
      <c r="M2523">
        <v>4</v>
      </c>
    </row>
    <row r="2524" spans="1:13" x14ac:dyDescent="0.25">
      <c r="A2524">
        <v>2523</v>
      </c>
      <c r="B2524" s="1">
        <v>43281</v>
      </c>
      <c r="C2524" s="1">
        <v>43506</v>
      </c>
      <c r="D2524" t="s">
        <v>22</v>
      </c>
      <c r="E2524" t="s">
        <v>13</v>
      </c>
      <c r="F2524" s="2">
        <v>62</v>
      </c>
      <c r="G2524" t="s">
        <v>11</v>
      </c>
      <c r="H2524" s="3">
        <v>15239.2</v>
      </c>
      <c r="I2524" s="3">
        <v>433265</v>
      </c>
      <c r="J2524" s="3">
        <v>346612</v>
      </c>
      <c r="K2524" s="3">
        <v>71413.8</v>
      </c>
      <c r="L2524" t="s">
        <v>14</v>
      </c>
      <c r="M2524">
        <v>4.9000000000000004</v>
      </c>
    </row>
    <row r="2525" spans="1:13" x14ac:dyDescent="0.25">
      <c r="A2525">
        <v>2524</v>
      </c>
      <c r="B2525" s="1">
        <v>43281</v>
      </c>
      <c r="C2525" s="1">
        <v>43565</v>
      </c>
      <c r="D2525" t="s">
        <v>21</v>
      </c>
      <c r="E2525" t="s">
        <v>29</v>
      </c>
      <c r="F2525" s="2">
        <v>202</v>
      </c>
      <c r="G2525" t="s">
        <v>12</v>
      </c>
      <c r="H2525" s="3">
        <v>72777</v>
      </c>
      <c r="I2525" s="3">
        <v>1880910</v>
      </c>
      <c r="J2525" s="3">
        <v>1504728</v>
      </c>
      <c r="K2525" s="3">
        <v>303405</v>
      </c>
      <c r="L2525" t="s">
        <v>15</v>
      </c>
      <c r="M2525">
        <v>3.6</v>
      </c>
    </row>
    <row r="2526" spans="1:13" x14ac:dyDescent="0.25">
      <c r="A2526">
        <v>2525</v>
      </c>
      <c r="B2526" s="1">
        <v>43281</v>
      </c>
      <c r="C2526" s="1">
        <v>43583</v>
      </c>
      <c r="D2526" t="s">
        <v>20</v>
      </c>
      <c r="E2526" t="s">
        <v>27</v>
      </c>
      <c r="F2526" s="2">
        <v>287</v>
      </c>
      <c r="G2526" t="s">
        <v>12</v>
      </c>
      <c r="H2526" s="3">
        <v>113368.52</v>
      </c>
      <c r="I2526" s="3">
        <v>2886248</v>
      </c>
      <c r="J2526" s="3">
        <v>2308998.4</v>
      </c>
      <c r="K2526" s="3">
        <v>463881.08000000007</v>
      </c>
      <c r="L2526" t="s">
        <v>16</v>
      </c>
      <c r="M2526">
        <v>3.7</v>
      </c>
    </row>
    <row r="2527" spans="1:13" x14ac:dyDescent="0.25">
      <c r="A2527">
        <v>2526</v>
      </c>
      <c r="B2527" s="1">
        <v>43282</v>
      </c>
      <c r="C2527" s="1">
        <v>43503</v>
      </c>
      <c r="D2527" t="s">
        <v>20</v>
      </c>
      <c r="E2527" t="s">
        <v>29</v>
      </c>
      <c r="F2527" s="2">
        <v>157</v>
      </c>
      <c r="G2527" t="s">
        <v>12</v>
      </c>
      <c r="H2527" s="3">
        <v>30386</v>
      </c>
      <c r="I2527" s="3">
        <v>810885</v>
      </c>
      <c r="J2527" s="3">
        <v>648708</v>
      </c>
      <c r="K2527" s="3">
        <v>131791</v>
      </c>
      <c r="L2527" t="s">
        <v>16</v>
      </c>
      <c r="M2527">
        <v>4</v>
      </c>
    </row>
    <row r="2528" spans="1:13" x14ac:dyDescent="0.25">
      <c r="A2528">
        <v>2527</v>
      </c>
      <c r="B2528" s="1">
        <v>43282</v>
      </c>
      <c r="C2528" s="1">
        <v>43392</v>
      </c>
      <c r="D2528" t="s">
        <v>21</v>
      </c>
      <c r="E2528" t="s">
        <v>29</v>
      </c>
      <c r="F2528" s="2">
        <v>207</v>
      </c>
      <c r="G2528" t="s">
        <v>12</v>
      </c>
      <c r="H2528" s="3">
        <v>66738.960000000006</v>
      </c>
      <c r="I2528" s="3">
        <v>1727609</v>
      </c>
      <c r="J2528" s="3">
        <v>1382087.2</v>
      </c>
      <c r="K2528" s="3">
        <v>278782.84000000003</v>
      </c>
      <c r="L2528" t="s">
        <v>18</v>
      </c>
      <c r="M2528">
        <v>4.5</v>
      </c>
    </row>
    <row r="2529" spans="1:13" x14ac:dyDescent="0.25">
      <c r="A2529">
        <v>2528</v>
      </c>
      <c r="B2529" s="1">
        <v>43282</v>
      </c>
      <c r="C2529" s="1">
        <v>43549</v>
      </c>
      <c r="D2529" t="s">
        <v>21</v>
      </c>
      <c r="E2529" t="s">
        <v>25</v>
      </c>
      <c r="F2529" s="2">
        <v>86</v>
      </c>
      <c r="G2529" t="s">
        <v>11</v>
      </c>
      <c r="H2529" s="3">
        <v>22902.92</v>
      </c>
      <c r="I2529" s="3">
        <v>631183</v>
      </c>
      <c r="J2529" s="3">
        <v>504946.4</v>
      </c>
      <c r="K2529" s="3">
        <v>103333.67999999998</v>
      </c>
      <c r="L2529" t="s">
        <v>17</v>
      </c>
      <c r="M2529">
        <v>4.5</v>
      </c>
    </row>
    <row r="2530" spans="1:13" x14ac:dyDescent="0.25">
      <c r="A2530">
        <v>2529</v>
      </c>
      <c r="B2530" s="1">
        <v>43282</v>
      </c>
      <c r="C2530" s="1">
        <v>43438</v>
      </c>
      <c r="D2530" t="s">
        <v>20</v>
      </c>
      <c r="E2530" t="s">
        <v>25</v>
      </c>
      <c r="F2530" s="2">
        <v>230</v>
      </c>
      <c r="G2530" t="s">
        <v>12</v>
      </c>
      <c r="H2530" s="3">
        <v>46690.44</v>
      </c>
      <c r="I2530" s="3">
        <v>1219121</v>
      </c>
      <c r="J2530" s="3">
        <v>975296.8</v>
      </c>
      <c r="K2530" s="3">
        <v>197133.75999999995</v>
      </c>
      <c r="L2530" t="s">
        <v>14</v>
      </c>
      <c r="M2530">
        <v>4.3</v>
      </c>
    </row>
    <row r="2531" spans="1:13" x14ac:dyDescent="0.25">
      <c r="A2531">
        <v>2530</v>
      </c>
      <c r="B2531" s="1">
        <v>43283</v>
      </c>
      <c r="C2531" s="1">
        <v>43579</v>
      </c>
      <c r="D2531" t="s">
        <v>20</v>
      </c>
      <c r="E2531" t="s">
        <v>13</v>
      </c>
      <c r="F2531" s="2">
        <v>190</v>
      </c>
      <c r="G2531" t="s">
        <v>12</v>
      </c>
      <c r="H2531" s="3">
        <v>61902.2</v>
      </c>
      <c r="I2531" s="3">
        <v>1612865</v>
      </c>
      <c r="J2531" s="3">
        <v>1290292</v>
      </c>
      <c r="K2531" s="3">
        <v>260670.8</v>
      </c>
      <c r="L2531" t="s">
        <v>19</v>
      </c>
      <c r="M2531">
        <v>4.0999999999999996</v>
      </c>
    </row>
    <row r="2532" spans="1:13" x14ac:dyDescent="0.25">
      <c r="A2532">
        <v>2531</v>
      </c>
      <c r="B2532" s="1">
        <v>43283</v>
      </c>
      <c r="C2532" s="1">
        <v>43508</v>
      </c>
      <c r="D2532" t="s">
        <v>21</v>
      </c>
      <c r="E2532" t="s">
        <v>29</v>
      </c>
      <c r="F2532" s="2">
        <v>144</v>
      </c>
      <c r="G2532" t="s">
        <v>12</v>
      </c>
      <c r="H2532" s="3">
        <v>53332.36</v>
      </c>
      <c r="I2532" s="3">
        <v>1399469</v>
      </c>
      <c r="J2532" s="3">
        <v>1119575.2</v>
      </c>
      <c r="K2532" s="3">
        <v>226561.44000000006</v>
      </c>
      <c r="L2532" t="s">
        <v>14</v>
      </c>
      <c r="M2532">
        <v>4.4000000000000004</v>
      </c>
    </row>
    <row r="2533" spans="1:13" x14ac:dyDescent="0.25">
      <c r="A2533">
        <v>2532</v>
      </c>
      <c r="B2533" s="1">
        <v>43283</v>
      </c>
      <c r="C2533" s="1">
        <v>43457</v>
      </c>
      <c r="D2533" t="s">
        <v>21</v>
      </c>
      <c r="E2533" t="s">
        <v>28</v>
      </c>
      <c r="F2533" s="2">
        <v>158</v>
      </c>
      <c r="G2533" t="s">
        <v>12</v>
      </c>
      <c r="H2533" s="3">
        <v>50805.88</v>
      </c>
      <c r="I2533" s="3">
        <v>1335432</v>
      </c>
      <c r="J2533" s="3">
        <v>1068345.6000000001</v>
      </c>
      <c r="K2533" s="3">
        <v>216280.5199999999</v>
      </c>
      <c r="L2533" t="s">
        <v>18</v>
      </c>
      <c r="M2533">
        <v>4.8</v>
      </c>
    </row>
    <row r="2534" spans="1:13" x14ac:dyDescent="0.25">
      <c r="A2534">
        <v>2533</v>
      </c>
      <c r="B2534" s="1">
        <v>43283</v>
      </c>
      <c r="C2534" s="1">
        <v>43376</v>
      </c>
      <c r="D2534" t="s">
        <v>21</v>
      </c>
      <c r="E2534" t="s">
        <v>28</v>
      </c>
      <c r="F2534" s="2">
        <v>180</v>
      </c>
      <c r="G2534" t="s">
        <v>12</v>
      </c>
      <c r="H2534" s="3">
        <v>41276.639999999999</v>
      </c>
      <c r="I2534" s="3">
        <v>1096401</v>
      </c>
      <c r="J2534" s="3">
        <v>877120.8</v>
      </c>
      <c r="K2534" s="3">
        <v>178003.55999999994</v>
      </c>
      <c r="L2534" t="s">
        <v>14</v>
      </c>
      <c r="M2534">
        <v>3.8</v>
      </c>
    </row>
    <row r="2535" spans="1:13" x14ac:dyDescent="0.25">
      <c r="A2535">
        <v>2534</v>
      </c>
      <c r="B2535" s="1">
        <v>43285</v>
      </c>
      <c r="C2535" s="1">
        <v>43592</v>
      </c>
      <c r="D2535" t="s">
        <v>22</v>
      </c>
      <c r="E2535" t="s">
        <v>27</v>
      </c>
      <c r="F2535" s="2">
        <v>68</v>
      </c>
      <c r="G2535" t="s">
        <v>11</v>
      </c>
      <c r="H2535" s="3">
        <v>11429.52</v>
      </c>
      <c r="I2535" s="3">
        <v>340773</v>
      </c>
      <c r="J2535" s="3">
        <v>272618.40000000002</v>
      </c>
      <c r="K2535" s="3">
        <v>56725.079999999973</v>
      </c>
      <c r="L2535" t="s">
        <v>19</v>
      </c>
      <c r="M2535">
        <v>4.5</v>
      </c>
    </row>
    <row r="2536" spans="1:13" x14ac:dyDescent="0.25">
      <c r="A2536">
        <v>2535</v>
      </c>
      <c r="B2536" s="1">
        <v>43285</v>
      </c>
      <c r="C2536" s="1">
        <v>43451</v>
      </c>
      <c r="D2536" t="s">
        <v>21</v>
      </c>
      <c r="E2536" t="s">
        <v>29</v>
      </c>
      <c r="F2536" s="2">
        <v>271</v>
      </c>
      <c r="G2536" t="s">
        <v>12</v>
      </c>
      <c r="H2536" s="3">
        <v>95894</v>
      </c>
      <c r="I2536" s="3">
        <v>2451810</v>
      </c>
      <c r="J2536" s="3">
        <v>1961448</v>
      </c>
      <c r="K2536" s="3">
        <v>394468</v>
      </c>
      <c r="L2536" t="s">
        <v>14</v>
      </c>
      <c r="M2536">
        <v>4.3</v>
      </c>
    </row>
    <row r="2537" spans="1:13" x14ac:dyDescent="0.25">
      <c r="A2537">
        <v>2536</v>
      </c>
      <c r="B2537" s="1">
        <v>43285</v>
      </c>
      <c r="C2537" s="1">
        <v>43458</v>
      </c>
      <c r="D2537" t="s">
        <v>22</v>
      </c>
      <c r="E2537" t="s">
        <v>25</v>
      </c>
      <c r="F2537" s="2">
        <v>262</v>
      </c>
      <c r="G2537" t="s">
        <v>12</v>
      </c>
      <c r="H2537" s="3">
        <v>82703.759999999995</v>
      </c>
      <c r="I2537" s="3">
        <v>2127629</v>
      </c>
      <c r="J2537" s="3">
        <v>1702103.2</v>
      </c>
      <c r="K2537" s="3">
        <v>342822.04000000004</v>
      </c>
      <c r="L2537" t="s">
        <v>19</v>
      </c>
      <c r="M2537">
        <v>4.5</v>
      </c>
    </row>
    <row r="2538" spans="1:13" x14ac:dyDescent="0.25">
      <c r="A2538">
        <v>2537</v>
      </c>
      <c r="B2538" s="1">
        <v>43285</v>
      </c>
      <c r="C2538" s="1">
        <v>43428</v>
      </c>
      <c r="D2538" t="s">
        <v>20</v>
      </c>
      <c r="E2538" t="s">
        <v>24</v>
      </c>
      <c r="F2538" s="2">
        <v>245</v>
      </c>
      <c r="G2538" t="s">
        <v>12</v>
      </c>
      <c r="H2538" s="3">
        <v>50953</v>
      </c>
      <c r="I2538" s="3">
        <v>1334985</v>
      </c>
      <c r="J2538" s="3">
        <v>1067988</v>
      </c>
      <c r="K2538" s="3">
        <v>216044</v>
      </c>
      <c r="L2538" t="s">
        <v>16</v>
      </c>
      <c r="M2538">
        <v>4.2</v>
      </c>
    </row>
    <row r="2539" spans="1:13" x14ac:dyDescent="0.25">
      <c r="A2539">
        <v>2538</v>
      </c>
      <c r="B2539" s="1">
        <v>43286</v>
      </c>
      <c r="C2539" s="1">
        <v>43452</v>
      </c>
      <c r="D2539" t="s">
        <v>22</v>
      </c>
      <c r="E2539" t="s">
        <v>29</v>
      </c>
      <c r="F2539" s="2">
        <v>280</v>
      </c>
      <c r="G2539" t="s">
        <v>12</v>
      </c>
      <c r="H2539" s="3">
        <v>58040.4</v>
      </c>
      <c r="I2539" s="3">
        <v>1506670</v>
      </c>
      <c r="J2539" s="3">
        <v>1205336</v>
      </c>
      <c r="K2539" s="3">
        <v>243293.6</v>
      </c>
      <c r="L2539" t="s">
        <v>17</v>
      </c>
      <c r="M2539">
        <v>3.6</v>
      </c>
    </row>
    <row r="2540" spans="1:13" x14ac:dyDescent="0.25">
      <c r="A2540">
        <v>2539</v>
      </c>
      <c r="B2540" s="1">
        <v>43287</v>
      </c>
      <c r="C2540" s="1">
        <v>43548</v>
      </c>
      <c r="D2540" t="s">
        <v>20</v>
      </c>
      <c r="E2540" t="s">
        <v>24</v>
      </c>
      <c r="F2540" s="2">
        <v>205</v>
      </c>
      <c r="G2540" t="s">
        <v>12</v>
      </c>
      <c r="H2540" s="3">
        <v>69352.56</v>
      </c>
      <c r="I2540" s="3">
        <v>1795449</v>
      </c>
      <c r="J2540" s="3">
        <v>1436359.2</v>
      </c>
      <c r="K2540" s="3">
        <v>289737.24000000005</v>
      </c>
      <c r="L2540" t="s">
        <v>19</v>
      </c>
      <c r="M2540">
        <v>4.4000000000000004</v>
      </c>
    </row>
    <row r="2541" spans="1:13" x14ac:dyDescent="0.25">
      <c r="A2541">
        <v>2540</v>
      </c>
      <c r="B2541" s="1">
        <v>43287</v>
      </c>
      <c r="C2541" s="1">
        <v>43565</v>
      </c>
      <c r="D2541" t="s">
        <v>20</v>
      </c>
      <c r="E2541" t="s">
        <v>24</v>
      </c>
      <c r="F2541" s="2">
        <v>69</v>
      </c>
      <c r="G2541" t="s">
        <v>11</v>
      </c>
      <c r="H2541" s="3">
        <v>21171.599999999999</v>
      </c>
      <c r="I2541" s="3">
        <v>582925</v>
      </c>
      <c r="J2541" s="3">
        <v>466340</v>
      </c>
      <c r="K2541" s="3">
        <v>95413.4</v>
      </c>
      <c r="L2541" t="s">
        <v>19</v>
      </c>
      <c r="M2541">
        <v>4.2</v>
      </c>
    </row>
    <row r="2542" spans="1:13" x14ac:dyDescent="0.25">
      <c r="A2542">
        <v>2541</v>
      </c>
      <c r="B2542" s="1">
        <v>43288</v>
      </c>
      <c r="C2542" s="1">
        <v>43533</v>
      </c>
      <c r="D2542" t="s">
        <v>22</v>
      </c>
      <c r="E2542" t="s">
        <v>28</v>
      </c>
      <c r="F2542" s="2">
        <v>55</v>
      </c>
      <c r="G2542" t="s">
        <v>11</v>
      </c>
      <c r="H2542" s="3">
        <v>13048.4</v>
      </c>
      <c r="I2542" s="3">
        <v>387095</v>
      </c>
      <c r="J2542" s="3">
        <v>309676</v>
      </c>
      <c r="K2542" s="3">
        <v>64370.6</v>
      </c>
      <c r="L2542" t="s">
        <v>18</v>
      </c>
      <c r="M2542">
        <v>3.8</v>
      </c>
    </row>
    <row r="2543" spans="1:13" x14ac:dyDescent="0.25">
      <c r="A2543">
        <v>2542</v>
      </c>
      <c r="B2543" s="1">
        <v>43289</v>
      </c>
      <c r="C2543" s="1">
        <v>43592</v>
      </c>
      <c r="D2543" t="s">
        <v>20</v>
      </c>
      <c r="E2543" t="s">
        <v>13</v>
      </c>
      <c r="F2543" s="2">
        <v>242</v>
      </c>
      <c r="G2543" t="s">
        <v>12</v>
      </c>
      <c r="H2543" s="3">
        <v>50265.8</v>
      </c>
      <c r="I2543" s="3">
        <v>1320530</v>
      </c>
      <c r="J2543" s="3">
        <v>1056424</v>
      </c>
      <c r="K2543" s="3">
        <v>213840.2</v>
      </c>
      <c r="L2543" t="s">
        <v>16</v>
      </c>
      <c r="M2543">
        <v>3.7</v>
      </c>
    </row>
    <row r="2544" spans="1:13" x14ac:dyDescent="0.25">
      <c r="A2544">
        <v>2543</v>
      </c>
      <c r="B2544" s="1">
        <v>43289</v>
      </c>
      <c r="C2544" s="1">
        <v>43579</v>
      </c>
      <c r="D2544" t="s">
        <v>22</v>
      </c>
      <c r="E2544" t="s">
        <v>13</v>
      </c>
      <c r="F2544" s="2">
        <v>100</v>
      </c>
      <c r="G2544" t="s">
        <v>12</v>
      </c>
      <c r="H2544" s="3">
        <v>29637.8</v>
      </c>
      <c r="I2544" s="3">
        <v>802805</v>
      </c>
      <c r="J2544" s="3">
        <v>642244</v>
      </c>
      <c r="K2544" s="3">
        <v>130923.2</v>
      </c>
      <c r="L2544" t="s">
        <v>17</v>
      </c>
      <c r="M2544">
        <v>4.4000000000000004</v>
      </c>
    </row>
    <row r="2545" spans="1:13" x14ac:dyDescent="0.25">
      <c r="A2545">
        <v>2544</v>
      </c>
      <c r="B2545" s="1">
        <v>43289</v>
      </c>
      <c r="C2545" s="1">
        <v>43568</v>
      </c>
      <c r="D2545" t="s">
        <v>20</v>
      </c>
      <c r="E2545" t="s">
        <v>25</v>
      </c>
      <c r="F2545" s="2">
        <v>151</v>
      </c>
      <c r="G2545" t="s">
        <v>12</v>
      </c>
      <c r="H2545" s="3">
        <v>32691.8</v>
      </c>
      <c r="I2545" s="3">
        <v>881855</v>
      </c>
      <c r="J2545" s="3">
        <v>705484</v>
      </c>
      <c r="K2545" s="3">
        <v>143679.20000000001</v>
      </c>
      <c r="L2545" t="s">
        <v>16</v>
      </c>
      <c r="M2545">
        <v>4.9000000000000004</v>
      </c>
    </row>
    <row r="2546" spans="1:13" x14ac:dyDescent="0.25">
      <c r="A2546">
        <v>2545</v>
      </c>
      <c r="B2546" s="1">
        <v>43290</v>
      </c>
      <c r="C2546" s="1">
        <v>43417</v>
      </c>
      <c r="D2546" t="s">
        <v>21</v>
      </c>
      <c r="E2546" t="s">
        <v>28</v>
      </c>
      <c r="F2546" s="2">
        <v>77</v>
      </c>
      <c r="G2546" t="s">
        <v>11</v>
      </c>
      <c r="H2546" s="3">
        <v>25047.4</v>
      </c>
      <c r="I2546" s="3">
        <v>691370</v>
      </c>
      <c r="J2546" s="3">
        <v>553096</v>
      </c>
      <c r="K2546" s="3">
        <v>113226.6</v>
      </c>
      <c r="L2546" t="s">
        <v>15</v>
      </c>
      <c r="M2546">
        <v>4.2</v>
      </c>
    </row>
    <row r="2547" spans="1:13" x14ac:dyDescent="0.25">
      <c r="A2547">
        <v>2546</v>
      </c>
      <c r="B2547" s="1">
        <v>43290</v>
      </c>
      <c r="C2547" s="1">
        <v>43394</v>
      </c>
      <c r="D2547" t="s">
        <v>20</v>
      </c>
      <c r="E2547" t="s">
        <v>29</v>
      </c>
      <c r="F2547" s="2">
        <v>151</v>
      </c>
      <c r="G2547" t="s">
        <v>12</v>
      </c>
      <c r="H2547" s="3">
        <v>35541.56</v>
      </c>
      <c r="I2547" s="3">
        <v>951324</v>
      </c>
      <c r="J2547" s="3">
        <v>761059.2</v>
      </c>
      <c r="K2547" s="3">
        <v>154723.24000000005</v>
      </c>
      <c r="L2547" t="s">
        <v>17</v>
      </c>
      <c r="M2547">
        <v>3.7</v>
      </c>
    </row>
    <row r="2548" spans="1:13" x14ac:dyDescent="0.25">
      <c r="A2548">
        <v>2547</v>
      </c>
      <c r="B2548" s="1">
        <v>43291</v>
      </c>
      <c r="C2548" s="1">
        <v>43559</v>
      </c>
      <c r="D2548" t="s">
        <v>22</v>
      </c>
      <c r="E2548" t="s">
        <v>24</v>
      </c>
      <c r="F2548" s="2">
        <v>80</v>
      </c>
      <c r="G2548" t="s">
        <v>11</v>
      </c>
      <c r="H2548" s="3">
        <v>19207.12</v>
      </c>
      <c r="I2548" s="3">
        <v>539963</v>
      </c>
      <c r="J2548" s="3">
        <v>431970.4</v>
      </c>
      <c r="K2548" s="3">
        <v>88785.479999999981</v>
      </c>
      <c r="L2548" t="s">
        <v>16</v>
      </c>
      <c r="M2548">
        <v>4.5</v>
      </c>
    </row>
    <row r="2549" spans="1:13" x14ac:dyDescent="0.25">
      <c r="A2549">
        <v>2548</v>
      </c>
      <c r="B2549" s="1">
        <v>43291</v>
      </c>
      <c r="C2549" s="1">
        <v>43480</v>
      </c>
      <c r="D2549" t="s">
        <v>20</v>
      </c>
      <c r="E2549" t="s">
        <v>13</v>
      </c>
      <c r="F2549" s="2">
        <v>45</v>
      </c>
      <c r="G2549" t="s">
        <v>11</v>
      </c>
      <c r="H2549" s="3">
        <v>14378</v>
      </c>
      <c r="I2549" s="3">
        <v>426885</v>
      </c>
      <c r="J2549" s="3">
        <v>341508</v>
      </c>
      <c r="K2549" s="3">
        <v>70999</v>
      </c>
      <c r="L2549" t="s">
        <v>14</v>
      </c>
      <c r="M2549">
        <v>3.9</v>
      </c>
    </row>
    <row r="2550" spans="1:13" x14ac:dyDescent="0.25">
      <c r="A2550">
        <v>2549</v>
      </c>
      <c r="B2550" s="1">
        <v>43291</v>
      </c>
      <c r="C2550" s="1">
        <v>43583</v>
      </c>
      <c r="D2550" t="s">
        <v>21</v>
      </c>
      <c r="E2550" t="s">
        <v>28</v>
      </c>
      <c r="F2550" s="2">
        <v>88</v>
      </c>
      <c r="G2550" t="s">
        <v>11</v>
      </c>
      <c r="H2550" s="3">
        <v>19316.2</v>
      </c>
      <c r="I2550" s="3">
        <v>548915</v>
      </c>
      <c r="J2550" s="3">
        <v>439132</v>
      </c>
      <c r="K2550" s="3">
        <v>90466.8</v>
      </c>
      <c r="L2550" t="s">
        <v>14</v>
      </c>
      <c r="M2550">
        <v>3.8</v>
      </c>
    </row>
    <row r="2551" spans="1:13" x14ac:dyDescent="0.25">
      <c r="A2551">
        <v>2550</v>
      </c>
      <c r="B2551" s="1">
        <v>43291</v>
      </c>
      <c r="C2551" s="1">
        <v>43556</v>
      </c>
      <c r="D2551" t="s">
        <v>22</v>
      </c>
      <c r="E2551" t="s">
        <v>28</v>
      </c>
      <c r="F2551" s="2">
        <v>184</v>
      </c>
      <c r="G2551" t="s">
        <v>12</v>
      </c>
      <c r="H2551" s="3">
        <v>44128.92</v>
      </c>
      <c r="I2551" s="3">
        <v>1163958</v>
      </c>
      <c r="J2551" s="3">
        <v>931166.4</v>
      </c>
      <c r="K2551" s="3">
        <v>188662.68</v>
      </c>
      <c r="L2551" t="s">
        <v>19</v>
      </c>
      <c r="M2551">
        <v>4.8</v>
      </c>
    </row>
    <row r="2552" spans="1:13" x14ac:dyDescent="0.25">
      <c r="A2552">
        <v>2551</v>
      </c>
      <c r="B2552" s="1">
        <v>43292</v>
      </c>
      <c r="C2552" s="1">
        <v>43484</v>
      </c>
      <c r="D2552" t="s">
        <v>20</v>
      </c>
      <c r="E2552" t="s">
        <v>25</v>
      </c>
      <c r="F2552" s="2">
        <v>133</v>
      </c>
      <c r="G2552" t="s">
        <v>11</v>
      </c>
      <c r="H2552" s="3">
        <v>25574.92</v>
      </c>
      <c r="I2552" s="3">
        <v>705233</v>
      </c>
      <c r="J2552" s="3">
        <v>564186.4</v>
      </c>
      <c r="K2552" s="3">
        <v>115471.67999999998</v>
      </c>
      <c r="L2552" t="s">
        <v>14</v>
      </c>
      <c r="M2552">
        <v>4.2</v>
      </c>
    </row>
    <row r="2553" spans="1:13" x14ac:dyDescent="0.25">
      <c r="A2553">
        <v>2552</v>
      </c>
      <c r="B2553" s="1">
        <v>43294</v>
      </c>
      <c r="C2553" s="1">
        <v>43574</v>
      </c>
      <c r="D2553" t="s">
        <v>22</v>
      </c>
      <c r="E2553" t="s">
        <v>26</v>
      </c>
      <c r="F2553" s="2">
        <v>163</v>
      </c>
      <c r="G2553" t="s">
        <v>12</v>
      </c>
      <c r="H2553" s="3">
        <v>34661.64</v>
      </c>
      <c r="I2553" s="3">
        <v>925426</v>
      </c>
      <c r="J2553" s="3">
        <v>740340.8</v>
      </c>
      <c r="K2553" s="3">
        <v>150423.55999999994</v>
      </c>
      <c r="L2553" t="s">
        <v>19</v>
      </c>
      <c r="M2553">
        <v>3.7</v>
      </c>
    </row>
    <row r="2554" spans="1:13" x14ac:dyDescent="0.25">
      <c r="A2554">
        <v>2553</v>
      </c>
      <c r="B2554" s="1">
        <v>43294</v>
      </c>
      <c r="C2554" s="1">
        <v>43540</v>
      </c>
      <c r="D2554" t="s">
        <v>23</v>
      </c>
      <c r="E2554" t="s">
        <v>13</v>
      </c>
      <c r="F2554" s="2">
        <v>286</v>
      </c>
      <c r="G2554" t="s">
        <v>12</v>
      </c>
      <c r="H2554" s="3">
        <v>107300.8</v>
      </c>
      <c r="I2554" s="3">
        <v>2738705</v>
      </c>
      <c r="J2554" s="3">
        <v>2190964</v>
      </c>
      <c r="K2554" s="3">
        <v>440440.2</v>
      </c>
      <c r="L2554" t="s">
        <v>14</v>
      </c>
      <c r="M2554">
        <v>4</v>
      </c>
    </row>
    <row r="2555" spans="1:13" x14ac:dyDescent="0.25">
      <c r="A2555">
        <v>2554</v>
      </c>
      <c r="B2555" s="1">
        <v>43295</v>
      </c>
      <c r="C2555" s="1">
        <v>43517</v>
      </c>
      <c r="D2555" t="s">
        <v>21</v>
      </c>
      <c r="E2555" t="s">
        <v>13</v>
      </c>
      <c r="F2555" s="2">
        <v>132</v>
      </c>
      <c r="G2555" t="s">
        <v>12</v>
      </c>
      <c r="H2555" s="3">
        <v>34175.800000000003</v>
      </c>
      <c r="I2555" s="3">
        <v>916355</v>
      </c>
      <c r="J2555" s="3">
        <v>733084</v>
      </c>
      <c r="K2555" s="3">
        <v>149095.20000000001</v>
      </c>
      <c r="L2555" t="s">
        <v>15</v>
      </c>
      <c r="M2555">
        <v>3.9</v>
      </c>
    </row>
    <row r="2556" spans="1:13" x14ac:dyDescent="0.25">
      <c r="A2556">
        <v>2555</v>
      </c>
      <c r="B2556" s="1">
        <v>43297</v>
      </c>
      <c r="C2556" s="1">
        <v>43421</v>
      </c>
      <c r="D2556" t="s">
        <v>20</v>
      </c>
      <c r="E2556" t="s">
        <v>27</v>
      </c>
      <c r="F2556" s="2">
        <v>267</v>
      </c>
      <c r="G2556" t="s">
        <v>12</v>
      </c>
      <c r="H2556" s="3">
        <v>86947.36</v>
      </c>
      <c r="I2556" s="3">
        <v>2226019</v>
      </c>
      <c r="J2556" s="3">
        <v>1780815.2</v>
      </c>
      <c r="K2556" s="3">
        <v>358256.44000000006</v>
      </c>
      <c r="L2556" t="s">
        <v>19</v>
      </c>
      <c r="M2556">
        <v>3.6</v>
      </c>
    </row>
    <row r="2557" spans="1:13" x14ac:dyDescent="0.25">
      <c r="A2557">
        <v>2556</v>
      </c>
      <c r="B2557" s="1">
        <v>43297</v>
      </c>
      <c r="C2557" s="1">
        <v>43479</v>
      </c>
      <c r="D2557" t="s">
        <v>21</v>
      </c>
      <c r="E2557" t="s">
        <v>13</v>
      </c>
      <c r="F2557" s="2">
        <v>80</v>
      </c>
      <c r="G2557" t="s">
        <v>11</v>
      </c>
      <c r="H2557" s="3">
        <v>13868.72</v>
      </c>
      <c r="I2557" s="3">
        <v>411728</v>
      </c>
      <c r="J2557" s="3">
        <v>329382.40000000002</v>
      </c>
      <c r="K2557" s="3">
        <v>68476.879999999976</v>
      </c>
      <c r="L2557" t="s">
        <v>15</v>
      </c>
      <c r="M2557">
        <v>4.9000000000000004</v>
      </c>
    </row>
    <row r="2558" spans="1:13" x14ac:dyDescent="0.25">
      <c r="A2558">
        <v>2557</v>
      </c>
      <c r="B2558" s="1">
        <v>43297</v>
      </c>
      <c r="C2558" s="1">
        <v>43535</v>
      </c>
      <c r="D2558" t="s">
        <v>23</v>
      </c>
      <c r="E2558" t="s">
        <v>27</v>
      </c>
      <c r="F2558" s="2">
        <v>125</v>
      </c>
      <c r="G2558" t="s">
        <v>12</v>
      </c>
      <c r="H2558" s="3">
        <v>41844.400000000001</v>
      </c>
      <c r="I2558" s="3">
        <v>1098195</v>
      </c>
      <c r="J2558" s="3">
        <v>878556</v>
      </c>
      <c r="K2558" s="3">
        <v>177794.6</v>
      </c>
      <c r="L2558" t="s">
        <v>15</v>
      </c>
      <c r="M2558">
        <v>3.7</v>
      </c>
    </row>
    <row r="2559" spans="1:13" x14ac:dyDescent="0.25">
      <c r="A2559">
        <v>2558</v>
      </c>
      <c r="B2559" s="1">
        <v>43297</v>
      </c>
      <c r="C2559" s="1">
        <v>43478</v>
      </c>
      <c r="D2559" t="s">
        <v>23</v>
      </c>
      <c r="E2559" t="s">
        <v>27</v>
      </c>
      <c r="F2559" s="2">
        <v>95</v>
      </c>
      <c r="G2559" t="s">
        <v>12</v>
      </c>
      <c r="H2559" s="3">
        <v>34636.32</v>
      </c>
      <c r="I2559" s="3">
        <v>926093</v>
      </c>
      <c r="J2559" s="3">
        <v>740874.4</v>
      </c>
      <c r="K2559" s="3">
        <v>150582.27999999997</v>
      </c>
      <c r="L2559" t="s">
        <v>18</v>
      </c>
      <c r="M2559">
        <v>4.5</v>
      </c>
    </row>
    <row r="2560" spans="1:13" x14ac:dyDescent="0.25">
      <c r="A2560">
        <v>2559</v>
      </c>
      <c r="B2560" s="1">
        <v>43298</v>
      </c>
      <c r="C2560" s="1">
        <v>43419</v>
      </c>
      <c r="D2560" t="s">
        <v>21</v>
      </c>
      <c r="E2560" t="s">
        <v>29</v>
      </c>
      <c r="F2560" s="2">
        <v>149</v>
      </c>
      <c r="G2560" t="s">
        <v>12</v>
      </c>
      <c r="H2560" s="3">
        <v>37231.599999999999</v>
      </c>
      <c r="I2560" s="3">
        <v>987100</v>
      </c>
      <c r="J2560" s="3">
        <v>789680</v>
      </c>
      <c r="K2560" s="3">
        <v>160188.4</v>
      </c>
      <c r="L2560" t="s">
        <v>18</v>
      </c>
      <c r="M2560">
        <v>4</v>
      </c>
    </row>
    <row r="2561" spans="1:13" x14ac:dyDescent="0.25">
      <c r="A2561">
        <v>2560</v>
      </c>
      <c r="B2561" s="1">
        <v>43298</v>
      </c>
      <c r="C2561" s="1">
        <v>43542</v>
      </c>
      <c r="D2561" t="s">
        <v>23</v>
      </c>
      <c r="E2561" t="s">
        <v>26</v>
      </c>
      <c r="F2561" s="2">
        <v>229</v>
      </c>
      <c r="G2561" t="s">
        <v>12</v>
      </c>
      <c r="H2561" s="3">
        <v>39671.56</v>
      </c>
      <c r="I2561" s="3">
        <v>1053449</v>
      </c>
      <c r="J2561" s="3">
        <v>842759.2</v>
      </c>
      <c r="K2561" s="3">
        <v>171018.24000000005</v>
      </c>
      <c r="L2561" t="s">
        <v>19</v>
      </c>
      <c r="M2561">
        <v>4.7</v>
      </c>
    </row>
    <row r="2562" spans="1:13" x14ac:dyDescent="0.25">
      <c r="A2562">
        <v>2561</v>
      </c>
      <c r="B2562" s="1">
        <v>43298</v>
      </c>
      <c r="C2562" s="1">
        <v>43525</v>
      </c>
      <c r="D2562" t="s">
        <v>20</v>
      </c>
      <c r="E2562" t="s">
        <v>25</v>
      </c>
      <c r="F2562" s="2">
        <v>237</v>
      </c>
      <c r="G2562" t="s">
        <v>12</v>
      </c>
      <c r="H2562" s="3">
        <v>51628.92</v>
      </c>
      <c r="I2562" s="3">
        <v>1352133</v>
      </c>
      <c r="J2562" s="3">
        <v>1081706.3999999999</v>
      </c>
      <c r="K2562" s="3">
        <v>218797.68000000011</v>
      </c>
      <c r="L2562" t="s">
        <v>18</v>
      </c>
      <c r="M2562">
        <v>4.4000000000000004</v>
      </c>
    </row>
    <row r="2563" spans="1:13" x14ac:dyDescent="0.25">
      <c r="A2563">
        <v>2562</v>
      </c>
      <c r="B2563" s="1">
        <v>43299</v>
      </c>
      <c r="C2563" s="1">
        <v>43427</v>
      </c>
      <c r="D2563" t="s">
        <v>20</v>
      </c>
      <c r="E2563" t="s">
        <v>29</v>
      </c>
      <c r="F2563" s="2">
        <v>248</v>
      </c>
      <c r="G2563" t="s">
        <v>12</v>
      </c>
      <c r="H2563" s="3">
        <v>74996.92</v>
      </c>
      <c r="I2563" s="3">
        <v>1926233</v>
      </c>
      <c r="J2563" s="3">
        <v>1540986.4</v>
      </c>
      <c r="K2563" s="3">
        <v>310249.68000000011</v>
      </c>
      <c r="L2563" t="s">
        <v>19</v>
      </c>
      <c r="M2563">
        <v>5</v>
      </c>
    </row>
    <row r="2564" spans="1:13" x14ac:dyDescent="0.25">
      <c r="A2564">
        <v>2563</v>
      </c>
      <c r="B2564" s="1">
        <v>43299</v>
      </c>
      <c r="C2564" s="1">
        <v>43453</v>
      </c>
      <c r="D2564" t="s">
        <v>20</v>
      </c>
      <c r="E2564" t="s">
        <v>28</v>
      </c>
      <c r="F2564" s="2">
        <v>225</v>
      </c>
      <c r="G2564" t="s">
        <v>12</v>
      </c>
      <c r="H2564" s="3">
        <v>64355.92</v>
      </c>
      <c r="I2564" s="3">
        <v>1670858</v>
      </c>
      <c r="J2564" s="3">
        <v>1336686.3999999999</v>
      </c>
      <c r="K2564" s="3">
        <v>269815.68000000011</v>
      </c>
      <c r="L2564" t="s">
        <v>17</v>
      </c>
      <c r="M2564">
        <v>4.3</v>
      </c>
    </row>
    <row r="2565" spans="1:13" x14ac:dyDescent="0.25">
      <c r="A2565">
        <v>2564</v>
      </c>
      <c r="B2565" s="1">
        <v>43300</v>
      </c>
      <c r="C2565" s="1">
        <v>43500</v>
      </c>
      <c r="D2565" t="s">
        <v>21</v>
      </c>
      <c r="E2565" t="s">
        <v>26</v>
      </c>
      <c r="F2565" s="2">
        <v>270</v>
      </c>
      <c r="G2565" t="s">
        <v>12</v>
      </c>
      <c r="H2565" s="3">
        <v>106206</v>
      </c>
      <c r="I2565" s="3">
        <v>2718710</v>
      </c>
      <c r="J2565" s="3">
        <v>2174968</v>
      </c>
      <c r="K2565" s="3">
        <v>437536</v>
      </c>
      <c r="L2565" t="s">
        <v>15</v>
      </c>
      <c r="M2565">
        <v>3.9</v>
      </c>
    </row>
    <row r="2566" spans="1:13" x14ac:dyDescent="0.25">
      <c r="A2566">
        <v>2565</v>
      </c>
      <c r="B2566" s="1">
        <v>43300</v>
      </c>
      <c r="C2566" s="1">
        <v>43520</v>
      </c>
      <c r="D2566" t="s">
        <v>23</v>
      </c>
      <c r="E2566" t="s">
        <v>29</v>
      </c>
      <c r="F2566" s="2">
        <v>207</v>
      </c>
      <c r="G2566" t="s">
        <v>12</v>
      </c>
      <c r="H2566" s="3">
        <v>53581.16</v>
      </c>
      <c r="I2566" s="3">
        <v>1396064</v>
      </c>
      <c r="J2566" s="3">
        <v>1116851.2</v>
      </c>
      <c r="K2566" s="3">
        <v>225631.64000000004</v>
      </c>
      <c r="L2566" t="s">
        <v>14</v>
      </c>
      <c r="M2566">
        <v>5</v>
      </c>
    </row>
    <row r="2567" spans="1:13" x14ac:dyDescent="0.25">
      <c r="A2567">
        <v>2566</v>
      </c>
      <c r="B2567" s="1">
        <v>43300</v>
      </c>
      <c r="C2567" s="1">
        <v>43409</v>
      </c>
      <c r="D2567" t="s">
        <v>20</v>
      </c>
      <c r="E2567" t="s">
        <v>27</v>
      </c>
      <c r="F2567" s="2">
        <v>147</v>
      </c>
      <c r="G2567" t="s">
        <v>12</v>
      </c>
      <c r="H2567" s="3">
        <v>41819</v>
      </c>
      <c r="I2567" s="3">
        <v>1112735</v>
      </c>
      <c r="J2567" s="3">
        <v>890188</v>
      </c>
      <c r="K2567" s="3">
        <v>180728</v>
      </c>
      <c r="L2567" t="s">
        <v>14</v>
      </c>
      <c r="M2567">
        <v>4.3</v>
      </c>
    </row>
    <row r="2568" spans="1:13" x14ac:dyDescent="0.25">
      <c r="A2568">
        <v>2567</v>
      </c>
      <c r="B2568" s="1">
        <v>43301</v>
      </c>
      <c r="C2568" s="1">
        <v>43532</v>
      </c>
      <c r="D2568" t="s">
        <v>22</v>
      </c>
      <c r="E2568" t="s">
        <v>24</v>
      </c>
      <c r="F2568" s="2">
        <v>259</v>
      </c>
      <c r="G2568" t="s">
        <v>12</v>
      </c>
      <c r="H2568" s="3">
        <v>64349.2</v>
      </c>
      <c r="I2568" s="3">
        <v>1669415</v>
      </c>
      <c r="J2568" s="3">
        <v>1335532</v>
      </c>
      <c r="K2568" s="3">
        <v>269533.8</v>
      </c>
      <c r="L2568" t="s">
        <v>18</v>
      </c>
      <c r="M2568">
        <v>4</v>
      </c>
    </row>
    <row r="2569" spans="1:13" x14ac:dyDescent="0.25">
      <c r="A2569">
        <v>2568</v>
      </c>
      <c r="B2569" s="1">
        <v>43301</v>
      </c>
      <c r="C2569" s="1">
        <v>43429</v>
      </c>
      <c r="D2569" t="s">
        <v>21</v>
      </c>
      <c r="E2569" t="s">
        <v>27</v>
      </c>
      <c r="F2569" s="2">
        <v>164</v>
      </c>
      <c r="G2569" t="s">
        <v>12</v>
      </c>
      <c r="H2569" s="3">
        <v>40989.199999999997</v>
      </c>
      <c r="I2569" s="3">
        <v>1075865</v>
      </c>
      <c r="J2569" s="3">
        <v>860692</v>
      </c>
      <c r="K2569" s="3">
        <v>174183.8</v>
      </c>
      <c r="L2569" t="s">
        <v>16</v>
      </c>
      <c r="M2569">
        <v>4.9000000000000004</v>
      </c>
    </row>
    <row r="2570" spans="1:13" x14ac:dyDescent="0.25">
      <c r="A2570">
        <v>2569</v>
      </c>
      <c r="B2570" s="1">
        <v>43302</v>
      </c>
      <c r="C2570" s="1">
        <v>43396</v>
      </c>
      <c r="D2570" t="s">
        <v>20</v>
      </c>
      <c r="E2570" t="s">
        <v>13</v>
      </c>
      <c r="F2570" s="2">
        <v>255</v>
      </c>
      <c r="G2570" t="s">
        <v>12</v>
      </c>
      <c r="H2570" s="3">
        <v>67104.759999999995</v>
      </c>
      <c r="I2570" s="3">
        <v>1737479</v>
      </c>
      <c r="J2570" s="3">
        <v>1389983.2</v>
      </c>
      <c r="K2570" s="3">
        <v>280391.04000000004</v>
      </c>
      <c r="L2570" t="s">
        <v>17</v>
      </c>
      <c r="M2570">
        <v>3.6</v>
      </c>
    </row>
    <row r="2571" spans="1:13" x14ac:dyDescent="0.25">
      <c r="A2571">
        <v>2570</v>
      </c>
      <c r="B2571" s="1">
        <v>43302</v>
      </c>
      <c r="C2571" s="1">
        <v>43541</v>
      </c>
      <c r="D2571" t="s">
        <v>20</v>
      </c>
      <c r="E2571" t="s">
        <v>29</v>
      </c>
      <c r="F2571" s="2">
        <v>62</v>
      </c>
      <c r="G2571" t="s">
        <v>11</v>
      </c>
      <c r="H2571" s="3">
        <v>18588</v>
      </c>
      <c r="I2571" s="3">
        <v>526085</v>
      </c>
      <c r="J2571" s="3">
        <v>420868</v>
      </c>
      <c r="K2571" s="3">
        <v>86629</v>
      </c>
      <c r="L2571" t="s">
        <v>17</v>
      </c>
      <c r="M2571">
        <v>4</v>
      </c>
    </row>
    <row r="2572" spans="1:13" x14ac:dyDescent="0.25">
      <c r="A2572">
        <v>2571</v>
      </c>
      <c r="B2572" s="1">
        <v>43302</v>
      </c>
      <c r="C2572" s="1">
        <v>43522</v>
      </c>
      <c r="D2572" t="s">
        <v>21</v>
      </c>
      <c r="E2572" t="s">
        <v>24</v>
      </c>
      <c r="F2572" s="2">
        <v>87</v>
      </c>
      <c r="G2572" t="s">
        <v>11</v>
      </c>
      <c r="H2572" s="3">
        <v>25534.880000000001</v>
      </c>
      <c r="I2572" s="3">
        <v>695507</v>
      </c>
      <c r="J2572" s="3">
        <v>556405.6</v>
      </c>
      <c r="K2572" s="3">
        <v>113566.52000000002</v>
      </c>
      <c r="L2572" t="s">
        <v>15</v>
      </c>
      <c r="M2572">
        <v>4.8</v>
      </c>
    </row>
    <row r="2573" spans="1:13" x14ac:dyDescent="0.25">
      <c r="A2573">
        <v>2572</v>
      </c>
      <c r="B2573" s="1">
        <v>43303</v>
      </c>
      <c r="C2573" s="1">
        <v>43586</v>
      </c>
      <c r="D2573" t="s">
        <v>20</v>
      </c>
      <c r="E2573" t="s">
        <v>29</v>
      </c>
      <c r="F2573" s="2">
        <v>254</v>
      </c>
      <c r="G2573" t="s">
        <v>12</v>
      </c>
      <c r="H2573" s="3">
        <v>64142.16</v>
      </c>
      <c r="I2573" s="3">
        <v>1663264</v>
      </c>
      <c r="J2573" s="3">
        <v>1330611.2</v>
      </c>
      <c r="K2573" s="3">
        <v>268510.64</v>
      </c>
      <c r="L2573" t="s">
        <v>16</v>
      </c>
      <c r="M2573">
        <v>3.8</v>
      </c>
    </row>
    <row r="2574" spans="1:13" x14ac:dyDescent="0.25">
      <c r="A2574">
        <v>2573</v>
      </c>
      <c r="B2574" s="1">
        <v>43303</v>
      </c>
      <c r="C2574" s="1">
        <v>43520</v>
      </c>
      <c r="D2574" t="s">
        <v>20</v>
      </c>
      <c r="E2574" t="s">
        <v>28</v>
      </c>
      <c r="F2574" s="2">
        <v>58</v>
      </c>
      <c r="G2574" t="s">
        <v>11</v>
      </c>
      <c r="H2574" s="3">
        <v>18209.96</v>
      </c>
      <c r="I2574" s="3">
        <v>522309</v>
      </c>
      <c r="J2574" s="3">
        <v>417847.2</v>
      </c>
      <c r="K2574" s="3">
        <v>86251.839999999997</v>
      </c>
      <c r="L2574" t="s">
        <v>18</v>
      </c>
      <c r="M2574">
        <v>3.7</v>
      </c>
    </row>
    <row r="2575" spans="1:13" x14ac:dyDescent="0.25">
      <c r="A2575">
        <v>2574</v>
      </c>
      <c r="B2575" s="1">
        <v>43303</v>
      </c>
      <c r="C2575" s="1">
        <v>43424</v>
      </c>
      <c r="D2575" t="s">
        <v>21</v>
      </c>
      <c r="E2575" t="s">
        <v>29</v>
      </c>
      <c r="F2575" s="2">
        <v>195</v>
      </c>
      <c r="G2575" t="s">
        <v>12</v>
      </c>
      <c r="H2575" s="3">
        <v>40199</v>
      </c>
      <c r="I2575" s="3">
        <v>1057485</v>
      </c>
      <c r="J2575" s="3">
        <v>845988</v>
      </c>
      <c r="K2575" s="3">
        <v>171298</v>
      </c>
      <c r="L2575" t="s">
        <v>16</v>
      </c>
      <c r="M2575">
        <v>3.6</v>
      </c>
    </row>
    <row r="2576" spans="1:13" x14ac:dyDescent="0.25">
      <c r="A2576">
        <v>2575</v>
      </c>
      <c r="B2576" s="1">
        <v>43304</v>
      </c>
      <c r="C2576" s="1">
        <v>43576</v>
      </c>
      <c r="D2576" t="s">
        <v>20</v>
      </c>
      <c r="E2576" t="s">
        <v>25</v>
      </c>
      <c r="F2576" s="2">
        <v>150</v>
      </c>
      <c r="G2576" t="s">
        <v>12</v>
      </c>
      <c r="H2576" s="3">
        <v>42989.4</v>
      </c>
      <c r="I2576" s="3">
        <v>1132345</v>
      </c>
      <c r="J2576" s="3">
        <v>905876</v>
      </c>
      <c r="K2576" s="3">
        <v>183479.6</v>
      </c>
      <c r="L2576" t="s">
        <v>19</v>
      </c>
      <c r="M2576">
        <v>4.7</v>
      </c>
    </row>
    <row r="2577" spans="1:13" x14ac:dyDescent="0.25">
      <c r="A2577">
        <v>2576</v>
      </c>
      <c r="B2577" s="1">
        <v>43304</v>
      </c>
      <c r="C2577" s="1">
        <v>43458</v>
      </c>
      <c r="D2577" t="s">
        <v>23</v>
      </c>
      <c r="E2577" t="s">
        <v>27</v>
      </c>
      <c r="F2577" s="2">
        <v>94</v>
      </c>
      <c r="G2577" t="s">
        <v>11</v>
      </c>
      <c r="H2577" s="3">
        <v>19019.84</v>
      </c>
      <c r="I2577" s="3">
        <v>534031</v>
      </c>
      <c r="J2577" s="3">
        <v>427224.8</v>
      </c>
      <c r="K2577" s="3">
        <v>87786.360000000015</v>
      </c>
      <c r="L2577" t="s">
        <v>19</v>
      </c>
      <c r="M2577">
        <v>3.6</v>
      </c>
    </row>
    <row r="2578" spans="1:13" x14ac:dyDescent="0.25">
      <c r="A2578">
        <v>2577</v>
      </c>
      <c r="B2578" s="1">
        <v>43305</v>
      </c>
      <c r="C2578" s="1">
        <v>43521</v>
      </c>
      <c r="D2578" t="s">
        <v>23</v>
      </c>
      <c r="E2578" t="s">
        <v>27</v>
      </c>
      <c r="F2578" s="2">
        <v>107</v>
      </c>
      <c r="G2578" t="s">
        <v>11</v>
      </c>
      <c r="H2578" s="3">
        <v>26001.32</v>
      </c>
      <c r="I2578" s="3">
        <v>706693</v>
      </c>
      <c r="J2578" s="3">
        <v>565354.4</v>
      </c>
      <c r="K2578" s="3">
        <v>115337.27999999997</v>
      </c>
      <c r="L2578" t="s">
        <v>18</v>
      </c>
      <c r="M2578">
        <v>4.5</v>
      </c>
    </row>
    <row r="2579" spans="1:13" x14ac:dyDescent="0.25">
      <c r="A2579">
        <v>2578</v>
      </c>
      <c r="B2579" s="1">
        <v>43305</v>
      </c>
      <c r="C2579" s="1">
        <v>43499</v>
      </c>
      <c r="D2579" t="s">
        <v>23</v>
      </c>
      <c r="E2579" t="s">
        <v>29</v>
      </c>
      <c r="F2579" s="2">
        <v>157</v>
      </c>
      <c r="G2579" t="s">
        <v>12</v>
      </c>
      <c r="H2579" s="3">
        <v>60932.24</v>
      </c>
      <c r="I2579" s="3">
        <v>1586941</v>
      </c>
      <c r="J2579" s="3">
        <v>1269552.8</v>
      </c>
      <c r="K2579" s="3">
        <v>256455.95999999996</v>
      </c>
      <c r="L2579" t="s">
        <v>14</v>
      </c>
      <c r="M2579">
        <v>3.8</v>
      </c>
    </row>
    <row r="2580" spans="1:13" x14ac:dyDescent="0.25">
      <c r="A2580">
        <v>2579</v>
      </c>
      <c r="B2580" s="1">
        <v>43306</v>
      </c>
      <c r="C2580" s="1">
        <v>43422</v>
      </c>
      <c r="D2580" t="s">
        <v>22</v>
      </c>
      <c r="E2580" t="s">
        <v>28</v>
      </c>
      <c r="F2580" s="2">
        <v>192</v>
      </c>
      <c r="G2580" t="s">
        <v>12</v>
      </c>
      <c r="H2580" s="3">
        <v>74988.600000000006</v>
      </c>
      <c r="I2580" s="3">
        <v>1936175</v>
      </c>
      <c r="J2580" s="3">
        <v>1548940</v>
      </c>
      <c r="K2580" s="3">
        <v>312246.40000000002</v>
      </c>
      <c r="L2580" t="s">
        <v>17</v>
      </c>
      <c r="M2580">
        <v>3.9</v>
      </c>
    </row>
    <row r="2581" spans="1:13" x14ac:dyDescent="0.25">
      <c r="A2581">
        <v>2580</v>
      </c>
      <c r="B2581" s="1">
        <v>43306</v>
      </c>
      <c r="C2581" s="1">
        <v>43544</v>
      </c>
      <c r="D2581" t="s">
        <v>22</v>
      </c>
      <c r="E2581" t="s">
        <v>29</v>
      </c>
      <c r="F2581" s="2">
        <v>154</v>
      </c>
      <c r="G2581" t="s">
        <v>12</v>
      </c>
      <c r="H2581" s="3">
        <v>36375.160000000003</v>
      </c>
      <c r="I2581" s="3">
        <v>967589</v>
      </c>
      <c r="J2581" s="3">
        <v>774071.2</v>
      </c>
      <c r="K2581" s="3">
        <v>157142.64000000004</v>
      </c>
      <c r="L2581" t="s">
        <v>18</v>
      </c>
      <c r="M2581">
        <v>4.0999999999999996</v>
      </c>
    </row>
    <row r="2582" spans="1:13" x14ac:dyDescent="0.25">
      <c r="A2582">
        <v>2581</v>
      </c>
      <c r="B2582" s="1">
        <v>43308</v>
      </c>
      <c r="C2582" s="1">
        <v>43537</v>
      </c>
      <c r="D2582" t="s">
        <v>23</v>
      </c>
      <c r="E2582" t="s">
        <v>27</v>
      </c>
      <c r="F2582" s="2">
        <v>138</v>
      </c>
      <c r="G2582" t="s">
        <v>12</v>
      </c>
      <c r="H2582" s="3">
        <v>54049.440000000002</v>
      </c>
      <c r="I2582" s="3">
        <v>1402421</v>
      </c>
      <c r="J2582" s="3">
        <v>1121936.8</v>
      </c>
      <c r="K2582" s="3">
        <v>226434.75999999995</v>
      </c>
      <c r="L2582" t="s">
        <v>18</v>
      </c>
      <c r="M2582">
        <v>4.3</v>
      </c>
    </row>
    <row r="2583" spans="1:13" x14ac:dyDescent="0.25">
      <c r="A2583">
        <v>2582</v>
      </c>
      <c r="B2583" s="1">
        <v>43308</v>
      </c>
      <c r="C2583" s="1">
        <v>43403</v>
      </c>
      <c r="D2583" t="s">
        <v>21</v>
      </c>
      <c r="E2583" t="s">
        <v>27</v>
      </c>
      <c r="F2583" s="2">
        <v>62</v>
      </c>
      <c r="G2583" t="s">
        <v>11</v>
      </c>
      <c r="H2583" s="3">
        <v>23341.8</v>
      </c>
      <c r="I2583" s="3">
        <v>634680</v>
      </c>
      <c r="J2583" s="3">
        <v>507744</v>
      </c>
      <c r="K2583" s="3">
        <v>103594.2</v>
      </c>
      <c r="L2583" t="s">
        <v>16</v>
      </c>
      <c r="M2583">
        <v>5</v>
      </c>
    </row>
    <row r="2584" spans="1:13" x14ac:dyDescent="0.25">
      <c r="A2584">
        <v>2583</v>
      </c>
      <c r="B2584" s="1">
        <v>43309</v>
      </c>
      <c r="C2584" s="1">
        <v>43528</v>
      </c>
      <c r="D2584" t="s">
        <v>22</v>
      </c>
      <c r="E2584" t="s">
        <v>26</v>
      </c>
      <c r="F2584" s="2">
        <v>232</v>
      </c>
      <c r="G2584" t="s">
        <v>12</v>
      </c>
      <c r="H2584" s="3">
        <v>87275.8</v>
      </c>
      <c r="I2584" s="3">
        <v>2236480</v>
      </c>
      <c r="J2584" s="3">
        <v>1789184</v>
      </c>
      <c r="K2584" s="3">
        <v>360020.2</v>
      </c>
      <c r="L2584" t="s">
        <v>17</v>
      </c>
      <c r="M2584">
        <v>4.5999999999999996</v>
      </c>
    </row>
    <row r="2585" spans="1:13" x14ac:dyDescent="0.25">
      <c r="A2585">
        <v>2584</v>
      </c>
      <c r="B2585" s="1">
        <v>43309</v>
      </c>
      <c r="C2585" s="1">
        <v>43449</v>
      </c>
      <c r="D2585" t="s">
        <v>21</v>
      </c>
      <c r="E2585" t="s">
        <v>25</v>
      </c>
      <c r="F2585" s="2">
        <v>276</v>
      </c>
      <c r="G2585" t="s">
        <v>12</v>
      </c>
      <c r="H2585" s="3">
        <v>46021</v>
      </c>
      <c r="I2585" s="3">
        <v>1206785</v>
      </c>
      <c r="J2585" s="3">
        <v>965428</v>
      </c>
      <c r="K2585" s="3">
        <v>195336</v>
      </c>
      <c r="L2585" t="s">
        <v>17</v>
      </c>
      <c r="M2585">
        <v>4.3</v>
      </c>
    </row>
    <row r="2586" spans="1:13" x14ac:dyDescent="0.25">
      <c r="A2586">
        <v>2585</v>
      </c>
      <c r="B2586" s="1">
        <v>43310</v>
      </c>
      <c r="C2586" s="1">
        <v>43561</v>
      </c>
      <c r="D2586" t="s">
        <v>23</v>
      </c>
      <c r="E2586" t="s">
        <v>24</v>
      </c>
      <c r="F2586" s="2">
        <v>110</v>
      </c>
      <c r="G2586" t="s">
        <v>11</v>
      </c>
      <c r="H2586" s="3">
        <v>23361.599999999999</v>
      </c>
      <c r="I2586" s="3">
        <v>647225</v>
      </c>
      <c r="J2586" s="3">
        <v>517780</v>
      </c>
      <c r="K2586" s="3">
        <v>106083.4</v>
      </c>
      <c r="L2586" t="s">
        <v>18</v>
      </c>
      <c r="M2586">
        <v>3.9</v>
      </c>
    </row>
    <row r="2587" spans="1:13" x14ac:dyDescent="0.25">
      <c r="A2587">
        <v>2586</v>
      </c>
      <c r="B2587" s="1">
        <v>43310</v>
      </c>
      <c r="C2587" s="1">
        <v>43467</v>
      </c>
      <c r="D2587" t="s">
        <v>22</v>
      </c>
      <c r="E2587" t="s">
        <v>29</v>
      </c>
      <c r="F2587" s="2">
        <v>80</v>
      </c>
      <c r="G2587" t="s">
        <v>12</v>
      </c>
      <c r="H2587" s="3">
        <v>29815.4</v>
      </c>
      <c r="I2587" s="3">
        <v>806345</v>
      </c>
      <c r="J2587" s="3">
        <v>645076</v>
      </c>
      <c r="K2587" s="3">
        <v>131453.6</v>
      </c>
      <c r="L2587" t="s">
        <v>16</v>
      </c>
      <c r="M2587">
        <v>4</v>
      </c>
    </row>
    <row r="2588" spans="1:13" x14ac:dyDescent="0.25">
      <c r="A2588">
        <v>2587</v>
      </c>
      <c r="B2588" s="1">
        <v>43311</v>
      </c>
      <c r="C2588" s="1">
        <v>43464</v>
      </c>
      <c r="D2588" t="s">
        <v>20</v>
      </c>
      <c r="E2588" t="s">
        <v>24</v>
      </c>
      <c r="F2588" s="2">
        <v>89</v>
      </c>
      <c r="G2588" t="s">
        <v>12</v>
      </c>
      <c r="H2588" s="3">
        <v>33969.32</v>
      </c>
      <c r="I2588" s="3">
        <v>904268</v>
      </c>
      <c r="J2588" s="3">
        <v>723414.4</v>
      </c>
      <c r="K2588" s="3">
        <v>146884.27999999997</v>
      </c>
      <c r="L2588" t="s">
        <v>18</v>
      </c>
      <c r="M2588">
        <v>4.7</v>
      </c>
    </row>
    <row r="2589" spans="1:13" x14ac:dyDescent="0.25">
      <c r="A2589">
        <v>2588</v>
      </c>
      <c r="B2589" s="1">
        <v>43312</v>
      </c>
      <c r="C2589" s="1">
        <v>43486</v>
      </c>
      <c r="D2589" t="s">
        <v>22</v>
      </c>
      <c r="E2589" t="s">
        <v>26</v>
      </c>
      <c r="F2589" s="2">
        <v>95</v>
      </c>
      <c r="G2589" t="s">
        <v>11</v>
      </c>
      <c r="H2589" s="3">
        <v>26935.68</v>
      </c>
      <c r="I2589" s="3">
        <v>724577</v>
      </c>
      <c r="J2589" s="3">
        <v>579661.6</v>
      </c>
      <c r="K2589" s="3">
        <v>117979.72000000003</v>
      </c>
      <c r="L2589" t="s">
        <v>16</v>
      </c>
      <c r="M2589">
        <v>4.8</v>
      </c>
    </row>
    <row r="2590" spans="1:13" x14ac:dyDescent="0.25">
      <c r="A2590">
        <v>2589</v>
      </c>
      <c r="B2590" s="1">
        <v>43312</v>
      </c>
      <c r="C2590" s="1">
        <v>43431</v>
      </c>
      <c r="D2590" t="s">
        <v>22</v>
      </c>
      <c r="E2590" t="s">
        <v>13</v>
      </c>
      <c r="F2590" s="2">
        <v>189</v>
      </c>
      <c r="G2590" t="s">
        <v>12</v>
      </c>
      <c r="H2590" s="3">
        <v>58131.360000000001</v>
      </c>
      <c r="I2590" s="3">
        <v>1513019</v>
      </c>
      <c r="J2590" s="3">
        <v>1210415.2</v>
      </c>
      <c r="K2590" s="3">
        <v>244472.44000000006</v>
      </c>
      <c r="L2590" t="s">
        <v>19</v>
      </c>
      <c r="M2590">
        <v>4.3</v>
      </c>
    </row>
    <row r="2591" spans="1:13" x14ac:dyDescent="0.25">
      <c r="A2591">
        <v>2590</v>
      </c>
      <c r="B2591" s="1">
        <v>43312</v>
      </c>
      <c r="C2591" s="1">
        <v>43579</v>
      </c>
      <c r="D2591" t="s">
        <v>22</v>
      </c>
      <c r="E2591" t="s">
        <v>26</v>
      </c>
      <c r="F2591" s="2">
        <v>285</v>
      </c>
      <c r="G2591" t="s">
        <v>12</v>
      </c>
      <c r="H2591" s="3">
        <v>114258.28</v>
      </c>
      <c r="I2591" s="3">
        <v>2910692</v>
      </c>
      <c r="J2591" s="3">
        <v>2328553.6</v>
      </c>
      <c r="K2591" s="3">
        <v>467880.11999999988</v>
      </c>
      <c r="L2591" t="s">
        <v>17</v>
      </c>
      <c r="M2591">
        <v>4.8</v>
      </c>
    </row>
    <row r="2592" spans="1:13" x14ac:dyDescent="0.25">
      <c r="A2592">
        <v>2591</v>
      </c>
      <c r="B2592" s="1">
        <v>43312</v>
      </c>
      <c r="C2592" s="1">
        <v>43545</v>
      </c>
      <c r="D2592" t="s">
        <v>23</v>
      </c>
      <c r="E2592" t="s">
        <v>28</v>
      </c>
      <c r="F2592" s="2">
        <v>47</v>
      </c>
      <c r="G2592" t="s">
        <v>11</v>
      </c>
      <c r="H2592" s="3">
        <v>14642.84</v>
      </c>
      <c r="I2592" s="3">
        <v>431581</v>
      </c>
      <c r="J2592" s="3">
        <v>345264.8</v>
      </c>
      <c r="K2592" s="3">
        <v>71673.360000000015</v>
      </c>
      <c r="L2592" t="s">
        <v>18</v>
      </c>
      <c r="M2592">
        <v>4.0999999999999996</v>
      </c>
    </row>
    <row r="2593" spans="1:13" x14ac:dyDescent="0.25">
      <c r="A2593">
        <v>2592</v>
      </c>
      <c r="B2593" s="1">
        <v>43314</v>
      </c>
      <c r="C2593" s="1">
        <v>43571</v>
      </c>
      <c r="D2593" t="s">
        <v>22</v>
      </c>
      <c r="E2593" t="s">
        <v>25</v>
      </c>
      <c r="F2593" s="2">
        <v>256</v>
      </c>
      <c r="G2593" t="s">
        <v>12</v>
      </c>
      <c r="H2593" s="3">
        <v>46935.48</v>
      </c>
      <c r="I2593" s="3">
        <v>1239022</v>
      </c>
      <c r="J2593" s="3">
        <v>991217.6</v>
      </c>
      <c r="K2593" s="3">
        <v>200868.92</v>
      </c>
      <c r="L2593" t="s">
        <v>18</v>
      </c>
      <c r="M2593">
        <v>4.5999999999999996</v>
      </c>
    </row>
    <row r="2594" spans="1:13" x14ac:dyDescent="0.25">
      <c r="A2594">
        <v>2593</v>
      </c>
      <c r="B2594" s="1">
        <v>43314</v>
      </c>
      <c r="C2594" s="1">
        <v>43488</v>
      </c>
      <c r="D2594" t="s">
        <v>20</v>
      </c>
      <c r="E2594" t="s">
        <v>27</v>
      </c>
      <c r="F2594" s="2">
        <v>233</v>
      </c>
      <c r="G2594" t="s">
        <v>12</v>
      </c>
      <c r="H2594" s="3">
        <v>68520.320000000007</v>
      </c>
      <c r="I2594" s="3">
        <v>1768718</v>
      </c>
      <c r="J2594" s="3">
        <v>1414974.4</v>
      </c>
      <c r="K2594" s="3">
        <v>285223.28000000009</v>
      </c>
      <c r="L2594" t="s">
        <v>15</v>
      </c>
      <c r="M2594">
        <v>4.4000000000000004</v>
      </c>
    </row>
    <row r="2595" spans="1:13" x14ac:dyDescent="0.25">
      <c r="A2595">
        <v>2594</v>
      </c>
      <c r="B2595" s="1">
        <v>43314</v>
      </c>
      <c r="C2595" s="1">
        <v>43499</v>
      </c>
      <c r="D2595" t="s">
        <v>22</v>
      </c>
      <c r="E2595" t="s">
        <v>24</v>
      </c>
      <c r="F2595" s="2">
        <v>292</v>
      </c>
      <c r="G2595" t="s">
        <v>12</v>
      </c>
      <c r="H2595" s="3">
        <v>67571.199999999997</v>
      </c>
      <c r="I2595" s="3">
        <v>1742765</v>
      </c>
      <c r="J2595" s="3">
        <v>1394212</v>
      </c>
      <c r="K2595" s="3">
        <v>280981.8</v>
      </c>
      <c r="L2595" t="s">
        <v>16</v>
      </c>
      <c r="M2595">
        <v>5</v>
      </c>
    </row>
    <row r="2596" spans="1:13" x14ac:dyDescent="0.25">
      <c r="A2596">
        <v>2595</v>
      </c>
      <c r="B2596" s="1">
        <v>43315</v>
      </c>
      <c r="C2596" s="1">
        <v>43573</v>
      </c>
      <c r="D2596" t="s">
        <v>23</v>
      </c>
      <c r="E2596" t="s">
        <v>24</v>
      </c>
      <c r="F2596" s="2">
        <v>47</v>
      </c>
      <c r="G2596" t="s">
        <v>11</v>
      </c>
      <c r="H2596" s="3">
        <v>15068.04</v>
      </c>
      <c r="I2596" s="3">
        <v>432236</v>
      </c>
      <c r="J2596" s="3">
        <v>345788.8</v>
      </c>
      <c r="K2596" s="3">
        <v>71379.16</v>
      </c>
      <c r="L2596" t="s">
        <v>16</v>
      </c>
      <c r="M2596">
        <v>4.4000000000000004</v>
      </c>
    </row>
    <row r="2597" spans="1:13" x14ac:dyDescent="0.25">
      <c r="A2597">
        <v>2596</v>
      </c>
      <c r="B2597" s="1">
        <v>43316</v>
      </c>
      <c r="C2597" s="1">
        <v>43550</v>
      </c>
      <c r="D2597" t="s">
        <v>22</v>
      </c>
      <c r="E2597" t="s">
        <v>28</v>
      </c>
      <c r="F2597" s="2">
        <v>179</v>
      </c>
      <c r="G2597" t="s">
        <v>12</v>
      </c>
      <c r="H2597" s="3">
        <v>59980.72</v>
      </c>
      <c r="I2597" s="3">
        <v>1564103</v>
      </c>
      <c r="J2597" s="3">
        <v>1251282.3999999999</v>
      </c>
      <c r="K2597" s="3">
        <v>252839.88000000009</v>
      </c>
      <c r="L2597" t="s">
        <v>16</v>
      </c>
      <c r="M2597">
        <v>4.3</v>
      </c>
    </row>
    <row r="2598" spans="1:13" x14ac:dyDescent="0.25">
      <c r="A2598">
        <v>2597</v>
      </c>
      <c r="B2598" s="1">
        <v>43316</v>
      </c>
      <c r="C2598" s="1">
        <v>43486</v>
      </c>
      <c r="D2598" t="s">
        <v>23</v>
      </c>
      <c r="E2598" t="s">
        <v>25</v>
      </c>
      <c r="F2598" s="2">
        <v>109</v>
      </c>
      <c r="G2598" t="s">
        <v>12</v>
      </c>
      <c r="H2598" s="3">
        <v>34424.6</v>
      </c>
      <c r="I2598" s="3">
        <v>916925</v>
      </c>
      <c r="J2598" s="3">
        <v>733540</v>
      </c>
      <c r="K2598" s="3">
        <v>148960.4</v>
      </c>
      <c r="L2598" t="s">
        <v>18</v>
      </c>
      <c r="M2598">
        <v>5</v>
      </c>
    </row>
    <row r="2599" spans="1:13" x14ac:dyDescent="0.25">
      <c r="A2599">
        <v>2598</v>
      </c>
      <c r="B2599" s="1">
        <v>43318</v>
      </c>
      <c r="C2599" s="1">
        <v>43528</v>
      </c>
      <c r="D2599" t="s">
        <v>20</v>
      </c>
      <c r="E2599" t="s">
        <v>27</v>
      </c>
      <c r="F2599" s="2">
        <v>231</v>
      </c>
      <c r="G2599" t="s">
        <v>12</v>
      </c>
      <c r="H2599" s="3">
        <v>78990.28</v>
      </c>
      <c r="I2599" s="3">
        <v>2030867</v>
      </c>
      <c r="J2599" s="3">
        <v>1624693.6</v>
      </c>
      <c r="K2599" s="3">
        <v>327183.11999999988</v>
      </c>
      <c r="L2599" t="s">
        <v>18</v>
      </c>
      <c r="M2599">
        <v>5</v>
      </c>
    </row>
    <row r="2600" spans="1:13" x14ac:dyDescent="0.25">
      <c r="A2600">
        <v>2599</v>
      </c>
      <c r="B2600" s="1">
        <v>43318</v>
      </c>
      <c r="C2600" s="1">
        <v>43529</v>
      </c>
      <c r="D2600" t="s">
        <v>20</v>
      </c>
      <c r="E2600" t="s">
        <v>24</v>
      </c>
      <c r="F2600" s="2">
        <v>247</v>
      </c>
      <c r="G2600" t="s">
        <v>12</v>
      </c>
      <c r="H2600" s="3">
        <v>87352.16</v>
      </c>
      <c r="I2600" s="3">
        <v>2248464</v>
      </c>
      <c r="J2600" s="3">
        <v>1798771.2</v>
      </c>
      <c r="K2600" s="3">
        <v>362340.64</v>
      </c>
      <c r="L2600" t="s">
        <v>18</v>
      </c>
      <c r="M2600">
        <v>4.7</v>
      </c>
    </row>
    <row r="2601" spans="1:13" x14ac:dyDescent="0.25">
      <c r="A2601">
        <v>2600</v>
      </c>
      <c r="B2601" s="1">
        <v>43319</v>
      </c>
      <c r="C2601" s="1">
        <v>43472</v>
      </c>
      <c r="D2601" t="s">
        <v>21</v>
      </c>
      <c r="E2601" t="s">
        <v>13</v>
      </c>
      <c r="F2601" s="2">
        <v>164</v>
      </c>
      <c r="G2601" t="s">
        <v>12</v>
      </c>
      <c r="H2601" s="3">
        <v>66267.28</v>
      </c>
      <c r="I2601" s="3">
        <v>1710092</v>
      </c>
      <c r="J2601" s="3">
        <v>1368073.6</v>
      </c>
      <c r="K2601" s="3">
        <v>275751.11999999988</v>
      </c>
      <c r="L2601" t="s">
        <v>19</v>
      </c>
      <c r="M2601">
        <v>4.9000000000000004</v>
      </c>
    </row>
    <row r="2602" spans="1:13" x14ac:dyDescent="0.25">
      <c r="A2602">
        <v>2601</v>
      </c>
      <c r="B2602" s="1">
        <v>43319</v>
      </c>
      <c r="C2602" s="1">
        <v>43557</v>
      </c>
      <c r="D2602" t="s">
        <v>22</v>
      </c>
      <c r="E2602" t="s">
        <v>29</v>
      </c>
      <c r="F2602" s="2">
        <v>244</v>
      </c>
      <c r="G2602" t="s">
        <v>12</v>
      </c>
      <c r="H2602" s="3">
        <v>55796.480000000003</v>
      </c>
      <c r="I2602" s="3">
        <v>1459022</v>
      </c>
      <c r="J2602" s="3">
        <v>1167217.6000000001</v>
      </c>
      <c r="K2602" s="3">
        <v>236007.9199999999</v>
      </c>
      <c r="L2602" t="s">
        <v>19</v>
      </c>
      <c r="M2602">
        <v>4.5999999999999996</v>
      </c>
    </row>
    <row r="2603" spans="1:13" x14ac:dyDescent="0.25">
      <c r="A2603">
        <v>2602</v>
      </c>
      <c r="B2603" s="1">
        <v>43320</v>
      </c>
      <c r="C2603" s="1">
        <v>43427</v>
      </c>
      <c r="D2603" t="s">
        <v>23</v>
      </c>
      <c r="E2603" t="s">
        <v>24</v>
      </c>
      <c r="F2603" s="2">
        <v>207</v>
      </c>
      <c r="G2603" t="s">
        <v>12</v>
      </c>
      <c r="H2603" s="3">
        <v>57466.879999999997</v>
      </c>
      <c r="I2603" s="3">
        <v>1492807</v>
      </c>
      <c r="J2603" s="3">
        <v>1194245.6000000001</v>
      </c>
      <c r="K2603" s="3">
        <v>241094.5199999999</v>
      </c>
      <c r="L2603" t="s">
        <v>14</v>
      </c>
      <c r="M2603">
        <v>3.7</v>
      </c>
    </row>
    <row r="2604" spans="1:13" x14ac:dyDescent="0.25">
      <c r="A2604">
        <v>2603</v>
      </c>
      <c r="B2604" s="1">
        <v>43320</v>
      </c>
      <c r="C2604" s="1">
        <v>43440</v>
      </c>
      <c r="D2604" t="s">
        <v>22</v>
      </c>
      <c r="E2604" t="s">
        <v>26</v>
      </c>
      <c r="F2604" s="2">
        <v>74</v>
      </c>
      <c r="G2604" t="s">
        <v>11</v>
      </c>
      <c r="H2604" s="3">
        <v>23042.12</v>
      </c>
      <c r="I2604" s="3">
        <v>633263</v>
      </c>
      <c r="J2604" s="3">
        <v>506610.4</v>
      </c>
      <c r="K2604" s="3">
        <v>103610.47999999998</v>
      </c>
      <c r="L2604" t="s">
        <v>15</v>
      </c>
      <c r="M2604">
        <v>4.0999999999999996</v>
      </c>
    </row>
    <row r="2605" spans="1:13" x14ac:dyDescent="0.25">
      <c r="A2605">
        <v>2604</v>
      </c>
      <c r="B2605" s="1">
        <v>43320</v>
      </c>
      <c r="C2605" s="1">
        <v>43495</v>
      </c>
      <c r="D2605" t="s">
        <v>20</v>
      </c>
      <c r="E2605" t="s">
        <v>27</v>
      </c>
      <c r="F2605" s="2">
        <v>128</v>
      </c>
      <c r="G2605" t="s">
        <v>12</v>
      </c>
      <c r="H2605" s="3">
        <v>41412.080000000002</v>
      </c>
      <c r="I2605" s="3">
        <v>1089712</v>
      </c>
      <c r="J2605" s="3">
        <v>871769.59999999998</v>
      </c>
      <c r="K2605" s="3">
        <v>176530.32</v>
      </c>
      <c r="L2605" t="s">
        <v>17</v>
      </c>
      <c r="M2605">
        <v>4.8</v>
      </c>
    </row>
    <row r="2606" spans="1:13" x14ac:dyDescent="0.25">
      <c r="A2606">
        <v>2605</v>
      </c>
      <c r="B2606" s="1">
        <v>43321</v>
      </c>
      <c r="C2606" s="1">
        <v>43501</v>
      </c>
      <c r="D2606" t="s">
        <v>23</v>
      </c>
      <c r="E2606" t="s">
        <v>13</v>
      </c>
      <c r="F2606" s="2">
        <v>269</v>
      </c>
      <c r="G2606" t="s">
        <v>12</v>
      </c>
      <c r="H2606" s="3">
        <v>48217</v>
      </c>
      <c r="I2606" s="3">
        <v>1269485</v>
      </c>
      <c r="J2606" s="3">
        <v>1015588</v>
      </c>
      <c r="K2606" s="3">
        <v>205680</v>
      </c>
      <c r="L2606" t="s">
        <v>16</v>
      </c>
      <c r="M2606">
        <v>3.9</v>
      </c>
    </row>
    <row r="2607" spans="1:13" x14ac:dyDescent="0.25">
      <c r="A2607">
        <v>2606</v>
      </c>
      <c r="B2607" s="1">
        <v>43322</v>
      </c>
      <c r="C2607" s="1">
        <v>43435</v>
      </c>
      <c r="D2607" t="s">
        <v>20</v>
      </c>
      <c r="E2607" t="s">
        <v>25</v>
      </c>
      <c r="F2607" s="2">
        <v>228</v>
      </c>
      <c r="G2607" t="s">
        <v>12</v>
      </c>
      <c r="H2607" s="3">
        <v>53003.24</v>
      </c>
      <c r="I2607" s="3">
        <v>1378141</v>
      </c>
      <c r="J2607" s="3">
        <v>1102512.8</v>
      </c>
      <c r="K2607" s="3">
        <v>222624.95999999996</v>
      </c>
      <c r="L2607" t="s">
        <v>16</v>
      </c>
      <c r="M2607">
        <v>3.9</v>
      </c>
    </row>
    <row r="2608" spans="1:13" x14ac:dyDescent="0.25">
      <c r="A2608">
        <v>2607</v>
      </c>
      <c r="B2608" s="1">
        <v>43323</v>
      </c>
      <c r="C2608" s="1">
        <v>43530</v>
      </c>
      <c r="D2608" t="s">
        <v>20</v>
      </c>
      <c r="E2608" t="s">
        <v>24</v>
      </c>
      <c r="F2608" s="2">
        <v>261</v>
      </c>
      <c r="G2608" t="s">
        <v>12</v>
      </c>
      <c r="H2608" s="3">
        <v>78661.320000000007</v>
      </c>
      <c r="I2608" s="3">
        <v>2021293</v>
      </c>
      <c r="J2608" s="3">
        <v>1617034.4</v>
      </c>
      <c r="K2608" s="3">
        <v>325597.28000000009</v>
      </c>
      <c r="L2608" t="s">
        <v>14</v>
      </c>
      <c r="M2608">
        <v>4.9000000000000004</v>
      </c>
    </row>
    <row r="2609" spans="1:13" x14ac:dyDescent="0.25">
      <c r="A2609">
        <v>2608</v>
      </c>
      <c r="B2609" s="1">
        <v>43323</v>
      </c>
      <c r="C2609" s="1">
        <v>43550</v>
      </c>
      <c r="D2609" t="s">
        <v>22</v>
      </c>
      <c r="E2609" t="s">
        <v>26</v>
      </c>
      <c r="F2609" s="2">
        <v>263</v>
      </c>
      <c r="G2609" t="s">
        <v>12</v>
      </c>
      <c r="H2609" s="3">
        <v>67010.8</v>
      </c>
      <c r="I2609" s="3">
        <v>1741805</v>
      </c>
      <c r="J2609" s="3">
        <v>1393444</v>
      </c>
      <c r="K2609" s="3">
        <v>281350.2</v>
      </c>
      <c r="L2609" t="s">
        <v>19</v>
      </c>
      <c r="M2609">
        <v>3.7</v>
      </c>
    </row>
    <row r="2610" spans="1:13" x14ac:dyDescent="0.25">
      <c r="A2610">
        <v>2609</v>
      </c>
      <c r="B2610" s="1">
        <v>43323</v>
      </c>
      <c r="C2610" s="1">
        <v>43459</v>
      </c>
      <c r="D2610" t="s">
        <v>22</v>
      </c>
      <c r="E2610" t="s">
        <v>28</v>
      </c>
      <c r="F2610" s="2">
        <v>215</v>
      </c>
      <c r="G2610" t="s">
        <v>12</v>
      </c>
      <c r="H2610" s="3">
        <v>70268.600000000006</v>
      </c>
      <c r="I2610" s="3">
        <v>1809025</v>
      </c>
      <c r="J2610" s="3">
        <v>1447220</v>
      </c>
      <c r="K2610" s="3">
        <v>291536.40000000002</v>
      </c>
      <c r="L2610" t="s">
        <v>15</v>
      </c>
      <c r="M2610">
        <v>4.4000000000000004</v>
      </c>
    </row>
    <row r="2611" spans="1:13" x14ac:dyDescent="0.25">
      <c r="A2611">
        <v>2610</v>
      </c>
      <c r="B2611" s="1">
        <v>43323</v>
      </c>
      <c r="C2611" s="1">
        <v>43489</v>
      </c>
      <c r="D2611" t="s">
        <v>22</v>
      </c>
      <c r="E2611" t="s">
        <v>29</v>
      </c>
      <c r="F2611" s="2">
        <v>109</v>
      </c>
      <c r="G2611" t="s">
        <v>12</v>
      </c>
      <c r="H2611" s="3">
        <v>42570.239999999998</v>
      </c>
      <c r="I2611" s="3">
        <v>1129941</v>
      </c>
      <c r="J2611" s="3">
        <v>903952.8</v>
      </c>
      <c r="K2611" s="3">
        <v>183417.95999999996</v>
      </c>
      <c r="L2611" t="s">
        <v>15</v>
      </c>
      <c r="M2611">
        <v>3.6</v>
      </c>
    </row>
    <row r="2612" spans="1:13" x14ac:dyDescent="0.25">
      <c r="A2612">
        <v>2611</v>
      </c>
      <c r="B2612" s="1">
        <v>43323</v>
      </c>
      <c r="C2612" s="1">
        <v>43465</v>
      </c>
      <c r="D2612" t="s">
        <v>23</v>
      </c>
      <c r="E2612" t="s">
        <v>29</v>
      </c>
      <c r="F2612" s="2">
        <v>268</v>
      </c>
      <c r="G2612" t="s">
        <v>12</v>
      </c>
      <c r="H2612" s="3">
        <v>51813</v>
      </c>
      <c r="I2612" s="3">
        <v>1360610</v>
      </c>
      <c r="J2612" s="3">
        <v>1088488</v>
      </c>
      <c r="K2612" s="3">
        <v>220309</v>
      </c>
      <c r="L2612" t="s">
        <v>14</v>
      </c>
      <c r="M2612">
        <v>4.0999999999999996</v>
      </c>
    </row>
    <row r="2613" spans="1:13" x14ac:dyDescent="0.25">
      <c r="A2613">
        <v>2612</v>
      </c>
      <c r="B2613" s="1">
        <v>43325</v>
      </c>
      <c r="C2613" s="1">
        <v>43458</v>
      </c>
      <c r="D2613" t="s">
        <v>22</v>
      </c>
      <c r="E2613" t="s">
        <v>28</v>
      </c>
      <c r="F2613" s="2">
        <v>104</v>
      </c>
      <c r="G2613" t="s">
        <v>11</v>
      </c>
      <c r="H2613" s="3">
        <v>24912.400000000001</v>
      </c>
      <c r="I2613" s="3">
        <v>679545</v>
      </c>
      <c r="J2613" s="3">
        <v>543636</v>
      </c>
      <c r="K2613" s="3">
        <v>110996.6</v>
      </c>
      <c r="L2613" t="s">
        <v>14</v>
      </c>
      <c r="M2613">
        <v>4.8</v>
      </c>
    </row>
    <row r="2614" spans="1:13" x14ac:dyDescent="0.25">
      <c r="A2614">
        <v>2613</v>
      </c>
      <c r="B2614" s="1">
        <v>43325</v>
      </c>
      <c r="C2614" s="1">
        <v>43449</v>
      </c>
      <c r="D2614" t="s">
        <v>23</v>
      </c>
      <c r="E2614" t="s">
        <v>13</v>
      </c>
      <c r="F2614" s="2">
        <v>79</v>
      </c>
      <c r="G2614" t="s">
        <v>11</v>
      </c>
      <c r="H2614" s="3">
        <v>28665.439999999999</v>
      </c>
      <c r="I2614" s="3">
        <v>769721</v>
      </c>
      <c r="J2614" s="3">
        <v>615776.80000000005</v>
      </c>
      <c r="K2614" s="3">
        <v>125278.75999999995</v>
      </c>
      <c r="L2614" t="s">
        <v>17</v>
      </c>
      <c r="M2614">
        <v>3.8</v>
      </c>
    </row>
    <row r="2615" spans="1:13" x14ac:dyDescent="0.25">
      <c r="A2615">
        <v>2614</v>
      </c>
      <c r="B2615" s="1">
        <v>43326</v>
      </c>
      <c r="C2615" s="1">
        <v>43420</v>
      </c>
      <c r="D2615" t="s">
        <v>21</v>
      </c>
      <c r="E2615" t="s">
        <v>28</v>
      </c>
      <c r="F2615" s="2">
        <v>186</v>
      </c>
      <c r="G2615" t="s">
        <v>12</v>
      </c>
      <c r="H2615" s="3">
        <v>63845</v>
      </c>
      <c r="I2615" s="3">
        <v>1658885</v>
      </c>
      <c r="J2615" s="3">
        <v>1327108</v>
      </c>
      <c r="K2615" s="3">
        <v>267932</v>
      </c>
      <c r="L2615" t="s">
        <v>14</v>
      </c>
      <c r="M2615">
        <v>4.4000000000000004</v>
      </c>
    </row>
    <row r="2616" spans="1:13" x14ac:dyDescent="0.25">
      <c r="A2616">
        <v>2615</v>
      </c>
      <c r="B2616" s="1">
        <v>43326</v>
      </c>
      <c r="C2616" s="1">
        <v>43516</v>
      </c>
      <c r="D2616" t="s">
        <v>22</v>
      </c>
      <c r="E2616" t="s">
        <v>26</v>
      </c>
      <c r="F2616" s="2">
        <v>202</v>
      </c>
      <c r="G2616" t="s">
        <v>12</v>
      </c>
      <c r="H2616" s="3">
        <v>58087.76</v>
      </c>
      <c r="I2616" s="3">
        <v>1509704</v>
      </c>
      <c r="J2616" s="3">
        <v>1207763.2</v>
      </c>
      <c r="K2616" s="3">
        <v>243853.04000000004</v>
      </c>
      <c r="L2616" t="s">
        <v>17</v>
      </c>
      <c r="M2616">
        <v>3.7</v>
      </c>
    </row>
    <row r="2617" spans="1:13" x14ac:dyDescent="0.25">
      <c r="A2617">
        <v>2616</v>
      </c>
      <c r="B2617" s="1">
        <v>43328</v>
      </c>
      <c r="C2617" s="1">
        <v>43451</v>
      </c>
      <c r="D2617" t="s">
        <v>22</v>
      </c>
      <c r="E2617" t="s">
        <v>26</v>
      </c>
      <c r="F2617" s="2">
        <v>74</v>
      </c>
      <c r="G2617" t="s">
        <v>11</v>
      </c>
      <c r="H2617" s="3">
        <v>21078.16</v>
      </c>
      <c r="I2617" s="3">
        <v>594089</v>
      </c>
      <c r="J2617" s="3">
        <v>475271.2</v>
      </c>
      <c r="K2617" s="3">
        <v>97739.639999999985</v>
      </c>
      <c r="L2617" t="s">
        <v>14</v>
      </c>
      <c r="M2617">
        <v>3.7</v>
      </c>
    </row>
    <row r="2618" spans="1:13" x14ac:dyDescent="0.25">
      <c r="A2618">
        <v>2617</v>
      </c>
      <c r="B2618" s="1">
        <v>43329</v>
      </c>
      <c r="C2618" s="1">
        <v>43455</v>
      </c>
      <c r="D2618" t="s">
        <v>20</v>
      </c>
      <c r="E2618" t="s">
        <v>27</v>
      </c>
      <c r="F2618" s="2">
        <v>173</v>
      </c>
      <c r="G2618" t="s">
        <v>12</v>
      </c>
      <c r="H2618" s="3">
        <v>37101.96</v>
      </c>
      <c r="I2618" s="3">
        <v>990734</v>
      </c>
      <c r="J2618" s="3">
        <v>792587.2</v>
      </c>
      <c r="K2618" s="3">
        <v>161044.84000000005</v>
      </c>
      <c r="L2618" t="s">
        <v>14</v>
      </c>
      <c r="M2618">
        <v>4.2</v>
      </c>
    </row>
    <row r="2619" spans="1:13" x14ac:dyDescent="0.25">
      <c r="A2619">
        <v>2618</v>
      </c>
      <c r="B2619" s="1">
        <v>43333</v>
      </c>
      <c r="C2619" s="1">
        <v>43529</v>
      </c>
      <c r="D2619" t="s">
        <v>21</v>
      </c>
      <c r="E2619" t="s">
        <v>24</v>
      </c>
      <c r="F2619" s="2">
        <v>64</v>
      </c>
      <c r="G2619" t="s">
        <v>11</v>
      </c>
      <c r="H2619" s="3">
        <v>12372.72</v>
      </c>
      <c r="I2619" s="3">
        <v>372528</v>
      </c>
      <c r="J2619" s="3">
        <v>298022.40000000002</v>
      </c>
      <c r="K2619" s="3">
        <v>62132.879999999976</v>
      </c>
      <c r="L2619" t="s">
        <v>19</v>
      </c>
      <c r="M2619">
        <v>3.9</v>
      </c>
    </row>
    <row r="2620" spans="1:13" x14ac:dyDescent="0.25">
      <c r="A2620">
        <v>2619</v>
      </c>
      <c r="B2620" s="1">
        <v>43333</v>
      </c>
      <c r="C2620" s="1">
        <v>43476</v>
      </c>
      <c r="D2620" t="s">
        <v>21</v>
      </c>
      <c r="E2620" t="s">
        <v>13</v>
      </c>
      <c r="F2620" s="2">
        <v>252</v>
      </c>
      <c r="G2620" t="s">
        <v>12</v>
      </c>
      <c r="H2620" s="3">
        <v>100830.44</v>
      </c>
      <c r="I2620" s="3">
        <v>2575721</v>
      </c>
      <c r="J2620" s="3">
        <v>2060576.8</v>
      </c>
      <c r="K2620" s="3">
        <v>414313.75999999995</v>
      </c>
      <c r="L2620" t="s">
        <v>16</v>
      </c>
      <c r="M2620">
        <v>3.9</v>
      </c>
    </row>
    <row r="2621" spans="1:13" x14ac:dyDescent="0.25">
      <c r="A2621">
        <v>2620</v>
      </c>
      <c r="B2621" s="1">
        <v>43334</v>
      </c>
      <c r="C2621" s="1">
        <v>43476</v>
      </c>
      <c r="D2621" t="s">
        <v>21</v>
      </c>
      <c r="E2621" t="s">
        <v>24</v>
      </c>
      <c r="F2621" s="2">
        <v>158</v>
      </c>
      <c r="G2621" t="s">
        <v>12</v>
      </c>
      <c r="H2621" s="3">
        <v>34679</v>
      </c>
      <c r="I2621" s="3">
        <v>925835</v>
      </c>
      <c r="J2621" s="3">
        <v>740668</v>
      </c>
      <c r="K2621" s="3">
        <v>150488</v>
      </c>
      <c r="L2621" t="s">
        <v>14</v>
      </c>
      <c r="M2621">
        <v>4.5999999999999996</v>
      </c>
    </row>
    <row r="2622" spans="1:13" x14ac:dyDescent="0.25">
      <c r="A2622">
        <v>2621</v>
      </c>
      <c r="B2622" s="1">
        <v>43334</v>
      </c>
      <c r="C2622" s="1">
        <v>43582</v>
      </c>
      <c r="D2622" t="s">
        <v>23</v>
      </c>
      <c r="E2622" t="s">
        <v>26</v>
      </c>
      <c r="F2622" s="2">
        <v>121</v>
      </c>
      <c r="G2622" t="s">
        <v>12</v>
      </c>
      <c r="H2622" s="3">
        <v>39192.839999999997</v>
      </c>
      <c r="I2622" s="3">
        <v>1032581</v>
      </c>
      <c r="J2622" s="3">
        <v>826064.8</v>
      </c>
      <c r="K2622" s="3">
        <v>167323.35999999996</v>
      </c>
      <c r="L2622" t="s">
        <v>19</v>
      </c>
      <c r="M2622">
        <v>4.8</v>
      </c>
    </row>
    <row r="2623" spans="1:13" x14ac:dyDescent="0.25">
      <c r="A2623">
        <v>2622</v>
      </c>
      <c r="B2623" s="1">
        <v>43334</v>
      </c>
      <c r="C2623" s="1">
        <v>43553</v>
      </c>
      <c r="D2623" t="s">
        <v>22</v>
      </c>
      <c r="E2623" t="s">
        <v>25</v>
      </c>
      <c r="F2623" s="2">
        <v>37</v>
      </c>
      <c r="G2623" t="s">
        <v>11</v>
      </c>
      <c r="H2623" s="3">
        <v>14370.2</v>
      </c>
      <c r="I2623" s="3">
        <v>416765</v>
      </c>
      <c r="J2623" s="3">
        <v>333412</v>
      </c>
      <c r="K2623" s="3">
        <v>68982.8</v>
      </c>
      <c r="L2623" t="s">
        <v>17</v>
      </c>
      <c r="M2623">
        <v>3.6</v>
      </c>
    </row>
    <row r="2624" spans="1:13" x14ac:dyDescent="0.25">
      <c r="A2624">
        <v>2623</v>
      </c>
      <c r="B2624" s="1">
        <v>43335</v>
      </c>
      <c r="C2624" s="1">
        <v>43537</v>
      </c>
      <c r="D2624" t="s">
        <v>20</v>
      </c>
      <c r="E2624" t="s">
        <v>26</v>
      </c>
      <c r="F2624" s="2">
        <v>169</v>
      </c>
      <c r="G2624" t="s">
        <v>11</v>
      </c>
      <c r="H2624" s="3">
        <v>29634.16</v>
      </c>
      <c r="I2624" s="3">
        <v>797339</v>
      </c>
      <c r="J2624" s="3">
        <v>637871.19999999995</v>
      </c>
      <c r="K2624" s="3">
        <v>129833.64000000004</v>
      </c>
      <c r="L2624" t="s">
        <v>17</v>
      </c>
      <c r="M2624">
        <v>5</v>
      </c>
    </row>
    <row r="2625" spans="1:13" x14ac:dyDescent="0.25">
      <c r="A2625">
        <v>2624</v>
      </c>
      <c r="B2625" s="1">
        <v>43335</v>
      </c>
      <c r="C2625" s="1">
        <v>43455</v>
      </c>
      <c r="D2625" t="s">
        <v>23</v>
      </c>
      <c r="E2625" t="s">
        <v>24</v>
      </c>
      <c r="F2625" s="2">
        <v>34</v>
      </c>
      <c r="G2625" t="s">
        <v>11</v>
      </c>
      <c r="H2625" s="3">
        <v>7661.8</v>
      </c>
      <c r="I2625" s="3">
        <v>255630</v>
      </c>
      <c r="J2625" s="3">
        <v>204504</v>
      </c>
      <c r="K2625" s="3">
        <v>43464.2</v>
      </c>
      <c r="L2625" t="s">
        <v>14</v>
      </c>
      <c r="M2625">
        <v>4</v>
      </c>
    </row>
    <row r="2626" spans="1:13" x14ac:dyDescent="0.25">
      <c r="A2626">
        <v>2625</v>
      </c>
      <c r="B2626" s="1">
        <v>43336</v>
      </c>
      <c r="C2626" s="1">
        <v>43450</v>
      </c>
      <c r="D2626" t="s">
        <v>23</v>
      </c>
      <c r="E2626" t="s">
        <v>25</v>
      </c>
      <c r="F2626" s="2">
        <v>235</v>
      </c>
      <c r="G2626" t="s">
        <v>12</v>
      </c>
      <c r="H2626" s="3">
        <v>70827.8</v>
      </c>
      <c r="I2626" s="3">
        <v>1830180</v>
      </c>
      <c r="J2626" s="3">
        <v>1464144</v>
      </c>
      <c r="K2626" s="3">
        <v>295208.2</v>
      </c>
      <c r="L2626" t="s">
        <v>14</v>
      </c>
      <c r="M2626">
        <v>4.5</v>
      </c>
    </row>
    <row r="2627" spans="1:13" x14ac:dyDescent="0.25">
      <c r="A2627">
        <v>2626</v>
      </c>
      <c r="B2627" s="1">
        <v>43337</v>
      </c>
      <c r="C2627" s="1">
        <v>43547</v>
      </c>
      <c r="D2627" t="s">
        <v>20</v>
      </c>
      <c r="E2627" t="s">
        <v>13</v>
      </c>
      <c r="F2627" s="2">
        <v>51</v>
      </c>
      <c r="G2627" t="s">
        <v>11</v>
      </c>
      <c r="H2627" s="3">
        <v>12283.92</v>
      </c>
      <c r="I2627" s="3">
        <v>363083</v>
      </c>
      <c r="J2627" s="3">
        <v>290466.40000000002</v>
      </c>
      <c r="K2627" s="3">
        <v>60332.679999999978</v>
      </c>
      <c r="L2627" t="s">
        <v>18</v>
      </c>
      <c r="M2627">
        <v>4.7</v>
      </c>
    </row>
    <row r="2628" spans="1:13" x14ac:dyDescent="0.25">
      <c r="A2628">
        <v>2627</v>
      </c>
      <c r="B2628" s="1">
        <v>43337</v>
      </c>
      <c r="C2628" s="1">
        <v>43555</v>
      </c>
      <c r="D2628" t="s">
        <v>23</v>
      </c>
      <c r="E2628" t="s">
        <v>13</v>
      </c>
      <c r="F2628" s="2">
        <v>221</v>
      </c>
      <c r="G2628" t="s">
        <v>12</v>
      </c>
      <c r="H2628" s="3">
        <v>43186.080000000002</v>
      </c>
      <c r="I2628" s="3">
        <v>1132937</v>
      </c>
      <c r="J2628" s="3">
        <v>906349.6</v>
      </c>
      <c r="K2628" s="3">
        <v>183401.32</v>
      </c>
      <c r="L2628" t="s">
        <v>19</v>
      </c>
      <c r="M2628">
        <v>3.6</v>
      </c>
    </row>
    <row r="2629" spans="1:13" x14ac:dyDescent="0.25">
      <c r="A2629">
        <v>2628</v>
      </c>
      <c r="B2629" s="1">
        <v>43338</v>
      </c>
      <c r="C2629" s="1">
        <v>43468</v>
      </c>
      <c r="D2629" t="s">
        <v>23</v>
      </c>
      <c r="E2629" t="s">
        <v>24</v>
      </c>
      <c r="F2629" s="2">
        <v>58</v>
      </c>
      <c r="G2629" t="s">
        <v>11</v>
      </c>
      <c r="H2629" s="3">
        <v>20460.72</v>
      </c>
      <c r="I2629" s="3">
        <v>567978</v>
      </c>
      <c r="J2629" s="3">
        <v>454382.4</v>
      </c>
      <c r="K2629" s="3">
        <v>93134.879999999976</v>
      </c>
      <c r="L2629" t="s">
        <v>17</v>
      </c>
      <c r="M2629">
        <v>4.5</v>
      </c>
    </row>
    <row r="2630" spans="1:13" x14ac:dyDescent="0.25">
      <c r="A2630">
        <v>2629</v>
      </c>
      <c r="B2630" s="1">
        <v>43338</v>
      </c>
      <c r="C2630" s="1">
        <v>43583</v>
      </c>
      <c r="D2630" t="s">
        <v>23</v>
      </c>
      <c r="E2630" t="s">
        <v>13</v>
      </c>
      <c r="F2630" s="2">
        <v>56</v>
      </c>
      <c r="G2630" t="s">
        <v>11</v>
      </c>
      <c r="H2630" s="3">
        <v>11556.76</v>
      </c>
      <c r="I2630" s="3">
        <v>344229</v>
      </c>
      <c r="J2630" s="3">
        <v>275383.2</v>
      </c>
      <c r="K2630" s="3">
        <v>57289.039999999986</v>
      </c>
      <c r="L2630" t="s">
        <v>18</v>
      </c>
      <c r="M2630">
        <v>4.4000000000000004</v>
      </c>
    </row>
    <row r="2631" spans="1:13" x14ac:dyDescent="0.25">
      <c r="A2631">
        <v>2630</v>
      </c>
      <c r="B2631" s="1">
        <v>43339</v>
      </c>
      <c r="C2631" s="1">
        <v>43493</v>
      </c>
      <c r="D2631" t="s">
        <v>23</v>
      </c>
      <c r="E2631" t="s">
        <v>28</v>
      </c>
      <c r="F2631" s="2">
        <v>72</v>
      </c>
      <c r="G2631" t="s">
        <v>11</v>
      </c>
      <c r="H2631" s="3">
        <v>19006.400000000001</v>
      </c>
      <c r="I2631" s="3">
        <v>535045</v>
      </c>
      <c r="J2631" s="3">
        <v>428036</v>
      </c>
      <c r="K2631" s="3">
        <v>88002.6</v>
      </c>
      <c r="L2631" t="s">
        <v>15</v>
      </c>
      <c r="M2631">
        <v>3.8</v>
      </c>
    </row>
    <row r="2632" spans="1:13" x14ac:dyDescent="0.25">
      <c r="A2632">
        <v>2631</v>
      </c>
      <c r="B2632" s="1">
        <v>43340</v>
      </c>
      <c r="C2632" s="1">
        <v>43485</v>
      </c>
      <c r="D2632" t="s">
        <v>21</v>
      </c>
      <c r="E2632" t="s">
        <v>27</v>
      </c>
      <c r="F2632" s="2">
        <v>257</v>
      </c>
      <c r="G2632" t="s">
        <v>12</v>
      </c>
      <c r="H2632" s="3">
        <v>85888.76</v>
      </c>
      <c r="I2632" s="3">
        <v>2209654</v>
      </c>
      <c r="J2632" s="3">
        <v>1767723.2</v>
      </c>
      <c r="K2632" s="3">
        <v>356042.04000000004</v>
      </c>
      <c r="L2632" t="s">
        <v>18</v>
      </c>
      <c r="M2632">
        <v>3.7</v>
      </c>
    </row>
    <row r="2633" spans="1:13" x14ac:dyDescent="0.25">
      <c r="A2633">
        <v>2632</v>
      </c>
      <c r="B2633" s="1">
        <v>43341</v>
      </c>
      <c r="C2633" s="1">
        <v>43462</v>
      </c>
      <c r="D2633" t="s">
        <v>23</v>
      </c>
      <c r="E2633" t="s">
        <v>26</v>
      </c>
      <c r="F2633" s="2">
        <v>266</v>
      </c>
      <c r="G2633" t="s">
        <v>12</v>
      </c>
      <c r="H2633" s="3">
        <v>95107.48</v>
      </c>
      <c r="I2633" s="3">
        <v>2435797</v>
      </c>
      <c r="J2633" s="3">
        <v>1948637.6</v>
      </c>
      <c r="K2633" s="3">
        <v>392051.91999999993</v>
      </c>
      <c r="L2633" t="s">
        <v>19</v>
      </c>
      <c r="M2633">
        <v>4.4000000000000004</v>
      </c>
    </row>
    <row r="2634" spans="1:13" x14ac:dyDescent="0.25">
      <c r="A2634">
        <v>2633</v>
      </c>
      <c r="B2634" s="1">
        <v>43341</v>
      </c>
      <c r="C2634" s="1">
        <v>43448</v>
      </c>
      <c r="D2634" t="s">
        <v>20</v>
      </c>
      <c r="E2634" t="s">
        <v>27</v>
      </c>
      <c r="F2634" s="2">
        <v>38</v>
      </c>
      <c r="G2634" t="s">
        <v>11</v>
      </c>
      <c r="H2634" s="3">
        <v>14516.88</v>
      </c>
      <c r="I2634" s="3">
        <v>416557</v>
      </c>
      <c r="J2634" s="3">
        <v>333245.59999999998</v>
      </c>
      <c r="K2634" s="3">
        <v>68794.520000000019</v>
      </c>
      <c r="L2634" t="s">
        <v>16</v>
      </c>
      <c r="M2634">
        <v>4.5999999999999996</v>
      </c>
    </row>
    <row r="2635" spans="1:13" x14ac:dyDescent="0.25">
      <c r="A2635">
        <v>2634</v>
      </c>
      <c r="B2635" s="1">
        <v>43341</v>
      </c>
      <c r="C2635" s="1">
        <v>43588</v>
      </c>
      <c r="D2635" t="s">
        <v>21</v>
      </c>
      <c r="E2635" t="s">
        <v>28</v>
      </c>
      <c r="F2635" s="2">
        <v>212</v>
      </c>
      <c r="G2635" t="s">
        <v>12</v>
      </c>
      <c r="H2635" s="3">
        <v>78248.600000000006</v>
      </c>
      <c r="I2635" s="3">
        <v>2017925</v>
      </c>
      <c r="J2635" s="3">
        <v>1614340</v>
      </c>
      <c r="K2635" s="3">
        <v>325336.40000000002</v>
      </c>
      <c r="L2635" t="s">
        <v>17</v>
      </c>
      <c r="M2635">
        <v>5</v>
      </c>
    </row>
    <row r="2636" spans="1:13" x14ac:dyDescent="0.25">
      <c r="A2636">
        <v>2635</v>
      </c>
      <c r="B2636" s="1">
        <v>43342</v>
      </c>
      <c r="C2636" s="1">
        <v>43547</v>
      </c>
      <c r="D2636" t="s">
        <v>20</v>
      </c>
      <c r="E2636" t="s">
        <v>27</v>
      </c>
      <c r="F2636" s="2">
        <v>180</v>
      </c>
      <c r="G2636" t="s">
        <v>12</v>
      </c>
      <c r="H2636" s="3">
        <v>66654.92</v>
      </c>
      <c r="I2636" s="3">
        <v>1732433</v>
      </c>
      <c r="J2636" s="3">
        <v>1385946.4</v>
      </c>
      <c r="K2636" s="3">
        <v>279831.68000000011</v>
      </c>
      <c r="L2636" t="s">
        <v>15</v>
      </c>
      <c r="M2636">
        <v>4.0999999999999996</v>
      </c>
    </row>
    <row r="2637" spans="1:13" x14ac:dyDescent="0.25">
      <c r="A2637">
        <v>2636</v>
      </c>
      <c r="B2637" s="1">
        <v>43342</v>
      </c>
      <c r="C2637" s="1">
        <v>43484</v>
      </c>
      <c r="D2637" t="s">
        <v>20</v>
      </c>
      <c r="E2637" t="s">
        <v>26</v>
      </c>
      <c r="F2637" s="2">
        <v>252</v>
      </c>
      <c r="G2637" t="s">
        <v>12</v>
      </c>
      <c r="H2637" s="3">
        <v>82533.600000000006</v>
      </c>
      <c r="I2637" s="3">
        <v>2116775</v>
      </c>
      <c r="J2637" s="3">
        <v>1693420</v>
      </c>
      <c r="K2637" s="3">
        <v>340821.4</v>
      </c>
      <c r="L2637" t="s">
        <v>19</v>
      </c>
      <c r="M2637">
        <v>5</v>
      </c>
    </row>
    <row r="2638" spans="1:13" x14ac:dyDescent="0.25">
      <c r="A2638">
        <v>2637</v>
      </c>
      <c r="B2638" s="1">
        <v>43344</v>
      </c>
      <c r="C2638" s="1">
        <v>43524</v>
      </c>
      <c r="D2638" t="s">
        <v>23</v>
      </c>
      <c r="E2638" t="s">
        <v>29</v>
      </c>
      <c r="F2638" s="2">
        <v>37</v>
      </c>
      <c r="G2638" t="s">
        <v>11</v>
      </c>
      <c r="H2638" s="3">
        <v>15200.8</v>
      </c>
      <c r="I2638" s="3">
        <v>440255</v>
      </c>
      <c r="J2638" s="3">
        <v>352204</v>
      </c>
      <c r="K2638" s="3">
        <v>72850.2</v>
      </c>
      <c r="L2638" t="s">
        <v>17</v>
      </c>
      <c r="M2638">
        <v>4.7</v>
      </c>
    </row>
    <row r="2639" spans="1:13" x14ac:dyDescent="0.25">
      <c r="A2639">
        <v>2638</v>
      </c>
      <c r="B2639" s="1">
        <v>43344</v>
      </c>
      <c r="C2639" s="1">
        <v>43515</v>
      </c>
      <c r="D2639" t="s">
        <v>23</v>
      </c>
      <c r="E2639" t="s">
        <v>25</v>
      </c>
      <c r="F2639" s="2">
        <v>65</v>
      </c>
      <c r="G2639" t="s">
        <v>11</v>
      </c>
      <c r="H2639" s="3">
        <v>24453.200000000001</v>
      </c>
      <c r="I2639" s="3">
        <v>670615</v>
      </c>
      <c r="J2639" s="3">
        <v>536492</v>
      </c>
      <c r="K2639" s="3">
        <v>109669.8</v>
      </c>
      <c r="L2639" t="s">
        <v>16</v>
      </c>
      <c r="M2639">
        <v>4.0999999999999996</v>
      </c>
    </row>
    <row r="2640" spans="1:13" x14ac:dyDescent="0.25">
      <c r="A2640">
        <v>2639</v>
      </c>
      <c r="B2640" s="1">
        <v>43346</v>
      </c>
      <c r="C2640" s="1">
        <v>43458</v>
      </c>
      <c r="D2640" t="s">
        <v>22</v>
      </c>
      <c r="E2640" t="s">
        <v>13</v>
      </c>
      <c r="F2640" s="2">
        <v>200</v>
      </c>
      <c r="G2640" t="s">
        <v>12</v>
      </c>
      <c r="H2640" s="3">
        <v>46960.4</v>
      </c>
      <c r="I2640" s="3">
        <v>1228095</v>
      </c>
      <c r="J2640" s="3">
        <v>982476</v>
      </c>
      <c r="K2640" s="3">
        <v>198658.6</v>
      </c>
      <c r="L2640" t="s">
        <v>18</v>
      </c>
      <c r="M2640">
        <v>3.9</v>
      </c>
    </row>
    <row r="2641" spans="1:13" x14ac:dyDescent="0.25">
      <c r="A2641">
        <v>2640</v>
      </c>
      <c r="B2641" s="1">
        <v>43346</v>
      </c>
      <c r="C2641" s="1">
        <v>43575</v>
      </c>
      <c r="D2641" t="s">
        <v>20</v>
      </c>
      <c r="E2641" t="s">
        <v>29</v>
      </c>
      <c r="F2641" s="2">
        <v>151</v>
      </c>
      <c r="G2641" t="s">
        <v>12</v>
      </c>
      <c r="H2641" s="3">
        <v>61112.88</v>
      </c>
      <c r="I2641" s="3">
        <v>1590257</v>
      </c>
      <c r="J2641" s="3">
        <v>1272205.6000000001</v>
      </c>
      <c r="K2641" s="3">
        <v>256938.5199999999</v>
      </c>
      <c r="L2641" t="s">
        <v>19</v>
      </c>
      <c r="M2641">
        <v>5</v>
      </c>
    </row>
    <row r="2642" spans="1:13" x14ac:dyDescent="0.25">
      <c r="A2642">
        <v>2641</v>
      </c>
      <c r="B2642" s="1">
        <v>43347</v>
      </c>
      <c r="C2642" s="1">
        <v>43493</v>
      </c>
      <c r="D2642" t="s">
        <v>21</v>
      </c>
      <c r="E2642" t="s">
        <v>29</v>
      </c>
      <c r="F2642" s="2">
        <v>286</v>
      </c>
      <c r="G2642" t="s">
        <v>12</v>
      </c>
      <c r="H2642" s="3">
        <v>100166.64</v>
      </c>
      <c r="I2642" s="3">
        <v>2570726</v>
      </c>
      <c r="J2642" s="3">
        <v>2056580.8</v>
      </c>
      <c r="K2642" s="3">
        <v>413978.55999999994</v>
      </c>
      <c r="L2642" t="s">
        <v>18</v>
      </c>
      <c r="M2642">
        <v>4.2</v>
      </c>
    </row>
    <row r="2643" spans="1:13" x14ac:dyDescent="0.25">
      <c r="A2643">
        <v>2642</v>
      </c>
      <c r="B2643" s="1">
        <v>43347</v>
      </c>
      <c r="C2643" s="1">
        <v>43532</v>
      </c>
      <c r="D2643" t="s">
        <v>22</v>
      </c>
      <c r="E2643" t="s">
        <v>29</v>
      </c>
      <c r="F2643" s="2">
        <v>64</v>
      </c>
      <c r="G2643" t="s">
        <v>11</v>
      </c>
      <c r="H2643" s="3">
        <v>23391.040000000001</v>
      </c>
      <c r="I2643" s="3">
        <v>649736</v>
      </c>
      <c r="J2643" s="3">
        <v>519788.79999999999</v>
      </c>
      <c r="K2643" s="3">
        <v>106556.16</v>
      </c>
      <c r="L2643" t="s">
        <v>16</v>
      </c>
      <c r="M2643">
        <v>4.7</v>
      </c>
    </row>
    <row r="2644" spans="1:13" x14ac:dyDescent="0.25">
      <c r="A2644">
        <v>2643</v>
      </c>
      <c r="B2644" s="1">
        <v>43348</v>
      </c>
      <c r="C2644" s="1">
        <v>43491</v>
      </c>
      <c r="D2644" t="s">
        <v>21</v>
      </c>
      <c r="E2644" t="s">
        <v>26</v>
      </c>
      <c r="F2644" s="2">
        <v>48</v>
      </c>
      <c r="G2644" t="s">
        <v>11</v>
      </c>
      <c r="H2644" s="3">
        <v>13344.68</v>
      </c>
      <c r="I2644" s="3">
        <v>387977</v>
      </c>
      <c r="J2644" s="3">
        <v>310381.59999999998</v>
      </c>
      <c r="K2644" s="3">
        <v>64250.720000000023</v>
      </c>
      <c r="L2644" t="s">
        <v>18</v>
      </c>
      <c r="M2644">
        <v>4.8</v>
      </c>
    </row>
    <row r="2645" spans="1:13" x14ac:dyDescent="0.25">
      <c r="A2645">
        <v>2644</v>
      </c>
      <c r="B2645" s="1">
        <v>43349</v>
      </c>
      <c r="C2645" s="1">
        <v>43454</v>
      </c>
      <c r="D2645" t="s">
        <v>22</v>
      </c>
      <c r="E2645" t="s">
        <v>26</v>
      </c>
      <c r="F2645" s="2">
        <v>267</v>
      </c>
      <c r="G2645" t="s">
        <v>12</v>
      </c>
      <c r="H2645" s="3">
        <v>97143.96</v>
      </c>
      <c r="I2645" s="3">
        <v>2482209</v>
      </c>
      <c r="J2645" s="3">
        <v>1985767.2</v>
      </c>
      <c r="K2645" s="3">
        <v>399297.84</v>
      </c>
      <c r="L2645" t="s">
        <v>19</v>
      </c>
      <c r="M2645">
        <v>4.2</v>
      </c>
    </row>
    <row r="2646" spans="1:13" x14ac:dyDescent="0.25">
      <c r="A2646">
        <v>2645</v>
      </c>
      <c r="B2646" s="1">
        <v>43350</v>
      </c>
      <c r="C2646" s="1">
        <v>43564</v>
      </c>
      <c r="D2646" t="s">
        <v>21</v>
      </c>
      <c r="E2646" t="s">
        <v>13</v>
      </c>
      <c r="F2646" s="2">
        <v>236</v>
      </c>
      <c r="G2646" t="s">
        <v>12</v>
      </c>
      <c r="H2646" s="3">
        <v>78971.320000000007</v>
      </c>
      <c r="I2646" s="3">
        <v>2031418</v>
      </c>
      <c r="J2646" s="3">
        <v>1625134.4</v>
      </c>
      <c r="K2646" s="3">
        <v>327312.28000000009</v>
      </c>
      <c r="L2646" t="s">
        <v>14</v>
      </c>
      <c r="M2646">
        <v>4.8</v>
      </c>
    </row>
    <row r="2647" spans="1:13" x14ac:dyDescent="0.25">
      <c r="A2647">
        <v>2646</v>
      </c>
      <c r="B2647" s="1">
        <v>43350</v>
      </c>
      <c r="C2647" s="1">
        <v>43493</v>
      </c>
      <c r="D2647" t="s">
        <v>23</v>
      </c>
      <c r="E2647" t="s">
        <v>13</v>
      </c>
      <c r="F2647" s="2">
        <v>50</v>
      </c>
      <c r="G2647" t="s">
        <v>11</v>
      </c>
      <c r="H2647" s="3">
        <v>18535.240000000002</v>
      </c>
      <c r="I2647" s="3">
        <v>514916</v>
      </c>
      <c r="J2647" s="3">
        <v>411932.8</v>
      </c>
      <c r="K2647" s="3">
        <v>84447.96</v>
      </c>
      <c r="L2647" t="s">
        <v>14</v>
      </c>
      <c r="M2647">
        <v>4.2</v>
      </c>
    </row>
    <row r="2648" spans="1:13" x14ac:dyDescent="0.25">
      <c r="A2648">
        <v>2647</v>
      </c>
      <c r="B2648" s="1">
        <v>43351</v>
      </c>
      <c r="C2648" s="1">
        <v>43579</v>
      </c>
      <c r="D2648" t="s">
        <v>21</v>
      </c>
      <c r="E2648" t="s">
        <v>25</v>
      </c>
      <c r="F2648" s="2">
        <v>90</v>
      </c>
      <c r="G2648" t="s">
        <v>11</v>
      </c>
      <c r="H2648" s="3">
        <v>15058.56</v>
      </c>
      <c r="I2648" s="3">
        <v>443599</v>
      </c>
      <c r="J2648" s="3">
        <v>354879.2</v>
      </c>
      <c r="K2648" s="3">
        <v>73661.239999999991</v>
      </c>
      <c r="L2648" t="s">
        <v>15</v>
      </c>
      <c r="M2648">
        <v>3.9</v>
      </c>
    </row>
    <row r="2649" spans="1:13" x14ac:dyDescent="0.25">
      <c r="A2649">
        <v>2648</v>
      </c>
      <c r="B2649" s="1">
        <v>43353</v>
      </c>
      <c r="C2649" s="1">
        <v>43515</v>
      </c>
      <c r="D2649" t="s">
        <v>23</v>
      </c>
      <c r="E2649" t="s">
        <v>26</v>
      </c>
      <c r="F2649" s="2">
        <v>139</v>
      </c>
      <c r="G2649" t="s">
        <v>11</v>
      </c>
      <c r="H2649" s="3">
        <v>26181.24</v>
      </c>
      <c r="I2649" s="3">
        <v>717091</v>
      </c>
      <c r="J2649" s="3">
        <v>573672.80000000005</v>
      </c>
      <c r="K2649" s="3">
        <v>117236.95999999995</v>
      </c>
      <c r="L2649" t="s">
        <v>15</v>
      </c>
      <c r="M2649">
        <v>3.8</v>
      </c>
    </row>
    <row r="2650" spans="1:13" x14ac:dyDescent="0.25">
      <c r="A2650">
        <v>2649</v>
      </c>
      <c r="B2650" s="1">
        <v>43354</v>
      </c>
      <c r="C2650" s="1">
        <v>43476</v>
      </c>
      <c r="D2650" t="s">
        <v>21</v>
      </c>
      <c r="E2650" t="s">
        <v>27</v>
      </c>
      <c r="F2650" s="2">
        <v>93</v>
      </c>
      <c r="G2650" t="s">
        <v>11</v>
      </c>
      <c r="H2650" s="3">
        <v>20697</v>
      </c>
      <c r="I2650" s="3">
        <v>581585</v>
      </c>
      <c r="J2650" s="3">
        <v>465268</v>
      </c>
      <c r="K2650" s="3">
        <v>95620</v>
      </c>
      <c r="L2650" t="s">
        <v>15</v>
      </c>
      <c r="M2650">
        <v>4.0999999999999996</v>
      </c>
    </row>
    <row r="2651" spans="1:13" x14ac:dyDescent="0.25">
      <c r="A2651">
        <v>2650</v>
      </c>
      <c r="B2651" s="1">
        <v>43354</v>
      </c>
      <c r="C2651" s="1">
        <v>43528</v>
      </c>
      <c r="D2651" t="s">
        <v>22</v>
      </c>
      <c r="E2651" t="s">
        <v>28</v>
      </c>
      <c r="F2651" s="2">
        <v>224</v>
      </c>
      <c r="G2651" t="s">
        <v>12</v>
      </c>
      <c r="H2651" s="3">
        <v>62333.599999999999</v>
      </c>
      <c r="I2651" s="3">
        <v>1617275</v>
      </c>
      <c r="J2651" s="3">
        <v>1293820</v>
      </c>
      <c r="K2651" s="3">
        <v>261121.4</v>
      </c>
      <c r="L2651" t="s">
        <v>14</v>
      </c>
      <c r="M2651">
        <v>5</v>
      </c>
    </row>
    <row r="2652" spans="1:13" x14ac:dyDescent="0.25">
      <c r="A2652">
        <v>2651</v>
      </c>
      <c r="B2652" s="1">
        <v>43355</v>
      </c>
      <c r="C2652" s="1">
        <v>43472</v>
      </c>
      <c r="D2652" t="s">
        <v>22</v>
      </c>
      <c r="E2652" t="s">
        <v>29</v>
      </c>
      <c r="F2652" s="2">
        <v>105</v>
      </c>
      <c r="G2652" t="s">
        <v>11</v>
      </c>
      <c r="H2652" s="3">
        <v>22804</v>
      </c>
      <c r="I2652" s="3">
        <v>627810</v>
      </c>
      <c r="J2652" s="3">
        <v>502248</v>
      </c>
      <c r="K2652" s="3">
        <v>102758</v>
      </c>
      <c r="L2652" t="s">
        <v>16</v>
      </c>
      <c r="M2652">
        <v>4</v>
      </c>
    </row>
    <row r="2653" spans="1:13" x14ac:dyDescent="0.25">
      <c r="A2653">
        <v>2652</v>
      </c>
      <c r="B2653" s="1">
        <v>43356</v>
      </c>
      <c r="C2653" s="1">
        <v>43509</v>
      </c>
      <c r="D2653" t="s">
        <v>22</v>
      </c>
      <c r="E2653" t="s">
        <v>28</v>
      </c>
      <c r="F2653" s="2">
        <v>288</v>
      </c>
      <c r="G2653" t="s">
        <v>12</v>
      </c>
      <c r="H2653" s="3">
        <v>114304.64</v>
      </c>
      <c r="I2653" s="3">
        <v>2921801</v>
      </c>
      <c r="J2653" s="3">
        <v>2337440.7999999998</v>
      </c>
      <c r="K2653" s="3">
        <v>470055.56000000017</v>
      </c>
      <c r="L2653" t="s">
        <v>18</v>
      </c>
      <c r="M2653">
        <v>5</v>
      </c>
    </row>
    <row r="2654" spans="1:13" x14ac:dyDescent="0.25">
      <c r="A2654">
        <v>2653</v>
      </c>
      <c r="B2654" s="1">
        <v>43357</v>
      </c>
      <c r="C2654" s="1">
        <v>43587</v>
      </c>
      <c r="D2654" t="s">
        <v>23</v>
      </c>
      <c r="E2654" t="s">
        <v>25</v>
      </c>
      <c r="F2654" s="2">
        <v>114</v>
      </c>
      <c r="G2654" t="s">
        <v>11</v>
      </c>
      <c r="H2654" s="3">
        <v>18425.96</v>
      </c>
      <c r="I2654" s="3">
        <v>518759</v>
      </c>
      <c r="J2654" s="3">
        <v>415007.2</v>
      </c>
      <c r="K2654" s="3">
        <v>85325.84</v>
      </c>
      <c r="L2654" t="s">
        <v>18</v>
      </c>
      <c r="M2654">
        <v>4.7</v>
      </c>
    </row>
    <row r="2655" spans="1:13" x14ac:dyDescent="0.25">
      <c r="A2655">
        <v>2654</v>
      </c>
      <c r="B2655" s="1">
        <v>43358</v>
      </c>
      <c r="C2655" s="1">
        <v>43462</v>
      </c>
      <c r="D2655" t="s">
        <v>22</v>
      </c>
      <c r="E2655" t="s">
        <v>26</v>
      </c>
      <c r="F2655" s="2">
        <v>193</v>
      </c>
      <c r="G2655" t="s">
        <v>12</v>
      </c>
      <c r="H2655" s="3">
        <v>78061.679999999993</v>
      </c>
      <c r="I2655" s="3">
        <v>2003727</v>
      </c>
      <c r="J2655" s="3">
        <v>1602981.6</v>
      </c>
      <c r="K2655" s="3">
        <v>322683.71999999991</v>
      </c>
      <c r="L2655" t="s">
        <v>15</v>
      </c>
      <c r="M2655">
        <v>4.3</v>
      </c>
    </row>
    <row r="2656" spans="1:13" x14ac:dyDescent="0.25">
      <c r="A2656">
        <v>2655</v>
      </c>
      <c r="B2656" s="1">
        <v>43359</v>
      </c>
      <c r="C2656" s="1">
        <v>43493</v>
      </c>
      <c r="D2656" t="s">
        <v>20</v>
      </c>
      <c r="E2656" t="s">
        <v>24</v>
      </c>
      <c r="F2656" s="2">
        <v>218</v>
      </c>
      <c r="G2656" t="s">
        <v>12</v>
      </c>
      <c r="H2656" s="3">
        <v>77485.56</v>
      </c>
      <c r="I2656" s="3">
        <v>1993349</v>
      </c>
      <c r="J2656" s="3">
        <v>1594679.2</v>
      </c>
      <c r="K2656" s="3">
        <v>321184.24000000005</v>
      </c>
      <c r="L2656" t="s">
        <v>14</v>
      </c>
      <c r="M2656">
        <v>3.8</v>
      </c>
    </row>
    <row r="2657" spans="1:13" x14ac:dyDescent="0.25">
      <c r="A2657">
        <v>2656</v>
      </c>
      <c r="B2657" s="1">
        <v>43359</v>
      </c>
      <c r="C2657" s="1">
        <v>43471</v>
      </c>
      <c r="D2657" t="s">
        <v>23</v>
      </c>
      <c r="E2657" t="s">
        <v>25</v>
      </c>
      <c r="F2657" s="2">
        <v>103</v>
      </c>
      <c r="G2657" t="s">
        <v>11</v>
      </c>
      <c r="H2657" s="3">
        <v>20270.32</v>
      </c>
      <c r="I2657" s="3">
        <v>571893</v>
      </c>
      <c r="J2657" s="3">
        <v>457514.4</v>
      </c>
      <c r="K2657" s="3">
        <v>94108.27999999997</v>
      </c>
      <c r="L2657" t="s">
        <v>16</v>
      </c>
      <c r="M2657">
        <v>4.9000000000000004</v>
      </c>
    </row>
    <row r="2658" spans="1:13" x14ac:dyDescent="0.25">
      <c r="A2658">
        <v>2657</v>
      </c>
      <c r="B2658" s="1">
        <v>43362</v>
      </c>
      <c r="C2658" s="1">
        <v>43511</v>
      </c>
      <c r="D2658" t="s">
        <v>20</v>
      </c>
      <c r="E2658" t="s">
        <v>24</v>
      </c>
      <c r="F2658" s="2">
        <v>140</v>
      </c>
      <c r="G2658" t="s">
        <v>11</v>
      </c>
      <c r="H2658" s="3">
        <v>26246.68</v>
      </c>
      <c r="I2658" s="3">
        <v>708677</v>
      </c>
      <c r="J2658" s="3">
        <v>566941.6</v>
      </c>
      <c r="K2658" s="3">
        <v>115488.72000000003</v>
      </c>
      <c r="L2658" t="s">
        <v>18</v>
      </c>
      <c r="M2658">
        <v>3.7</v>
      </c>
    </row>
    <row r="2659" spans="1:13" x14ac:dyDescent="0.25">
      <c r="A2659">
        <v>2658</v>
      </c>
      <c r="B2659" s="1">
        <v>43362</v>
      </c>
      <c r="C2659" s="1">
        <v>43467</v>
      </c>
      <c r="D2659" t="s">
        <v>20</v>
      </c>
      <c r="E2659" t="s">
        <v>27</v>
      </c>
      <c r="F2659" s="2">
        <v>157</v>
      </c>
      <c r="G2659" t="s">
        <v>12</v>
      </c>
      <c r="H2659" s="3">
        <v>40742.080000000002</v>
      </c>
      <c r="I2659" s="3">
        <v>1076737</v>
      </c>
      <c r="J2659" s="3">
        <v>861389.6</v>
      </c>
      <c r="K2659" s="3">
        <v>174605.32</v>
      </c>
      <c r="L2659" t="s">
        <v>14</v>
      </c>
      <c r="M2659">
        <v>4.0999999999999996</v>
      </c>
    </row>
    <row r="2660" spans="1:13" x14ac:dyDescent="0.25">
      <c r="A2660">
        <v>2659</v>
      </c>
      <c r="B2660" s="1">
        <v>43363</v>
      </c>
      <c r="C2660" s="1">
        <v>43465</v>
      </c>
      <c r="D2660" t="s">
        <v>23</v>
      </c>
      <c r="E2660" t="s">
        <v>27</v>
      </c>
      <c r="F2660" s="2">
        <v>129</v>
      </c>
      <c r="G2660" t="s">
        <v>11</v>
      </c>
      <c r="H2660" s="3">
        <v>22544.92</v>
      </c>
      <c r="I2660" s="3">
        <v>615833</v>
      </c>
      <c r="J2660" s="3">
        <v>492666.4</v>
      </c>
      <c r="K2660" s="3">
        <v>100621.67999999998</v>
      </c>
      <c r="L2660" t="s">
        <v>14</v>
      </c>
      <c r="M2660">
        <v>3.9</v>
      </c>
    </row>
    <row r="2661" spans="1:13" x14ac:dyDescent="0.25">
      <c r="A2661">
        <v>2660</v>
      </c>
      <c r="B2661" s="1">
        <v>43364</v>
      </c>
      <c r="C2661" s="1">
        <v>43519</v>
      </c>
      <c r="D2661" t="s">
        <v>21</v>
      </c>
      <c r="E2661" t="s">
        <v>27</v>
      </c>
      <c r="F2661" s="2">
        <v>254</v>
      </c>
      <c r="G2661" t="s">
        <v>12</v>
      </c>
      <c r="H2661" s="3">
        <v>83729.119999999995</v>
      </c>
      <c r="I2661" s="3">
        <v>2157763</v>
      </c>
      <c r="J2661" s="3">
        <v>1726210.4</v>
      </c>
      <c r="K2661" s="3">
        <v>347823.4800000001</v>
      </c>
      <c r="L2661" t="s">
        <v>16</v>
      </c>
      <c r="M2661">
        <v>5</v>
      </c>
    </row>
    <row r="2662" spans="1:13" x14ac:dyDescent="0.25">
      <c r="A2662">
        <v>2661</v>
      </c>
      <c r="B2662" s="1">
        <v>43364</v>
      </c>
      <c r="C2662" s="1">
        <v>43579</v>
      </c>
      <c r="D2662" t="s">
        <v>23</v>
      </c>
      <c r="E2662" t="s">
        <v>13</v>
      </c>
      <c r="F2662" s="2">
        <v>273</v>
      </c>
      <c r="G2662" t="s">
        <v>12</v>
      </c>
      <c r="H2662" s="3">
        <v>49485.84</v>
      </c>
      <c r="I2662" s="3">
        <v>1298681</v>
      </c>
      <c r="J2662" s="3">
        <v>1038944.8</v>
      </c>
      <c r="K2662" s="3">
        <v>210250.35999999996</v>
      </c>
      <c r="L2662" t="s">
        <v>17</v>
      </c>
      <c r="M2662">
        <v>3.6</v>
      </c>
    </row>
    <row r="2663" spans="1:13" x14ac:dyDescent="0.25">
      <c r="A2663">
        <v>2662</v>
      </c>
      <c r="B2663" s="1">
        <v>43365</v>
      </c>
      <c r="C2663" s="1">
        <v>43472</v>
      </c>
      <c r="D2663" t="s">
        <v>22</v>
      </c>
      <c r="E2663" t="s">
        <v>27</v>
      </c>
      <c r="F2663" s="2">
        <v>133</v>
      </c>
      <c r="G2663" t="s">
        <v>12</v>
      </c>
      <c r="H2663" s="3">
        <v>51872.4</v>
      </c>
      <c r="I2663" s="3">
        <v>1353695</v>
      </c>
      <c r="J2663" s="3">
        <v>1082956</v>
      </c>
      <c r="K2663" s="3">
        <v>218866.6</v>
      </c>
      <c r="L2663" t="s">
        <v>18</v>
      </c>
      <c r="M2663">
        <v>3.6</v>
      </c>
    </row>
    <row r="2664" spans="1:13" x14ac:dyDescent="0.25">
      <c r="A2664">
        <v>2663</v>
      </c>
      <c r="B2664" s="1">
        <v>43366</v>
      </c>
      <c r="C2664" s="1">
        <v>43506</v>
      </c>
      <c r="D2664" t="s">
        <v>22</v>
      </c>
      <c r="E2664" t="s">
        <v>29</v>
      </c>
      <c r="F2664" s="2">
        <v>251</v>
      </c>
      <c r="G2664" t="s">
        <v>12</v>
      </c>
      <c r="H2664" s="3">
        <v>78912.639999999999</v>
      </c>
      <c r="I2664" s="3">
        <v>2037751</v>
      </c>
      <c r="J2664" s="3">
        <v>1630200.8</v>
      </c>
      <c r="K2664" s="3">
        <v>328637.55999999994</v>
      </c>
      <c r="L2664" t="s">
        <v>19</v>
      </c>
      <c r="M2664">
        <v>5</v>
      </c>
    </row>
    <row r="2665" spans="1:13" x14ac:dyDescent="0.25">
      <c r="A2665">
        <v>2664</v>
      </c>
      <c r="B2665" s="1">
        <v>43366</v>
      </c>
      <c r="C2665" s="1">
        <v>43535</v>
      </c>
      <c r="D2665" t="s">
        <v>20</v>
      </c>
      <c r="E2665" t="s">
        <v>29</v>
      </c>
      <c r="F2665" s="2">
        <v>128</v>
      </c>
      <c r="G2665" t="s">
        <v>12</v>
      </c>
      <c r="H2665" s="3">
        <v>42307.64</v>
      </c>
      <c r="I2665" s="3">
        <v>1125101</v>
      </c>
      <c r="J2665" s="3">
        <v>900080.8</v>
      </c>
      <c r="K2665" s="3">
        <v>182712.55999999994</v>
      </c>
      <c r="L2665" t="s">
        <v>18</v>
      </c>
      <c r="M2665">
        <v>4.5</v>
      </c>
    </row>
    <row r="2666" spans="1:13" x14ac:dyDescent="0.25">
      <c r="A2666">
        <v>2665</v>
      </c>
      <c r="B2666" s="1">
        <v>43368</v>
      </c>
      <c r="C2666" s="1">
        <v>43519</v>
      </c>
      <c r="D2666" t="s">
        <v>22</v>
      </c>
      <c r="E2666" t="s">
        <v>13</v>
      </c>
      <c r="F2666" s="2">
        <v>182</v>
      </c>
      <c r="G2666" t="s">
        <v>12</v>
      </c>
      <c r="H2666" s="3">
        <v>37698.32</v>
      </c>
      <c r="I2666" s="3">
        <v>995093</v>
      </c>
      <c r="J2666" s="3">
        <v>796074.4</v>
      </c>
      <c r="K2666" s="3">
        <v>161320.27999999997</v>
      </c>
      <c r="L2666" t="s">
        <v>17</v>
      </c>
      <c r="M2666">
        <v>4.8</v>
      </c>
    </row>
    <row r="2667" spans="1:13" x14ac:dyDescent="0.25">
      <c r="A2667">
        <v>2666</v>
      </c>
      <c r="B2667" s="1">
        <v>43368</v>
      </c>
      <c r="C2667" s="1">
        <v>43484</v>
      </c>
      <c r="D2667" t="s">
        <v>21</v>
      </c>
      <c r="E2667" t="s">
        <v>13</v>
      </c>
      <c r="F2667" s="2">
        <v>38</v>
      </c>
      <c r="G2667" t="s">
        <v>11</v>
      </c>
      <c r="H2667" s="3">
        <v>6825.04</v>
      </c>
      <c r="I2667" s="3">
        <v>222461</v>
      </c>
      <c r="J2667" s="3">
        <v>177968.8</v>
      </c>
      <c r="K2667" s="3">
        <v>37667.160000000011</v>
      </c>
      <c r="L2667" t="s">
        <v>19</v>
      </c>
      <c r="M2667">
        <v>4.8</v>
      </c>
    </row>
    <row r="2668" spans="1:13" x14ac:dyDescent="0.25">
      <c r="A2668">
        <v>2667</v>
      </c>
      <c r="B2668" s="1">
        <v>43368</v>
      </c>
      <c r="C2668" s="1">
        <v>43496</v>
      </c>
      <c r="D2668" t="s">
        <v>23</v>
      </c>
      <c r="E2668" t="s">
        <v>13</v>
      </c>
      <c r="F2668" s="2">
        <v>105</v>
      </c>
      <c r="G2668" t="s">
        <v>11</v>
      </c>
      <c r="H2668" s="3">
        <v>24610.2</v>
      </c>
      <c r="I2668" s="3">
        <v>677565</v>
      </c>
      <c r="J2668" s="3">
        <v>542052</v>
      </c>
      <c r="K2668" s="3">
        <v>110902.8</v>
      </c>
      <c r="L2668" t="s">
        <v>14</v>
      </c>
      <c r="M2668">
        <v>4.7</v>
      </c>
    </row>
    <row r="2669" spans="1:13" x14ac:dyDescent="0.25">
      <c r="A2669">
        <v>2668</v>
      </c>
      <c r="B2669" s="1">
        <v>43369</v>
      </c>
      <c r="C2669" s="1">
        <v>43475</v>
      </c>
      <c r="D2669" t="s">
        <v>22</v>
      </c>
      <c r="E2669" t="s">
        <v>13</v>
      </c>
      <c r="F2669" s="2">
        <v>74</v>
      </c>
      <c r="G2669" t="s">
        <v>11</v>
      </c>
      <c r="H2669" s="3">
        <v>14364.68</v>
      </c>
      <c r="I2669" s="3">
        <v>411552</v>
      </c>
      <c r="J2669" s="3">
        <v>329241.59999999998</v>
      </c>
      <c r="K2669" s="3">
        <v>67945.72000000003</v>
      </c>
      <c r="L2669" t="s">
        <v>14</v>
      </c>
      <c r="M2669">
        <v>3.9</v>
      </c>
    </row>
    <row r="2670" spans="1:13" x14ac:dyDescent="0.25">
      <c r="A2670">
        <v>2669</v>
      </c>
      <c r="B2670" s="1">
        <v>43370</v>
      </c>
      <c r="C2670" s="1">
        <v>43592</v>
      </c>
      <c r="D2670" t="s">
        <v>20</v>
      </c>
      <c r="E2670" t="s">
        <v>29</v>
      </c>
      <c r="F2670" s="2">
        <v>130</v>
      </c>
      <c r="G2670" t="s">
        <v>12</v>
      </c>
      <c r="H2670" s="3">
        <v>53027.8</v>
      </c>
      <c r="I2670" s="3">
        <v>1382030</v>
      </c>
      <c r="J2670" s="3">
        <v>1105624</v>
      </c>
      <c r="K2670" s="3">
        <v>223378.2</v>
      </c>
      <c r="L2670" t="s">
        <v>19</v>
      </c>
      <c r="M2670">
        <v>5</v>
      </c>
    </row>
    <row r="2671" spans="1:13" x14ac:dyDescent="0.25">
      <c r="A2671">
        <v>2670</v>
      </c>
      <c r="B2671" s="1">
        <v>43371</v>
      </c>
      <c r="C2671" s="1">
        <v>43479</v>
      </c>
      <c r="D2671" t="s">
        <v>23</v>
      </c>
      <c r="E2671" t="s">
        <v>24</v>
      </c>
      <c r="F2671" s="2">
        <v>130</v>
      </c>
      <c r="G2671" t="s">
        <v>12</v>
      </c>
      <c r="H2671" s="3">
        <v>37888.400000000001</v>
      </c>
      <c r="I2671" s="3">
        <v>1013370</v>
      </c>
      <c r="J2671" s="3">
        <v>810696</v>
      </c>
      <c r="K2671" s="3">
        <v>164785.60000000001</v>
      </c>
      <c r="L2671" t="s">
        <v>15</v>
      </c>
      <c r="M2671">
        <v>3.9</v>
      </c>
    </row>
    <row r="2672" spans="1:13" x14ac:dyDescent="0.25">
      <c r="A2672">
        <v>2671</v>
      </c>
      <c r="B2672" s="1">
        <v>43372</v>
      </c>
      <c r="C2672" s="1">
        <v>43591</v>
      </c>
      <c r="D2672" t="s">
        <v>20</v>
      </c>
      <c r="E2672" t="s">
        <v>24</v>
      </c>
      <c r="F2672" s="2">
        <v>213</v>
      </c>
      <c r="G2672" t="s">
        <v>12</v>
      </c>
      <c r="H2672" s="3">
        <v>68307.56</v>
      </c>
      <c r="I2672" s="3">
        <v>1770749</v>
      </c>
      <c r="J2672" s="3">
        <v>1416599.2</v>
      </c>
      <c r="K2672" s="3">
        <v>285842.24000000005</v>
      </c>
      <c r="L2672" t="s">
        <v>15</v>
      </c>
      <c r="M2672">
        <v>4.8</v>
      </c>
    </row>
    <row r="2673" spans="1:13" x14ac:dyDescent="0.25">
      <c r="A2673">
        <v>2672</v>
      </c>
      <c r="B2673" s="1">
        <v>43373</v>
      </c>
      <c r="C2673" s="1">
        <v>43554</v>
      </c>
      <c r="D2673" t="s">
        <v>21</v>
      </c>
      <c r="E2673" t="s">
        <v>29</v>
      </c>
      <c r="F2673" s="2">
        <v>138</v>
      </c>
      <c r="G2673" t="s">
        <v>12</v>
      </c>
      <c r="H2673" s="3">
        <v>46612.12</v>
      </c>
      <c r="I2673" s="3">
        <v>1230563</v>
      </c>
      <c r="J2673" s="3">
        <v>984450.4</v>
      </c>
      <c r="K2673" s="3">
        <v>199500.47999999998</v>
      </c>
      <c r="L2673" t="s">
        <v>16</v>
      </c>
      <c r="M2673">
        <v>4.2</v>
      </c>
    </row>
    <row r="2674" spans="1:13" x14ac:dyDescent="0.25">
      <c r="A2674">
        <v>2673</v>
      </c>
      <c r="B2674" s="1">
        <v>43373</v>
      </c>
      <c r="C2674" s="1">
        <v>43578</v>
      </c>
      <c r="D2674" t="s">
        <v>20</v>
      </c>
      <c r="E2674" t="s">
        <v>28</v>
      </c>
      <c r="F2674" s="2">
        <v>237</v>
      </c>
      <c r="G2674" t="s">
        <v>12</v>
      </c>
      <c r="H2674" s="3">
        <v>90513.16</v>
      </c>
      <c r="I2674" s="3">
        <v>2327889</v>
      </c>
      <c r="J2674" s="3">
        <v>1862311.2</v>
      </c>
      <c r="K2674" s="3">
        <v>375064.64</v>
      </c>
      <c r="L2674" t="s">
        <v>18</v>
      </c>
      <c r="M2674">
        <v>4.0999999999999996</v>
      </c>
    </row>
    <row r="2675" spans="1:13" x14ac:dyDescent="0.25">
      <c r="A2675">
        <v>2674</v>
      </c>
      <c r="B2675" s="1">
        <v>43375</v>
      </c>
      <c r="C2675" s="1">
        <v>43497</v>
      </c>
      <c r="D2675" t="s">
        <v>20</v>
      </c>
      <c r="E2675" t="s">
        <v>13</v>
      </c>
      <c r="F2675" s="2">
        <v>72</v>
      </c>
      <c r="G2675" t="s">
        <v>11</v>
      </c>
      <c r="H2675" s="3">
        <v>18904.240000000002</v>
      </c>
      <c r="I2675" s="3">
        <v>533366</v>
      </c>
      <c r="J2675" s="3">
        <v>426692.8</v>
      </c>
      <c r="K2675" s="3">
        <v>87768.960000000006</v>
      </c>
      <c r="L2675" t="s">
        <v>19</v>
      </c>
      <c r="M2675">
        <v>3.8</v>
      </c>
    </row>
    <row r="2676" spans="1:13" x14ac:dyDescent="0.25">
      <c r="A2676">
        <v>2675</v>
      </c>
      <c r="B2676" s="1">
        <v>43375</v>
      </c>
      <c r="C2676" s="1">
        <v>43589</v>
      </c>
      <c r="D2676" t="s">
        <v>22</v>
      </c>
      <c r="E2676" t="s">
        <v>13</v>
      </c>
      <c r="F2676" s="2">
        <v>65</v>
      </c>
      <c r="G2676" t="s">
        <v>11</v>
      </c>
      <c r="H2676" s="3">
        <v>13966.88</v>
      </c>
      <c r="I2676" s="3">
        <v>409157</v>
      </c>
      <c r="J2676" s="3">
        <v>327325.59999999998</v>
      </c>
      <c r="K2676" s="3">
        <v>67864.520000000019</v>
      </c>
      <c r="L2676" t="s">
        <v>18</v>
      </c>
      <c r="M2676">
        <v>4</v>
      </c>
    </row>
    <row r="2677" spans="1:13" x14ac:dyDescent="0.25">
      <c r="A2677">
        <v>2676</v>
      </c>
      <c r="B2677" s="1">
        <v>43375</v>
      </c>
      <c r="C2677" s="1">
        <v>43544</v>
      </c>
      <c r="D2677" t="s">
        <v>23</v>
      </c>
      <c r="E2677" t="s">
        <v>29</v>
      </c>
      <c r="F2677" s="2">
        <v>266</v>
      </c>
      <c r="G2677" t="s">
        <v>12</v>
      </c>
      <c r="H2677" s="3">
        <v>70341.960000000006</v>
      </c>
      <c r="I2677" s="3">
        <v>1816684</v>
      </c>
      <c r="J2677" s="3">
        <v>1453347.2</v>
      </c>
      <c r="K2677" s="3">
        <v>292994.84000000003</v>
      </c>
      <c r="L2677" t="s">
        <v>14</v>
      </c>
      <c r="M2677">
        <v>4.0999999999999996</v>
      </c>
    </row>
    <row r="2678" spans="1:13" x14ac:dyDescent="0.25">
      <c r="A2678">
        <v>2677</v>
      </c>
      <c r="B2678" s="1">
        <v>43377</v>
      </c>
      <c r="C2678" s="1">
        <v>43535</v>
      </c>
      <c r="D2678" t="s">
        <v>22</v>
      </c>
      <c r="E2678" t="s">
        <v>26</v>
      </c>
      <c r="F2678" s="2">
        <v>284</v>
      </c>
      <c r="G2678" t="s">
        <v>12</v>
      </c>
      <c r="H2678" s="3">
        <v>94216.8</v>
      </c>
      <c r="I2678" s="3">
        <v>2418255</v>
      </c>
      <c r="J2678" s="3">
        <v>1934604</v>
      </c>
      <c r="K2678" s="3">
        <v>389434.2</v>
      </c>
      <c r="L2678" t="s">
        <v>18</v>
      </c>
      <c r="M2678">
        <v>4.7</v>
      </c>
    </row>
    <row r="2679" spans="1:13" x14ac:dyDescent="0.25">
      <c r="A2679">
        <v>2678</v>
      </c>
      <c r="B2679" s="1">
        <v>43377</v>
      </c>
      <c r="C2679" s="1">
        <v>43498</v>
      </c>
      <c r="D2679" t="s">
        <v>21</v>
      </c>
      <c r="E2679" t="s">
        <v>29</v>
      </c>
      <c r="F2679" s="2">
        <v>278</v>
      </c>
      <c r="G2679" t="s">
        <v>12</v>
      </c>
      <c r="H2679" s="3">
        <v>82248.28</v>
      </c>
      <c r="I2679" s="3">
        <v>2109117</v>
      </c>
      <c r="J2679" s="3">
        <v>1687293.6</v>
      </c>
      <c r="K2679" s="3">
        <v>339575.11999999988</v>
      </c>
      <c r="L2679" t="s">
        <v>16</v>
      </c>
      <c r="M2679">
        <v>4.4000000000000004</v>
      </c>
    </row>
    <row r="2680" spans="1:13" x14ac:dyDescent="0.25">
      <c r="A2680">
        <v>2679</v>
      </c>
      <c r="B2680" s="1">
        <v>43377</v>
      </c>
      <c r="C2680" s="1">
        <v>43485</v>
      </c>
      <c r="D2680" t="s">
        <v>21</v>
      </c>
      <c r="E2680" t="s">
        <v>29</v>
      </c>
      <c r="F2680" s="2">
        <v>142</v>
      </c>
      <c r="G2680" t="s">
        <v>12</v>
      </c>
      <c r="H2680" s="3">
        <v>37030</v>
      </c>
      <c r="I2680" s="3">
        <v>985510</v>
      </c>
      <c r="J2680" s="3">
        <v>788408</v>
      </c>
      <c r="K2680" s="3">
        <v>160072</v>
      </c>
      <c r="L2680" t="s">
        <v>16</v>
      </c>
      <c r="M2680">
        <v>4.8</v>
      </c>
    </row>
    <row r="2681" spans="1:13" x14ac:dyDescent="0.25">
      <c r="A2681">
        <v>2680</v>
      </c>
      <c r="B2681" s="1">
        <v>43378</v>
      </c>
      <c r="C2681" s="1">
        <v>43550</v>
      </c>
      <c r="D2681" t="s">
        <v>22</v>
      </c>
      <c r="E2681" t="s">
        <v>13</v>
      </c>
      <c r="F2681" s="2">
        <v>151</v>
      </c>
      <c r="G2681" t="s">
        <v>12</v>
      </c>
      <c r="H2681" s="3">
        <v>48864.92</v>
      </c>
      <c r="I2681" s="3">
        <v>1278983</v>
      </c>
      <c r="J2681" s="3">
        <v>1023186.4</v>
      </c>
      <c r="K2681" s="3">
        <v>206931.68</v>
      </c>
      <c r="L2681" t="s">
        <v>19</v>
      </c>
      <c r="M2681">
        <v>3.9</v>
      </c>
    </row>
    <row r="2682" spans="1:13" x14ac:dyDescent="0.25">
      <c r="A2682">
        <v>2681</v>
      </c>
      <c r="B2682" s="1">
        <v>43379</v>
      </c>
      <c r="C2682" s="1">
        <v>43569</v>
      </c>
      <c r="D2682" t="s">
        <v>21</v>
      </c>
      <c r="E2682" t="s">
        <v>13</v>
      </c>
      <c r="F2682" s="2">
        <v>216</v>
      </c>
      <c r="G2682" t="s">
        <v>12</v>
      </c>
      <c r="H2682" s="3">
        <v>38554.32</v>
      </c>
      <c r="I2682" s="3">
        <v>1022368</v>
      </c>
      <c r="J2682" s="3">
        <v>817894.40000000002</v>
      </c>
      <c r="K2682" s="3">
        <v>165919.27999999997</v>
      </c>
      <c r="L2682" t="s">
        <v>19</v>
      </c>
      <c r="M2682">
        <v>3.6</v>
      </c>
    </row>
    <row r="2683" spans="1:13" x14ac:dyDescent="0.25">
      <c r="A2683">
        <v>2682</v>
      </c>
      <c r="B2683" s="1">
        <v>43380</v>
      </c>
      <c r="C2683" s="1">
        <v>43527</v>
      </c>
      <c r="D2683" t="s">
        <v>23</v>
      </c>
      <c r="E2683" t="s">
        <v>25</v>
      </c>
      <c r="F2683" s="2">
        <v>212</v>
      </c>
      <c r="G2683" t="s">
        <v>12</v>
      </c>
      <c r="H2683" s="3">
        <v>39809.599999999999</v>
      </c>
      <c r="I2683" s="3">
        <v>1051500</v>
      </c>
      <c r="J2683" s="3">
        <v>841200</v>
      </c>
      <c r="K2683" s="3">
        <v>170490.4</v>
      </c>
      <c r="L2683" t="s">
        <v>14</v>
      </c>
      <c r="M2683">
        <v>4.5</v>
      </c>
    </row>
    <row r="2684" spans="1:13" x14ac:dyDescent="0.25">
      <c r="A2684">
        <v>2683</v>
      </c>
      <c r="B2684" s="1">
        <v>43380</v>
      </c>
      <c r="C2684" s="1">
        <v>43564</v>
      </c>
      <c r="D2684" t="s">
        <v>23</v>
      </c>
      <c r="E2684" t="s">
        <v>27</v>
      </c>
      <c r="F2684" s="2">
        <v>116</v>
      </c>
      <c r="G2684" t="s">
        <v>12</v>
      </c>
      <c r="H2684" s="3">
        <v>47331.08</v>
      </c>
      <c r="I2684" s="3">
        <v>1247912</v>
      </c>
      <c r="J2684" s="3">
        <v>998329.6</v>
      </c>
      <c r="K2684" s="3">
        <v>202251.32</v>
      </c>
      <c r="L2684" t="s">
        <v>17</v>
      </c>
      <c r="M2684">
        <v>4</v>
      </c>
    </row>
    <row r="2685" spans="1:13" x14ac:dyDescent="0.25">
      <c r="A2685">
        <v>2684</v>
      </c>
      <c r="B2685" s="1">
        <v>43381</v>
      </c>
      <c r="C2685" s="1">
        <v>43559</v>
      </c>
      <c r="D2685" t="s">
        <v>22</v>
      </c>
      <c r="E2685" t="s">
        <v>28</v>
      </c>
      <c r="F2685" s="2">
        <v>132</v>
      </c>
      <c r="G2685" t="s">
        <v>12</v>
      </c>
      <c r="H2685" s="3">
        <v>30177.599999999999</v>
      </c>
      <c r="I2685" s="3">
        <v>813725</v>
      </c>
      <c r="J2685" s="3">
        <v>650980</v>
      </c>
      <c r="K2685" s="3">
        <v>132567.4</v>
      </c>
      <c r="L2685" t="s">
        <v>14</v>
      </c>
      <c r="M2685">
        <v>4.4000000000000004</v>
      </c>
    </row>
    <row r="2686" spans="1:13" x14ac:dyDescent="0.25">
      <c r="A2686">
        <v>2685</v>
      </c>
      <c r="B2686" s="1">
        <v>43381</v>
      </c>
      <c r="C2686" s="1">
        <v>43559</v>
      </c>
      <c r="D2686" t="s">
        <v>21</v>
      </c>
      <c r="E2686" t="s">
        <v>13</v>
      </c>
      <c r="F2686" s="2">
        <v>206</v>
      </c>
      <c r="G2686" t="s">
        <v>12</v>
      </c>
      <c r="H2686" s="3">
        <v>61620.800000000003</v>
      </c>
      <c r="I2686" s="3">
        <v>1602105</v>
      </c>
      <c r="J2686" s="3">
        <v>1281684</v>
      </c>
      <c r="K2686" s="3">
        <v>258800.2</v>
      </c>
      <c r="L2686" t="s">
        <v>18</v>
      </c>
      <c r="M2686">
        <v>4.8</v>
      </c>
    </row>
    <row r="2687" spans="1:13" x14ac:dyDescent="0.25">
      <c r="A2687">
        <v>2686</v>
      </c>
      <c r="B2687" s="1">
        <v>43381</v>
      </c>
      <c r="C2687" s="1">
        <v>43487</v>
      </c>
      <c r="D2687" t="s">
        <v>23</v>
      </c>
      <c r="E2687" t="s">
        <v>24</v>
      </c>
      <c r="F2687" s="2">
        <v>93</v>
      </c>
      <c r="G2687" t="s">
        <v>12</v>
      </c>
      <c r="H2687" s="3">
        <v>35929.519999999997</v>
      </c>
      <c r="I2687" s="3">
        <v>950948</v>
      </c>
      <c r="J2687" s="3">
        <v>760758.4</v>
      </c>
      <c r="K2687" s="3">
        <v>154260.07999999999</v>
      </c>
      <c r="L2687" t="s">
        <v>17</v>
      </c>
      <c r="M2687">
        <v>4.9000000000000004</v>
      </c>
    </row>
    <row r="2688" spans="1:13" x14ac:dyDescent="0.25">
      <c r="A2688">
        <v>2687</v>
      </c>
      <c r="B2688" s="1">
        <v>43381</v>
      </c>
      <c r="C2688" s="1">
        <v>43507</v>
      </c>
      <c r="D2688" t="s">
        <v>23</v>
      </c>
      <c r="E2688" t="s">
        <v>25</v>
      </c>
      <c r="F2688" s="2">
        <v>214</v>
      </c>
      <c r="G2688" t="s">
        <v>12</v>
      </c>
      <c r="H2688" s="3">
        <v>69752.12</v>
      </c>
      <c r="I2688" s="3">
        <v>1806988</v>
      </c>
      <c r="J2688" s="3">
        <v>1445590.4</v>
      </c>
      <c r="K2688" s="3">
        <v>291645.4800000001</v>
      </c>
      <c r="L2688" t="s">
        <v>15</v>
      </c>
      <c r="M2688">
        <v>4.8</v>
      </c>
    </row>
    <row r="2689" spans="1:13" x14ac:dyDescent="0.25">
      <c r="A2689">
        <v>2688</v>
      </c>
      <c r="B2689" s="1">
        <v>43386</v>
      </c>
      <c r="C2689" s="1">
        <v>43561</v>
      </c>
      <c r="D2689" t="s">
        <v>20</v>
      </c>
      <c r="E2689" t="s">
        <v>28</v>
      </c>
      <c r="F2689" s="2">
        <v>59</v>
      </c>
      <c r="G2689" t="s">
        <v>11</v>
      </c>
      <c r="H2689" s="3">
        <v>22744.2</v>
      </c>
      <c r="I2689" s="3">
        <v>631365</v>
      </c>
      <c r="J2689" s="3">
        <v>505092</v>
      </c>
      <c r="K2689" s="3">
        <v>103528.8</v>
      </c>
      <c r="L2689" t="s">
        <v>19</v>
      </c>
      <c r="M2689">
        <v>4.3</v>
      </c>
    </row>
    <row r="2690" spans="1:13" x14ac:dyDescent="0.25">
      <c r="A2690">
        <v>2689</v>
      </c>
      <c r="B2690" s="1">
        <v>43386</v>
      </c>
      <c r="C2690" s="1">
        <v>43480</v>
      </c>
      <c r="D2690" t="s">
        <v>21</v>
      </c>
      <c r="E2690" t="s">
        <v>27</v>
      </c>
      <c r="F2690" s="2">
        <v>239</v>
      </c>
      <c r="G2690" t="s">
        <v>12</v>
      </c>
      <c r="H2690" s="3">
        <v>96333.08</v>
      </c>
      <c r="I2690" s="3">
        <v>2466237</v>
      </c>
      <c r="J2690" s="3">
        <v>1972989.6</v>
      </c>
      <c r="K2690" s="3">
        <v>396914.31999999989</v>
      </c>
      <c r="L2690" t="s">
        <v>14</v>
      </c>
      <c r="M2690">
        <v>3.9</v>
      </c>
    </row>
    <row r="2691" spans="1:13" x14ac:dyDescent="0.25">
      <c r="A2691">
        <v>2690</v>
      </c>
      <c r="B2691" s="1">
        <v>43386</v>
      </c>
      <c r="C2691" s="1">
        <v>43572</v>
      </c>
      <c r="D2691" t="s">
        <v>20</v>
      </c>
      <c r="E2691" t="s">
        <v>25</v>
      </c>
      <c r="F2691" s="2">
        <v>267</v>
      </c>
      <c r="G2691" t="s">
        <v>12</v>
      </c>
      <c r="H2691" s="3">
        <v>76231.320000000007</v>
      </c>
      <c r="I2691" s="3">
        <v>1960043</v>
      </c>
      <c r="J2691" s="3">
        <v>1568034.4</v>
      </c>
      <c r="K2691" s="3">
        <v>315777.28000000009</v>
      </c>
      <c r="L2691" t="s">
        <v>19</v>
      </c>
      <c r="M2691">
        <v>3.8</v>
      </c>
    </row>
    <row r="2692" spans="1:13" x14ac:dyDescent="0.25">
      <c r="A2692">
        <v>2691</v>
      </c>
      <c r="B2692" s="1">
        <v>43386</v>
      </c>
      <c r="C2692" s="1">
        <v>43515</v>
      </c>
      <c r="D2692" t="s">
        <v>22</v>
      </c>
      <c r="E2692" t="s">
        <v>26</v>
      </c>
      <c r="F2692" s="2">
        <v>264</v>
      </c>
      <c r="G2692" t="s">
        <v>12</v>
      </c>
      <c r="H2692" s="3">
        <v>103783</v>
      </c>
      <c r="I2692" s="3">
        <v>2658410</v>
      </c>
      <c r="J2692" s="3">
        <v>2126728</v>
      </c>
      <c r="K2692" s="3">
        <v>427899</v>
      </c>
      <c r="L2692" t="s">
        <v>14</v>
      </c>
      <c r="M2692">
        <v>4.8</v>
      </c>
    </row>
    <row r="2693" spans="1:13" x14ac:dyDescent="0.25">
      <c r="A2693">
        <v>2692</v>
      </c>
      <c r="B2693" s="1">
        <v>43387</v>
      </c>
      <c r="C2693" s="1">
        <v>43585</v>
      </c>
      <c r="D2693" t="s">
        <v>21</v>
      </c>
      <c r="E2693" t="s">
        <v>27</v>
      </c>
      <c r="F2693" s="2">
        <v>129</v>
      </c>
      <c r="G2693" t="s">
        <v>12</v>
      </c>
      <c r="H2693" s="3">
        <v>41443.08</v>
      </c>
      <c r="I2693" s="3">
        <v>1103012</v>
      </c>
      <c r="J2693" s="3">
        <v>882409.6</v>
      </c>
      <c r="K2693" s="3">
        <v>179159.32</v>
      </c>
      <c r="L2693" t="s">
        <v>19</v>
      </c>
      <c r="M2693">
        <v>3.7</v>
      </c>
    </row>
    <row r="2694" spans="1:13" x14ac:dyDescent="0.25">
      <c r="A2694">
        <v>2693</v>
      </c>
      <c r="B2694" s="1">
        <v>43388</v>
      </c>
      <c r="C2694" s="1">
        <v>43532</v>
      </c>
      <c r="D2694" t="s">
        <v>22</v>
      </c>
      <c r="E2694" t="s">
        <v>26</v>
      </c>
      <c r="F2694" s="2">
        <v>202</v>
      </c>
      <c r="G2694" t="s">
        <v>12</v>
      </c>
      <c r="H2694" s="3">
        <v>65734.679999999993</v>
      </c>
      <c r="I2694" s="3">
        <v>1696227</v>
      </c>
      <c r="J2694" s="3">
        <v>1356981.6</v>
      </c>
      <c r="K2694" s="3">
        <v>273510.71999999991</v>
      </c>
      <c r="L2694" t="s">
        <v>17</v>
      </c>
      <c r="M2694">
        <v>3.7</v>
      </c>
    </row>
    <row r="2695" spans="1:13" x14ac:dyDescent="0.25">
      <c r="A2695">
        <v>2694</v>
      </c>
      <c r="B2695" s="1">
        <v>43388</v>
      </c>
      <c r="C2695" s="1">
        <v>43514</v>
      </c>
      <c r="D2695" t="s">
        <v>20</v>
      </c>
      <c r="E2695" t="s">
        <v>24</v>
      </c>
      <c r="F2695" s="2">
        <v>77</v>
      </c>
      <c r="G2695" t="s">
        <v>11</v>
      </c>
      <c r="H2695" s="3">
        <v>26947.56</v>
      </c>
      <c r="I2695" s="3">
        <v>732274</v>
      </c>
      <c r="J2695" s="3">
        <v>585819.19999999995</v>
      </c>
      <c r="K2695" s="3">
        <v>119507.24000000005</v>
      </c>
      <c r="L2695" t="s">
        <v>14</v>
      </c>
      <c r="M2695">
        <v>3.7</v>
      </c>
    </row>
    <row r="2696" spans="1:13" x14ac:dyDescent="0.25">
      <c r="A2696">
        <v>2695</v>
      </c>
      <c r="B2696" s="1">
        <v>43389</v>
      </c>
      <c r="C2696" s="1">
        <v>43515</v>
      </c>
      <c r="D2696" t="s">
        <v>22</v>
      </c>
      <c r="E2696" t="s">
        <v>28</v>
      </c>
      <c r="F2696" s="2">
        <v>245</v>
      </c>
      <c r="G2696" t="s">
        <v>12</v>
      </c>
      <c r="H2696" s="3">
        <v>58601</v>
      </c>
      <c r="I2696" s="3">
        <v>1516985</v>
      </c>
      <c r="J2696" s="3">
        <v>1213588</v>
      </c>
      <c r="K2696" s="3">
        <v>244796</v>
      </c>
      <c r="L2696" t="s">
        <v>19</v>
      </c>
      <c r="M2696">
        <v>4</v>
      </c>
    </row>
    <row r="2697" spans="1:13" x14ac:dyDescent="0.25">
      <c r="A2697">
        <v>2696</v>
      </c>
      <c r="B2697" s="1">
        <v>43390</v>
      </c>
      <c r="C2697" s="1">
        <v>43536</v>
      </c>
      <c r="D2697" t="s">
        <v>22</v>
      </c>
      <c r="E2697" t="s">
        <v>13</v>
      </c>
      <c r="F2697" s="2">
        <v>285</v>
      </c>
      <c r="G2697" t="s">
        <v>12</v>
      </c>
      <c r="H2697" s="3">
        <v>75026</v>
      </c>
      <c r="I2697" s="3">
        <v>1941785</v>
      </c>
      <c r="J2697" s="3">
        <v>1553428</v>
      </c>
      <c r="K2697" s="3">
        <v>313331</v>
      </c>
      <c r="L2697" t="s">
        <v>14</v>
      </c>
      <c r="M2697">
        <v>4.3</v>
      </c>
    </row>
    <row r="2698" spans="1:13" x14ac:dyDescent="0.25">
      <c r="A2698">
        <v>2697</v>
      </c>
      <c r="B2698" s="1">
        <v>43391</v>
      </c>
      <c r="C2698" s="1">
        <v>43541</v>
      </c>
      <c r="D2698" t="s">
        <v>20</v>
      </c>
      <c r="E2698" t="s">
        <v>28</v>
      </c>
      <c r="F2698" s="2">
        <v>160</v>
      </c>
      <c r="G2698" t="s">
        <v>12</v>
      </c>
      <c r="H2698" s="3">
        <v>61822.559999999998</v>
      </c>
      <c r="I2698" s="3">
        <v>1609999</v>
      </c>
      <c r="J2698" s="3">
        <v>1287999.2</v>
      </c>
      <c r="K2698" s="3">
        <v>260177.24000000005</v>
      </c>
      <c r="L2698" t="s">
        <v>15</v>
      </c>
      <c r="M2698">
        <v>3.6</v>
      </c>
    </row>
    <row r="2699" spans="1:13" x14ac:dyDescent="0.25">
      <c r="A2699">
        <v>2698</v>
      </c>
      <c r="B2699" s="1">
        <v>43392</v>
      </c>
      <c r="C2699" s="1">
        <v>43588</v>
      </c>
      <c r="D2699" t="s">
        <v>22</v>
      </c>
      <c r="E2699" t="s">
        <v>13</v>
      </c>
      <c r="F2699" s="2">
        <v>234</v>
      </c>
      <c r="G2699" t="s">
        <v>12</v>
      </c>
      <c r="H2699" s="3">
        <v>47625.16</v>
      </c>
      <c r="I2699" s="3">
        <v>1252039</v>
      </c>
      <c r="J2699" s="3">
        <v>1001631.2</v>
      </c>
      <c r="K2699" s="3">
        <v>202782.64000000004</v>
      </c>
      <c r="L2699" t="s">
        <v>19</v>
      </c>
      <c r="M2699">
        <v>4.8</v>
      </c>
    </row>
    <row r="2700" spans="1:13" x14ac:dyDescent="0.25">
      <c r="A2700">
        <v>2699</v>
      </c>
      <c r="B2700" s="1">
        <v>43395</v>
      </c>
      <c r="C2700" s="1">
        <v>43547</v>
      </c>
      <c r="D2700" t="s">
        <v>21</v>
      </c>
      <c r="E2700" t="s">
        <v>28</v>
      </c>
      <c r="F2700" s="2">
        <v>272</v>
      </c>
      <c r="G2700" t="s">
        <v>12</v>
      </c>
      <c r="H2700" s="3">
        <v>105665</v>
      </c>
      <c r="I2700" s="3">
        <v>2705910</v>
      </c>
      <c r="J2700" s="3">
        <v>2164728</v>
      </c>
      <c r="K2700" s="3">
        <v>435517</v>
      </c>
      <c r="L2700" t="s">
        <v>17</v>
      </c>
      <c r="M2700">
        <v>4.0999999999999996</v>
      </c>
    </row>
    <row r="2701" spans="1:13" x14ac:dyDescent="0.25">
      <c r="A2701">
        <v>2700</v>
      </c>
      <c r="B2701" s="1">
        <v>43396</v>
      </c>
      <c r="C2701" s="1">
        <v>43532</v>
      </c>
      <c r="D2701" t="s">
        <v>22</v>
      </c>
      <c r="E2701" t="s">
        <v>29</v>
      </c>
      <c r="F2701" s="2">
        <v>238</v>
      </c>
      <c r="G2701" t="s">
        <v>12</v>
      </c>
      <c r="H2701" s="3">
        <v>49145.88</v>
      </c>
      <c r="I2701" s="3">
        <v>1286657</v>
      </c>
      <c r="J2701" s="3">
        <v>1029325.6</v>
      </c>
      <c r="K2701" s="3">
        <v>208185.52000000002</v>
      </c>
      <c r="L2701" t="s">
        <v>18</v>
      </c>
      <c r="M2701">
        <v>4</v>
      </c>
    </row>
    <row r="2702" spans="1:13" x14ac:dyDescent="0.25">
      <c r="A2702">
        <v>2701</v>
      </c>
      <c r="B2702" s="1">
        <v>43397</v>
      </c>
      <c r="C2702" s="1">
        <v>43555</v>
      </c>
      <c r="D2702" t="s">
        <v>21</v>
      </c>
      <c r="E2702" t="s">
        <v>28</v>
      </c>
      <c r="F2702" s="2">
        <v>181</v>
      </c>
      <c r="G2702" t="s">
        <v>12</v>
      </c>
      <c r="H2702" s="3">
        <v>58048.84</v>
      </c>
      <c r="I2702" s="3">
        <v>1505931</v>
      </c>
      <c r="J2702" s="3">
        <v>1204744.8</v>
      </c>
      <c r="K2702" s="3">
        <v>243137.35999999996</v>
      </c>
      <c r="L2702" t="s">
        <v>16</v>
      </c>
      <c r="M2702">
        <v>4.3</v>
      </c>
    </row>
    <row r="2703" spans="1:13" x14ac:dyDescent="0.25">
      <c r="A2703">
        <v>2702</v>
      </c>
      <c r="B2703" s="1">
        <v>43397</v>
      </c>
      <c r="C2703" s="1">
        <v>43562</v>
      </c>
      <c r="D2703" t="s">
        <v>23</v>
      </c>
      <c r="E2703" t="s">
        <v>27</v>
      </c>
      <c r="F2703" s="2">
        <v>219</v>
      </c>
      <c r="G2703" t="s">
        <v>12</v>
      </c>
      <c r="H2703" s="3">
        <v>44387.76</v>
      </c>
      <c r="I2703" s="3">
        <v>1163429</v>
      </c>
      <c r="J2703" s="3">
        <v>930743.2</v>
      </c>
      <c r="K2703" s="3">
        <v>188298.04000000004</v>
      </c>
      <c r="L2703" t="s">
        <v>16</v>
      </c>
      <c r="M2703">
        <v>3.7</v>
      </c>
    </row>
    <row r="2704" spans="1:13" x14ac:dyDescent="0.25">
      <c r="A2704">
        <v>2703</v>
      </c>
      <c r="B2704" s="1">
        <v>43399</v>
      </c>
      <c r="C2704" s="1">
        <v>43588</v>
      </c>
      <c r="D2704" t="s">
        <v>22</v>
      </c>
      <c r="E2704" t="s">
        <v>25</v>
      </c>
      <c r="F2704" s="2">
        <v>287</v>
      </c>
      <c r="G2704" t="s">
        <v>12</v>
      </c>
      <c r="H2704" s="3">
        <v>77062.720000000001</v>
      </c>
      <c r="I2704" s="3">
        <v>1992553</v>
      </c>
      <c r="J2704" s="3">
        <v>1594042.4</v>
      </c>
      <c r="K2704" s="3">
        <v>321447.88000000012</v>
      </c>
      <c r="L2704" t="s">
        <v>17</v>
      </c>
      <c r="M2704">
        <v>4.5999999999999996</v>
      </c>
    </row>
    <row r="2705" spans="1:13" x14ac:dyDescent="0.25">
      <c r="A2705">
        <v>2704</v>
      </c>
      <c r="B2705" s="1">
        <v>43399</v>
      </c>
      <c r="C2705" s="1">
        <v>43581</v>
      </c>
      <c r="D2705" t="s">
        <v>23</v>
      </c>
      <c r="E2705" t="s">
        <v>29</v>
      </c>
      <c r="F2705" s="2">
        <v>37</v>
      </c>
      <c r="G2705" t="s">
        <v>11</v>
      </c>
      <c r="H2705" s="3">
        <v>14280.64</v>
      </c>
      <c r="I2705" s="3">
        <v>415776</v>
      </c>
      <c r="J2705" s="3">
        <v>332620.79999999999</v>
      </c>
      <c r="K2705" s="3">
        <v>68874.560000000012</v>
      </c>
      <c r="L2705" t="s">
        <v>18</v>
      </c>
      <c r="M2705">
        <v>3.9</v>
      </c>
    </row>
    <row r="2706" spans="1:13" x14ac:dyDescent="0.25">
      <c r="A2706">
        <v>2705</v>
      </c>
      <c r="B2706" s="1">
        <v>43402</v>
      </c>
      <c r="C2706" s="1">
        <v>43552</v>
      </c>
      <c r="D2706" t="s">
        <v>22</v>
      </c>
      <c r="E2706" t="s">
        <v>24</v>
      </c>
      <c r="F2706" s="2">
        <v>165</v>
      </c>
      <c r="G2706" t="s">
        <v>12</v>
      </c>
      <c r="H2706" s="3">
        <v>45767.8</v>
      </c>
      <c r="I2706" s="3">
        <v>1203505</v>
      </c>
      <c r="J2706" s="3">
        <v>962804</v>
      </c>
      <c r="K2706" s="3">
        <v>194933.2</v>
      </c>
      <c r="L2706" t="s">
        <v>15</v>
      </c>
      <c r="M2706">
        <v>3.9</v>
      </c>
    </row>
    <row r="2707" spans="1:13" x14ac:dyDescent="0.25">
      <c r="A2707">
        <v>2706</v>
      </c>
      <c r="B2707" s="1">
        <v>43402</v>
      </c>
      <c r="C2707" s="1">
        <v>43589</v>
      </c>
      <c r="D2707" t="s">
        <v>20</v>
      </c>
      <c r="E2707" t="s">
        <v>25</v>
      </c>
      <c r="F2707" s="2">
        <v>119</v>
      </c>
      <c r="G2707" t="s">
        <v>12</v>
      </c>
      <c r="H2707" s="3">
        <v>40810</v>
      </c>
      <c r="I2707" s="3">
        <v>1078110</v>
      </c>
      <c r="J2707" s="3">
        <v>862488</v>
      </c>
      <c r="K2707" s="3">
        <v>174812</v>
      </c>
      <c r="L2707" t="s">
        <v>15</v>
      </c>
      <c r="M2707">
        <v>3.7</v>
      </c>
    </row>
    <row r="2708" spans="1:13" x14ac:dyDescent="0.25">
      <c r="A2708">
        <v>2707</v>
      </c>
      <c r="B2708" s="1">
        <v>43402</v>
      </c>
      <c r="C2708" s="1">
        <v>43549</v>
      </c>
      <c r="D2708" t="s">
        <v>20</v>
      </c>
      <c r="E2708" t="s">
        <v>25</v>
      </c>
      <c r="F2708" s="2">
        <v>69</v>
      </c>
      <c r="G2708" t="s">
        <v>11</v>
      </c>
      <c r="H2708" s="3">
        <v>25708.080000000002</v>
      </c>
      <c r="I2708" s="3">
        <v>697062</v>
      </c>
      <c r="J2708" s="3">
        <v>557649.6</v>
      </c>
      <c r="K2708" s="3">
        <v>113704.32000000002</v>
      </c>
      <c r="L2708" t="s">
        <v>14</v>
      </c>
      <c r="M2708">
        <v>4.5</v>
      </c>
    </row>
    <row r="2709" spans="1:13" x14ac:dyDescent="0.25">
      <c r="A2709">
        <v>2708</v>
      </c>
      <c r="B2709" s="1">
        <v>43402</v>
      </c>
      <c r="C2709" s="1">
        <v>43495</v>
      </c>
      <c r="D2709" t="s">
        <v>23</v>
      </c>
      <c r="E2709" t="s">
        <v>26</v>
      </c>
      <c r="F2709" s="2">
        <v>242</v>
      </c>
      <c r="G2709" t="s">
        <v>12</v>
      </c>
      <c r="H2709" s="3">
        <v>72702.44</v>
      </c>
      <c r="I2709" s="3">
        <v>1879846</v>
      </c>
      <c r="J2709" s="3">
        <v>1503876.8</v>
      </c>
      <c r="K2709" s="3">
        <v>303266.75999999995</v>
      </c>
      <c r="L2709" t="s">
        <v>15</v>
      </c>
      <c r="M2709">
        <v>4.7</v>
      </c>
    </row>
    <row r="2710" spans="1:13" x14ac:dyDescent="0.25">
      <c r="A2710">
        <v>2709</v>
      </c>
      <c r="B2710" s="1">
        <v>43403</v>
      </c>
      <c r="C2710" s="1">
        <v>43537</v>
      </c>
      <c r="D2710" t="s">
        <v>20</v>
      </c>
      <c r="E2710" t="s">
        <v>26</v>
      </c>
      <c r="F2710" s="2">
        <v>56</v>
      </c>
      <c r="G2710" t="s">
        <v>11</v>
      </c>
      <c r="H2710" s="3">
        <v>15450.88</v>
      </c>
      <c r="I2710" s="3">
        <v>453482</v>
      </c>
      <c r="J2710" s="3">
        <v>362785.6</v>
      </c>
      <c r="K2710" s="3">
        <v>75245.520000000019</v>
      </c>
      <c r="L2710" t="s">
        <v>16</v>
      </c>
      <c r="M2710">
        <v>4.5</v>
      </c>
    </row>
    <row r="2711" spans="1:13" x14ac:dyDescent="0.25">
      <c r="A2711">
        <v>2710</v>
      </c>
      <c r="B2711" s="1">
        <v>43404</v>
      </c>
      <c r="C2711" s="1">
        <v>43589</v>
      </c>
      <c r="D2711" t="s">
        <v>23</v>
      </c>
      <c r="E2711" t="s">
        <v>13</v>
      </c>
      <c r="F2711" s="2">
        <v>280</v>
      </c>
      <c r="G2711" t="s">
        <v>12</v>
      </c>
      <c r="H2711" s="3">
        <v>64932</v>
      </c>
      <c r="I2711" s="3">
        <v>1675235</v>
      </c>
      <c r="J2711" s="3">
        <v>1340188</v>
      </c>
      <c r="K2711" s="3">
        <v>270115</v>
      </c>
      <c r="L2711" t="s">
        <v>14</v>
      </c>
      <c r="M2711">
        <v>3.7</v>
      </c>
    </row>
    <row r="2712" spans="1:13" x14ac:dyDescent="0.25">
      <c r="A2712">
        <v>2711</v>
      </c>
      <c r="B2712" s="1">
        <v>43405</v>
      </c>
      <c r="C2712" s="1">
        <v>43542</v>
      </c>
      <c r="D2712" t="s">
        <v>20</v>
      </c>
      <c r="E2712" t="s">
        <v>27</v>
      </c>
      <c r="F2712" s="2">
        <v>114</v>
      </c>
      <c r="G2712" t="s">
        <v>11</v>
      </c>
      <c r="H2712" s="3">
        <v>22006.44</v>
      </c>
      <c r="I2712" s="3">
        <v>604096</v>
      </c>
      <c r="J2712" s="3">
        <v>483276.79999999999</v>
      </c>
      <c r="K2712" s="3">
        <v>98812.760000000009</v>
      </c>
      <c r="L2712" t="s">
        <v>17</v>
      </c>
      <c r="M2712">
        <v>4.9000000000000004</v>
      </c>
    </row>
    <row r="2713" spans="1:13" x14ac:dyDescent="0.25">
      <c r="A2713">
        <v>2712</v>
      </c>
      <c r="B2713" s="1">
        <v>43405</v>
      </c>
      <c r="C2713" s="1">
        <v>43531</v>
      </c>
      <c r="D2713" t="s">
        <v>20</v>
      </c>
      <c r="E2713" t="s">
        <v>27</v>
      </c>
      <c r="F2713" s="2">
        <v>254</v>
      </c>
      <c r="G2713" t="s">
        <v>12</v>
      </c>
      <c r="H2713" s="3">
        <v>91071.4</v>
      </c>
      <c r="I2713" s="3">
        <v>2328645</v>
      </c>
      <c r="J2713" s="3">
        <v>1862916</v>
      </c>
      <c r="K2713" s="3">
        <v>374657.6</v>
      </c>
      <c r="L2713" t="s">
        <v>17</v>
      </c>
      <c r="M2713">
        <v>4.9000000000000004</v>
      </c>
    </row>
    <row r="2714" spans="1:13" x14ac:dyDescent="0.25">
      <c r="A2714">
        <v>2713</v>
      </c>
      <c r="B2714" s="1">
        <v>43406</v>
      </c>
      <c r="C2714" s="1">
        <v>43552</v>
      </c>
      <c r="D2714" t="s">
        <v>23</v>
      </c>
      <c r="E2714" t="s">
        <v>26</v>
      </c>
      <c r="F2714" s="2">
        <v>41</v>
      </c>
      <c r="G2714" t="s">
        <v>11</v>
      </c>
      <c r="H2714" s="3">
        <v>15069.64</v>
      </c>
      <c r="I2714" s="3">
        <v>437301</v>
      </c>
      <c r="J2714" s="3">
        <v>349840.8</v>
      </c>
      <c r="K2714" s="3">
        <v>72390.560000000012</v>
      </c>
      <c r="L2714" t="s">
        <v>14</v>
      </c>
      <c r="M2714">
        <v>3.9</v>
      </c>
    </row>
    <row r="2715" spans="1:13" x14ac:dyDescent="0.25">
      <c r="A2715">
        <v>2714</v>
      </c>
      <c r="B2715" s="1">
        <v>43407</v>
      </c>
      <c r="C2715" s="1">
        <v>43552</v>
      </c>
      <c r="D2715" t="s">
        <v>23</v>
      </c>
      <c r="E2715" t="s">
        <v>27</v>
      </c>
      <c r="F2715" s="2">
        <v>276</v>
      </c>
      <c r="G2715" t="s">
        <v>12</v>
      </c>
      <c r="H2715" s="3">
        <v>102006.92</v>
      </c>
      <c r="I2715" s="3">
        <v>2606408</v>
      </c>
      <c r="J2715" s="3">
        <v>2085126.4</v>
      </c>
      <c r="K2715" s="3">
        <v>419274.68000000011</v>
      </c>
      <c r="L2715" t="s">
        <v>15</v>
      </c>
      <c r="M2715">
        <v>4.3</v>
      </c>
    </row>
    <row r="2716" spans="1:13" x14ac:dyDescent="0.25">
      <c r="A2716">
        <v>2715</v>
      </c>
      <c r="B2716" s="1">
        <v>43407</v>
      </c>
      <c r="C2716" s="1">
        <v>43591</v>
      </c>
      <c r="D2716" t="s">
        <v>22</v>
      </c>
      <c r="E2716" t="s">
        <v>24</v>
      </c>
      <c r="F2716" s="2">
        <v>136</v>
      </c>
      <c r="G2716" t="s">
        <v>12</v>
      </c>
      <c r="H2716" s="3">
        <v>29569.52</v>
      </c>
      <c r="I2716" s="3">
        <v>800423</v>
      </c>
      <c r="J2716" s="3">
        <v>640338.4</v>
      </c>
      <c r="K2716" s="3">
        <v>130515.07999999997</v>
      </c>
      <c r="L2716" t="s">
        <v>17</v>
      </c>
      <c r="M2716">
        <v>3.9</v>
      </c>
    </row>
    <row r="2717" spans="1:13" x14ac:dyDescent="0.25">
      <c r="A2717">
        <v>2716</v>
      </c>
      <c r="B2717" s="1">
        <v>43407</v>
      </c>
      <c r="C2717" s="1">
        <v>43590</v>
      </c>
      <c r="D2717" t="s">
        <v>22</v>
      </c>
      <c r="E2717" t="s">
        <v>25</v>
      </c>
      <c r="F2717" s="2">
        <v>37</v>
      </c>
      <c r="G2717" t="s">
        <v>11</v>
      </c>
      <c r="H2717" s="3">
        <v>11049.88</v>
      </c>
      <c r="I2717" s="3">
        <v>331207</v>
      </c>
      <c r="J2717" s="3">
        <v>264965.59999999998</v>
      </c>
      <c r="K2717" s="3">
        <v>55191.520000000026</v>
      </c>
      <c r="L2717" t="s">
        <v>17</v>
      </c>
      <c r="M2717">
        <v>4</v>
      </c>
    </row>
    <row r="2718" spans="1:13" x14ac:dyDescent="0.25">
      <c r="A2718">
        <v>2717</v>
      </c>
      <c r="B2718" s="1">
        <v>43407</v>
      </c>
      <c r="C2718" s="1">
        <v>43583</v>
      </c>
      <c r="D2718" t="s">
        <v>22</v>
      </c>
      <c r="E2718" t="s">
        <v>28</v>
      </c>
      <c r="F2718" s="2">
        <v>272</v>
      </c>
      <c r="G2718" t="s">
        <v>12</v>
      </c>
      <c r="H2718" s="3">
        <v>63741</v>
      </c>
      <c r="I2718" s="3">
        <v>1660085</v>
      </c>
      <c r="J2718" s="3">
        <v>1328068</v>
      </c>
      <c r="K2718" s="3">
        <v>268276</v>
      </c>
      <c r="L2718" t="s">
        <v>15</v>
      </c>
      <c r="M2718">
        <v>5</v>
      </c>
    </row>
    <row r="2719" spans="1:13" x14ac:dyDescent="0.25">
      <c r="A2719">
        <v>2718</v>
      </c>
      <c r="B2719" s="1">
        <v>43407</v>
      </c>
      <c r="C2719" s="1">
        <v>43581</v>
      </c>
      <c r="D2719" t="s">
        <v>21</v>
      </c>
      <c r="E2719" t="s">
        <v>25</v>
      </c>
      <c r="F2719" s="2">
        <v>62</v>
      </c>
      <c r="G2719" t="s">
        <v>11</v>
      </c>
      <c r="H2719" s="3">
        <v>24842.12</v>
      </c>
      <c r="I2719" s="3">
        <v>673588</v>
      </c>
      <c r="J2719" s="3">
        <v>538870.4</v>
      </c>
      <c r="K2719" s="3">
        <v>109875.47999999998</v>
      </c>
      <c r="L2719" t="s">
        <v>15</v>
      </c>
      <c r="M2719">
        <v>3.7</v>
      </c>
    </row>
    <row r="2720" spans="1:13" x14ac:dyDescent="0.25">
      <c r="A2720">
        <v>2719</v>
      </c>
      <c r="B2720" s="1">
        <v>43408</v>
      </c>
      <c r="C2720" s="1">
        <v>43530</v>
      </c>
      <c r="D2720" t="s">
        <v>21</v>
      </c>
      <c r="E2720" t="s">
        <v>29</v>
      </c>
      <c r="F2720" s="2">
        <v>127</v>
      </c>
      <c r="G2720" t="s">
        <v>12</v>
      </c>
      <c r="H2720" s="3">
        <v>46404.2</v>
      </c>
      <c r="I2720" s="3">
        <v>1222865</v>
      </c>
      <c r="J2720" s="3">
        <v>978292</v>
      </c>
      <c r="K2720" s="3">
        <v>198168.8</v>
      </c>
      <c r="L2720" t="s">
        <v>17</v>
      </c>
      <c r="M2720">
        <v>4.4000000000000004</v>
      </c>
    </row>
    <row r="2721" spans="1:13" x14ac:dyDescent="0.25">
      <c r="A2721">
        <v>2720</v>
      </c>
      <c r="B2721" s="1">
        <v>43409</v>
      </c>
      <c r="C2721" s="1">
        <v>43580</v>
      </c>
      <c r="D2721" t="s">
        <v>22</v>
      </c>
      <c r="E2721" t="s">
        <v>27</v>
      </c>
      <c r="F2721" s="2">
        <v>206</v>
      </c>
      <c r="G2721" t="s">
        <v>12</v>
      </c>
      <c r="H2721" s="3">
        <v>53480.92</v>
      </c>
      <c r="I2721" s="3">
        <v>1394133</v>
      </c>
      <c r="J2721" s="3">
        <v>1115306.3999999999</v>
      </c>
      <c r="K2721" s="3">
        <v>225345.68000000011</v>
      </c>
      <c r="L2721" t="s">
        <v>19</v>
      </c>
      <c r="M2721">
        <v>4</v>
      </c>
    </row>
    <row r="2722" spans="1:13" x14ac:dyDescent="0.25">
      <c r="A2722">
        <v>2721</v>
      </c>
      <c r="B2722" s="1">
        <v>43410</v>
      </c>
      <c r="C2722" s="1">
        <v>43517</v>
      </c>
      <c r="D2722" t="s">
        <v>20</v>
      </c>
      <c r="E2722" t="s">
        <v>26</v>
      </c>
      <c r="F2722" s="2">
        <v>260</v>
      </c>
      <c r="G2722" t="s">
        <v>12</v>
      </c>
      <c r="H2722" s="3">
        <v>59475.72</v>
      </c>
      <c r="I2722" s="3">
        <v>1552778</v>
      </c>
      <c r="J2722" s="3">
        <v>1242222.3999999999</v>
      </c>
      <c r="K2722" s="3">
        <v>251079.88000000009</v>
      </c>
      <c r="L2722" t="s">
        <v>16</v>
      </c>
      <c r="M2722">
        <v>4.4000000000000004</v>
      </c>
    </row>
    <row r="2723" spans="1:13" x14ac:dyDescent="0.25">
      <c r="A2723">
        <v>2722</v>
      </c>
      <c r="B2723" s="1">
        <v>43411</v>
      </c>
      <c r="C2723" s="1">
        <v>43551</v>
      </c>
      <c r="D2723" t="s">
        <v>21</v>
      </c>
      <c r="E2723" t="s">
        <v>29</v>
      </c>
      <c r="F2723" s="2">
        <v>131</v>
      </c>
      <c r="G2723" t="s">
        <v>12</v>
      </c>
      <c r="H2723" s="3">
        <v>49404.959999999999</v>
      </c>
      <c r="I2723" s="3">
        <v>1299109</v>
      </c>
      <c r="J2723" s="3">
        <v>1039287.2</v>
      </c>
      <c r="K2723" s="3">
        <v>210416.84000000005</v>
      </c>
      <c r="L2723" t="s">
        <v>14</v>
      </c>
      <c r="M2723">
        <v>4</v>
      </c>
    </row>
    <row r="2724" spans="1:13" x14ac:dyDescent="0.25">
      <c r="A2724">
        <v>2723</v>
      </c>
      <c r="B2724" s="1">
        <v>43411</v>
      </c>
      <c r="C2724" s="1">
        <v>43542</v>
      </c>
      <c r="D2724" t="s">
        <v>22</v>
      </c>
      <c r="E2724" t="s">
        <v>25</v>
      </c>
      <c r="F2724" s="2">
        <v>125</v>
      </c>
      <c r="G2724" t="s">
        <v>11</v>
      </c>
      <c r="H2724" s="3">
        <v>28201.52</v>
      </c>
      <c r="I2724" s="3">
        <v>758498</v>
      </c>
      <c r="J2724" s="3">
        <v>606798.4</v>
      </c>
      <c r="K2724" s="3">
        <v>123498.07999999997</v>
      </c>
      <c r="L2724" t="s">
        <v>14</v>
      </c>
      <c r="M2724">
        <v>4.5</v>
      </c>
    </row>
    <row r="2725" spans="1:13" x14ac:dyDescent="0.25">
      <c r="A2725">
        <v>2724</v>
      </c>
      <c r="B2725" s="1">
        <v>43413</v>
      </c>
      <c r="C2725" s="1">
        <v>43558</v>
      </c>
      <c r="D2725" t="s">
        <v>20</v>
      </c>
      <c r="E2725" t="s">
        <v>24</v>
      </c>
      <c r="F2725" s="2">
        <v>289</v>
      </c>
      <c r="G2725" t="s">
        <v>12</v>
      </c>
      <c r="H2725" s="3">
        <v>69616.800000000003</v>
      </c>
      <c r="I2725" s="3">
        <v>1803830</v>
      </c>
      <c r="J2725" s="3">
        <v>1443064</v>
      </c>
      <c r="K2725" s="3">
        <v>291149.2</v>
      </c>
      <c r="L2725" t="s">
        <v>17</v>
      </c>
      <c r="M2725">
        <v>4.5</v>
      </c>
    </row>
    <row r="2726" spans="1:13" x14ac:dyDescent="0.25">
      <c r="A2726">
        <v>2725</v>
      </c>
      <c r="B2726" s="1">
        <v>43413</v>
      </c>
      <c r="C2726" s="1">
        <v>43580</v>
      </c>
      <c r="D2726" t="s">
        <v>23</v>
      </c>
      <c r="E2726" t="s">
        <v>27</v>
      </c>
      <c r="F2726" s="2">
        <v>121</v>
      </c>
      <c r="G2726" t="s">
        <v>12</v>
      </c>
      <c r="H2726" s="3">
        <v>31422.68</v>
      </c>
      <c r="I2726" s="3">
        <v>851952</v>
      </c>
      <c r="J2726" s="3">
        <v>681561.59999999998</v>
      </c>
      <c r="K2726" s="3">
        <v>138967.72000000003</v>
      </c>
      <c r="L2726" t="s">
        <v>15</v>
      </c>
      <c r="M2726">
        <v>4.4000000000000004</v>
      </c>
    </row>
    <row r="2727" spans="1:13" x14ac:dyDescent="0.25">
      <c r="A2727">
        <v>2726</v>
      </c>
      <c r="B2727" s="1">
        <v>43414</v>
      </c>
      <c r="C2727" s="1">
        <v>43577</v>
      </c>
      <c r="D2727" t="s">
        <v>23</v>
      </c>
      <c r="E2727" t="s">
        <v>28</v>
      </c>
      <c r="F2727" s="2">
        <v>196</v>
      </c>
      <c r="G2727" t="s">
        <v>12</v>
      </c>
      <c r="H2727" s="3">
        <v>33379.160000000003</v>
      </c>
      <c r="I2727" s="3">
        <v>886514</v>
      </c>
      <c r="J2727" s="3">
        <v>709211.2</v>
      </c>
      <c r="K2727" s="3">
        <v>143923.64000000004</v>
      </c>
      <c r="L2727" t="s">
        <v>18</v>
      </c>
      <c r="M2727">
        <v>4.2</v>
      </c>
    </row>
    <row r="2728" spans="1:13" x14ac:dyDescent="0.25">
      <c r="A2728">
        <v>2727</v>
      </c>
      <c r="B2728" s="1">
        <v>43414</v>
      </c>
      <c r="C2728" s="1">
        <v>43513</v>
      </c>
      <c r="D2728" t="s">
        <v>21</v>
      </c>
      <c r="E2728" t="s">
        <v>13</v>
      </c>
      <c r="F2728" s="2">
        <v>56</v>
      </c>
      <c r="G2728" t="s">
        <v>11</v>
      </c>
      <c r="H2728" s="3">
        <v>9904.56</v>
      </c>
      <c r="I2728" s="3">
        <v>301774</v>
      </c>
      <c r="J2728" s="3">
        <v>241419.2</v>
      </c>
      <c r="K2728" s="3">
        <v>50450.239999999991</v>
      </c>
      <c r="L2728" t="s">
        <v>14</v>
      </c>
      <c r="M2728">
        <v>3.7</v>
      </c>
    </row>
    <row r="2729" spans="1:13" x14ac:dyDescent="0.25">
      <c r="A2729">
        <v>2728</v>
      </c>
      <c r="B2729" s="1">
        <v>43415</v>
      </c>
      <c r="C2729" s="1">
        <v>43544</v>
      </c>
      <c r="D2729" t="s">
        <v>23</v>
      </c>
      <c r="E2729" t="s">
        <v>29</v>
      </c>
      <c r="F2729" s="2">
        <v>218</v>
      </c>
      <c r="G2729" t="s">
        <v>12</v>
      </c>
      <c r="H2729" s="3">
        <v>41818.6</v>
      </c>
      <c r="I2729" s="3">
        <v>1108000</v>
      </c>
      <c r="J2729" s="3">
        <v>886400</v>
      </c>
      <c r="K2729" s="3">
        <v>179781.4</v>
      </c>
      <c r="L2729" t="s">
        <v>19</v>
      </c>
      <c r="M2729">
        <v>4.4000000000000004</v>
      </c>
    </row>
    <row r="2730" spans="1:13" x14ac:dyDescent="0.25">
      <c r="A2730">
        <v>2729</v>
      </c>
      <c r="B2730" s="1">
        <v>43418</v>
      </c>
      <c r="C2730" s="1">
        <v>43581</v>
      </c>
      <c r="D2730" t="s">
        <v>22</v>
      </c>
      <c r="E2730" t="s">
        <v>25</v>
      </c>
      <c r="F2730" s="2">
        <v>230</v>
      </c>
      <c r="G2730" t="s">
        <v>12</v>
      </c>
      <c r="H2730" s="3">
        <v>38316.239999999998</v>
      </c>
      <c r="I2730" s="3">
        <v>1015541</v>
      </c>
      <c r="J2730" s="3">
        <v>812432.8</v>
      </c>
      <c r="K2730" s="3">
        <v>164791.95999999996</v>
      </c>
      <c r="L2730" t="s">
        <v>17</v>
      </c>
      <c r="M2730">
        <v>4.9000000000000004</v>
      </c>
    </row>
    <row r="2731" spans="1:13" x14ac:dyDescent="0.25">
      <c r="A2731">
        <v>2730</v>
      </c>
      <c r="B2731" s="1">
        <v>43421</v>
      </c>
      <c r="C2731" s="1">
        <v>43579</v>
      </c>
      <c r="D2731" t="s">
        <v>23</v>
      </c>
      <c r="E2731" t="s">
        <v>25</v>
      </c>
      <c r="F2731" s="2">
        <v>98</v>
      </c>
      <c r="G2731" t="s">
        <v>12</v>
      </c>
      <c r="H2731" s="3">
        <v>40784.199999999997</v>
      </c>
      <c r="I2731" s="3">
        <v>1082390</v>
      </c>
      <c r="J2731" s="3">
        <v>865912</v>
      </c>
      <c r="K2731" s="3">
        <v>175693.8</v>
      </c>
      <c r="L2731" t="s">
        <v>16</v>
      </c>
      <c r="M2731">
        <v>3.9</v>
      </c>
    </row>
    <row r="2732" spans="1:13" x14ac:dyDescent="0.25">
      <c r="A2732">
        <v>2731</v>
      </c>
      <c r="B2732" s="1">
        <v>43423</v>
      </c>
      <c r="C2732" s="1">
        <v>43537</v>
      </c>
      <c r="D2732" t="s">
        <v>21</v>
      </c>
      <c r="E2732" t="s">
        <v>13</v>
      </c>
      <c r="F2732" s="2">
        <v>132</v>
      </c>
      <c r="G2732" t="s">
        <v>11</v>
      </c>
      <c r="H2732" s="3">
        <v>21916.400000000001</v>
      </c>
      <c r="I2732" s="3">
        <v>600245</v>
      </c>
      <c r="J2732" s="3">
        <v>480196</v>
      </c>
      <c r="K2732" s="3">
        <v>98132.6</v>
      </c>
      <c r="L2732" t="s">
        <v>15</v>
      </c>
      <c r="M2732">
        <v>4</v>
      </c>
    </row>
    <row r="2733" spans="1:13" x14ac:dyDescent="0.25">
      <c r="A2733">
        <v>2732</v>
      </c>
      <c r="B2733" s="1">
        <v>43424</v>
      </c>
      <c r="C2733" s="1">
        <v>43534</v>
      </c>
      <c r="D2733" t="s">
        <v>22</v>
      </c>
      <c r="E2733" t="s">
        <v>29</v>
      </c>
      <c r="F2733" s="2">
        <v>275</v>
      </c>
      <c r="G2733" t="s">
        <v>12</v>
      </c>
      <c r="H2733" s="3">
        <v>48856.88</v>
      </c>
      <c r="I2733" s="3">
        <v>1276157</v>
      </c>
      <c r="J2733" s="3">
        <v>1020925.6</v>
      </c>
      <c r="K2733" s="3">
        <v>206374.52000000002</v>
      </c>
      <c r="L2733" t="s">
        <v>17</v>
      </c>
      <c r="M2733">
        <v>4.0999999999999996</v>
      </c>
    </row>
    <row r="2734" spans="1:13" x14ac:dyDescent="0.25">
      <c r="A2734">
        <v>2733</v>
      </c>
      <c r="B2734" s="1">
        <v>43426</v>
      </c>
      <c r="C2734" s="1">
        <v>43539</v>
      </c>
      <c r="D2734" t="s">
        <v>21</v>
      </c>
      <c r="E2734" t="s">
        <v>27</v>
      </c>
      <c r="F2734" s="2">
        <v>124</v>
      </c>
      <c r="G2734" t="s">
        <v>11</v>
      </c>
      <c r="H2734" s="3">
        <v>25848.240000000002</v>
      </c>
      <c r="I2734" s="3">
        <v>705541</v>
      </c>
      <c r="J2734" s="3">
        <v>564432.80000000005</v>
      </c>
      <c r="K2734" s="3">
        <v>115259.95999999995</v>
      </c>
      <c r="L2734" t="s">
        <v>16</v>
      </c>
      <c r="M2734">
        <v>4.7</v>
      </c>
    </row>
    <row r="2735" spans="1:13" x14ac:dyDescent="0.25">
      <c r="A2735">
        <v>2734</v>
      </c>
      <c r="B2735" s="1">
        <v>43427</v>
      </c>
      <c r="C2735" s="1">
        <v>43572</v>
      </c>
      <c r="D2735" t="s">
        <v>23</v>
      </c>
      <c r="E2735" t="s">
        <v>26</v>
      </c>
      <c r="F2735" s="2">
        <v>276</v>
      </c>
      <c r="G2735" t="s">
        <v>12</v>
      </c>
      <c r="H2735" s="3">
        <v>48234.28</v>
      </c>
      <c r="I2735" s="3">
        <v>1270517</v>
      </c>
      <c r="J2735" s="3">
        <v>1016413.6</v>
      </c>
      <c r="K2735" s="3">
        <v>205869.12000000002</v>
      </c>
      <c r="L2735" t="s">
        <v>16</v>
      </c>
      <c r="M2735">
        <v>4.4000000000000004</v>
      </c>
    </row>
    <row r="2736" spans="1:13" x14ac:dyDescent="0.25">
      <c r="A2736">
        <v>2735</v>
      </c>
      <c r="B2736" s="1">
        <v>43431</v>
      </c>
      <c r="C2736" s="1">
        <v>43549</v>
      </c>
      <c r="D2736" t="s">
        <v>23</v>
      </c>
      <c r="E2736" t="s">
        <v>25</v>
      </c>
      <c r="F2736" s="2">
        <v>54</v>
      </c>
      <c r="G2736" t="s">
        <v>11</v>
      </c>
      <c r="H2736" s="3">
        <v>10909.4</v>
      </c>
      <c r="I2736" s="3">
        <v>324845</v>
      </c>
      <c r="J2736" s="3">
        <v>259876</v>
      </c>
      <c r="K2736" s="3">
        <v>54059.6</v>
      </c>
      <c r="L2736" t="s">
        <v>17</v>
      </c>
      <c r="M2736">
        <v>4.9000000000000004</v>
      </c>
    </row>
    <row r="2737" spans="1:13" x14ac:dyDescent="0.25">
      <c r="A2737">
        <v>2736</v>
      </c>
      <c r="B2737" s="1">
        <v>43432</v>
      </c>
      <c r="C2737" s="1">
        <v>43558</v>
      </c>
      <c r="D2737" t="s">
        <v>20</v>
      </c>
      <c r="E2737" t="s">
        <v>24</v>
      </c>
      <c r="F2737" s="2">
        <v>43</v>
      </c>
      <c r="G2737" t="s">
        <v>11</v>
      </c>
      <c r="H2737" s="3">
        <v>13935.24</v>
      </c>
      <c r="I2737" s="3">
        <v>403691</v>
      </c>
      <c r="J2737" s="3">
        <v>322952.8</v>
      </c>
      <c r="K2737" s="3">
        <v>66802.960000000006</v>
      </c>
      <c r="L2737" t="s">
        <v>17</v>
      </c>
      <c r="M2737">
        <v>4.4000000000000004</v>
      </c>
    </row>
    <row r="2738" spans="1:13" x14ac:dyDescent="0.25">
      <c r="A2738">
        <v>2737</v>
      </c>
      <c r="B2738" s="1">
        <v>43435</v>
      </c>
      <c r="C2738" s="1">
        <v>43592</v>
      </c>
      <c r="D2738" t="s">
        <v>22</v>
      </c>
      <c r="E2738" t="s">
        <v>27</v>
      </c>
      <c r="F2738" s="2">
        <v>96</v>
      </c>
      <c r="G2738" t="s">
        <v>12</v>
      </c>
      <c r="H2738" s="3">
        <v>35614</v>
      </c>
      <c r="I2738" s="3">
        <v>942085</v>
      </c>
      <c r="J2738" s="3">
        <v>753668</v>
      </c>
      <c r="K2738" s="3">
        <v>152803</v>
      </c>
      <c r="L2738" t="s">
        <v>16</v>
      </c>
      <c r="M2738">
        <v>4</v>
      </c>
    </row>
    <row r="2739" spans="1:13" x14ac:dyDescent="0.25">
      <c r="A2739">
        <v>2738</v>
      </c>
      <c r="B2739" s="1">
        <v>43436</v>
      </c>
      <c r="C2739" s="1">
        <v>43555</v>
      </c>
      <c r="D2739" t="s">
        <v>22</v>
      </c>
      <c r="E2739" t="s">
        <v>29</v>
      </c>
      <c r="F2739" s="2">
        <v>110</v>
      </c>
      <c r="G2739" t="s">
        <v>12</v>
      </c>
      <c r="H2739" s="3">
        <v>42188.72</v>
      </c>
      <c r="I2739" s="3">
        <v>1115153</v>
      </c>
      <c r="J2739" s="3">
        <v>892122.4</v>
      </c>
      <c r="K2739" s="3">
        <v>180841.87999999998</v>
      </c>
      <c r="L2739" t="s">
        <v>17</v>
      </c>
      <c r="M2739">
        <v>4.8</v>
      </c>
    </row>
    <row r="2740" spans="1:13" x14ac:dyDescent="0.25">
      <c r="A2740">
        <v>2739</v>
      </c>
      <c r="B2740" s="1">
        <v>43436</v>
      </c>
      <c r="C2740" s="1">
        <v>43532</v>
      </c>
      <c r="D2740" t="s">
        <v>22</v>
      </c>
      <c r="E2740" t="s">
        <v>27</v>
      </c>
      <c r="F2740" s="2">
        <v>91</v>
      </c>
      <c r="G2740" t="s">
        <v>12</v>
      </c>
      <c r="H2740" s="3">
        <v>30610.04</v>
      </c>
      <c r="I2740" s="3">
        <v>826461</v>
      </c>
      <c r="J2740" s="3">
        <v>661168.80000000005</v>
      </c>
      <c r="K2740" s="3">
        <v>134682.15999999995</v>
      </c>
      <c r="L2740" t="s">
        <v>18</v>
      </c>
      <c r="M2740">
        <v>3.6</v>
      </c>
    </row>
    <row r="2741" spans="1:13" x14ac:dyDescent="0.25">
      <c r="A2741">
        <v>2740</v>
      </c>
      <c r="B2741" s="1">
        <v>43438</v>
      </c>
      <c r="C2741" s="1">
        <v>43533</v>
      </c>
      <c r="D2741" t="s">
        <v>20</v>
      </c>
      <c r="E2741" t="s">
        <v>25</v>
      </c>
      <c r="F2741" s="2">
        <v>255</v>
      </c>
      <c r="G2741" t="s">
        <v>12</v>
      </c>
      <c r="H2741" s="3">
        <v>87022.12</v>
      </c>
      <c r="I2741" s="3">
        <v>2234888</v>
      </c>
      <c r="J2741" s="3">
        <v>1787910.4</v>
      </c>
      <c r="K2741" s="3">
        <v>359955.4800000001</v>
      </c>
      <c r="L2741" t="s">
        <v>16</v>
      </c>
      <c r="M2741">
        <v>4.4000000000000004</v>
      </c>
    </row>
    <row r="2742" spans="1:13" x14ac:dyDescent="0.25">
      <c r="A2742">
        <v>2741</v>
      </c>
      <c r="B2742" s="1">
        <v>43440</v>
      </c>
      <c r="C2742" s="1">
        <v>43579</v>
      </c>
      <c r="D2742" t="s">
        <v>20</v>
      </c>
      <c r="E2742" t="s">
        <v>25</v>
      </c>
      <c r="F2742" s="2">
        <v>132</v>
      </c>
      <c r="G2742" t="s">
        <v>12</v>
      </c>
      <c r="H2742" s="3">
        <v>46521.96</v>
      </c>
      <c r="I2742" s="3">
        <v>1223009</v>
      </c>
      <c r="J2742" s="3">
        <v>978407.2</v>
      </c>
      <c r="K2742" s="3">
        <v>198079.84000000005</v>
      </c>
      <c r="L2742" t="s">
        <v>16</v>
      </c>
      <c r="M2742">
        <v>4.3</v>
      </c>
    </row>
    <row r="2743" spans="1:13" x14ac:dyDescent="0.25">
      <c r="A2743">
        <v>2742</v>
      </c>
      <c r="B2743" s="1">
        <v>43441</v>
      </c>
      <c r="C2743" s="1">
        <v>43537</v>
      </c>
      <c r="D2743" t="s">
        <v>20</v>
      </c>
      <c r="E2743" t="s">
        <v>29</v>
      </c>
      <c r="F2743" s="2">
        <v>231</v>
      </c>
      <c r="G2743" t="s">
        <v>12</v>
      </c>
      <c r="H2743" s="3">
        <v>84486.16</v>
      </c>
      <c r="I2743" s="3">
        <v>2169689</v>
      </c>
      <c r="J2743" s="3">
        <v>1735751.2</v>
      </c>
      <c r="K2743" s="3">
        <v>349451.64</v>
      </c>
      <c r="L2743" t="s">
        <v>15</v>
      </c>
      <c r="M2743">
        <v>4.9000000000000004</v>
      </c>
    </row>
    <row r="2744" spans="1:13" x14ac:dyDescent="0.25">
      <c r="A2744">
        <v>2743</v>
      </c>
      <c r="B2744" s="1">
        <v>43443</v>
      </c>
      <c r="C2744" s="1">
        <v>43534</v>
      </c>
      <c r="D2744" t="s">
        <v>21</v>
      </c>
      <c r="E2744" t="s">
        <v>26</v>
      </c>
      <c r="F2744" s="2">
        <v>187</v>
      </c>
      <c r="G2744" t="s">
        <v>12</v>
      </c>
      <c r="H2744" s="3">
        <v>41478.239999999998</v>
      </c>
      <c r="I2744" s="3">
        <v>1096441</v>
      </c>
      <c r="J2744" s="3">
        <v>877152.8</v>
      </c>
      <c r="K2744" s="3">
        <v>177809.95999999996</v>
      </c>
      <c r="L2744" t="s">
        <v>18</v>
      </c>
      <c r="M2744">
        <v>3.7</v>
      </c>
    </row>
    <row r="2745" spans="1:13" x14ac:dyDescent="0.25">
      <c r="A2745">
        <v>2744</v>
      </c>
      <c r="B2745" s="1">
        <v>43444</v>
      </c>
      <c r="C2745" s="1">
        <v>43573</v>
      </c>
      <c r="D2745" t="s">
        <v>23</v>
      </c>
      <c r="E2745" t="s">
        <v>25</v>
      </c>
      <c r="F2745" s="2">
        <v>250</v>
      </c>
      <c r="G2745" t="s">
        <v>12</v>
      </c>
      <c r="H2745" s="3">
        <v>85922.880000000005</v>
      </c>
      <c r="I2745" s="3">
        <v>2207107</v>
      </c>
      <c r="J2745" s="3">
        <v>1765685.6</v>
      </c>
      <c r="K2745" s="3">
        <v>355498.5199999999</v>
      </c>
      <c r="L2745" t="s">
        <v>17</v>
      </c>
      <c r="M2745">
        <v>3.8</v>
      </c>
    </row>
    <row r="2746" spans="1:13" x14ac:dyDescent="0.25">
      <c r="A2746">
        <v>2745</v>
      </c>
      <c r="B2746" s="1">
        <v>43445</v>
      </c>
      <c r="C2746" s="1">
        <v>43567</v>
      </c>
      <c r="D2746" t="s">
        <v>21</v>
      </c>
      <c r="E2746" t="s">
        <v>29</v>
      </c>
      <c r="F2746" s="2">
        <v>194</v>
      </c>
      <c r="G2746" t="s">
        <v>12</v>
      </c>
      <c r="H2746" s="3">
        <v>42283.839999999997</v>
      </c>
      <c r="I2746" s="3">
        <v>1113681</v>
      </c>
      <c r="J2746" s="3">
        <v>890944.8</v>
      </c>
      <c r="K2746" s="3">
        <v>180452.35999999996</v>
      </c>
      <c r="L2746" t="s">
        <v>18</v>
      </c>
      <c r="M2746">
        <v>5</v>
      </c>
    </row>
    <row r="2747" spans="1:13" x14ac:dyDescent="0.25">
      <c r="A2747">
        <v>2746</v>
      </c>
      <c r="B2747" s="1">
        <v>43447</v>
      </c>
      <c r="C2747" s="1">
        <v>43549</v>
      </c>
      <c r="D2747" t="s">
        <v>22</v>
      </c>
      <c r="E2747" t="s">
        <v>28</v>
      </c>
      <c r="F2747" s="2">
        <v>192</v>
      </c>
      <c r="G2747" t="s">
        <v>12</v>
      </c>
      <c r="H2747" s="3">
        <v>42825.599999999999</v>
      </c>
      <c r="I2747" s="3">
        <v>1131425</v>
      </c>
      <c r="J2747" s="3">
        <v>905140</v>
      </c>
      <c r="K2747" s="3">
        <v>183459.4</v>
      </c>
      <c r="L2747" t="s">
        <v>16</v>
      </c>
      <c r="M2747">
        <v>4.0999999999999996</v>
      </c>
    </row>
    <row r="2748" spans="1:13" x14ac:dyDescent="0.25">
      <c r="A2748">
        <v>2747</v>
      </c>
      <c r="B2748" s="1">
        <v>43448</v>
      </c>
      <c r="C2748" s="1">
        <v>43555</v>
      </c>
      <c r="D2748" t="s">
        <v>23</v>
      </c>
      <c r="E2748" t="s">
        <v>29</v>
      </c>
      <c r="F2748" s="2">
        <v>197</v>
      </c>
      <c r="G2748" t="s">
        <v>12</v>
      </c>
      <c r="H2748" s="3">
        <v>54590</v>
      </c>
      <c r="I2748" s="3">
        <v>1421685</v>
      </c>
      <c r="J2748" s="3">
        <v>1137348</v>
      </c>
      <c r="K2748" s="3">
        <v>229747</v>
      </c>
      <c r="L2748" t="s">
        <v>16</v>
      </c>
      <c r="M2748">
        <v>3.6</v>
      </c>
    </row>
    <row r="2749" spans="1:13" x14ac:dyDescent="0.25">
      <c r="A2749">
        <v>2748</v>
      </c>
      <c r="B2749" s="1">
        <v>43449</v>
      </c>
      <c r="C2749" s="1">
        <v>43578</v>
      </c>
      <c r="D2749" t="s">
        <v>21</v>
      </c>
      <c r="E2749" t="s">
        <v>24</v>
      </c>
      <c r="F2749" s="2">
        <v>197</v>
      </c>
      <c r="G2749" t="s">
        <v>12</v>
      </c>
      <c r="H2749" s="3">
        <v>61790</v>
      </c>
      <c r="I2749" s="3">
        <v>1596285</v>
      </c>
      <c r="J2749" s="3">
        <v>1277028</v>
      </c>
      <c r="K2749" s="3">
        <v>257467</v>
      </c>
      <c r="L2749" t="s">
        <v>16</v>
      </c>
      <c r="M2749">
        <v>4.5</v>
      </c>
    </row>
    <row r="2750" spans="1:13" x14ac:dyDescent="0.25">
      <c r="A2750">
        <v>2749</v>
      </c>
      <c r="B2750" s="1">
        <v>43451</v>
      </c>
      <c r="C2750" s="1">
        <v>43559</v>
      </c>
      <c r="D2750" t="s">
        <v>22</v>
      </c>
      <c r="E2750" t="s">
        <v>13</v>
      </c>
      <c r="F2750" s="2">
        <v>177</v>
      </c>
      <c r="G2750" t="s">
        <v>12</v>
      </c>
      <c r="H2750" s="3">
        <v>56248.24</v>
      </c>
      <c r="I2750" s="3">
        <v>1457541</v>
      </c>
      <c r="J2750" s="3">
        <v>1166032.8</v>
      </c>
      <c r="K2750" s="3">
        <v>235259.95999999996</v>
      </c>
      <c r="L2750" t="s">
        <v>18</v>
      </c>
      <c r="M2750">
        <v>3.7</v>
      </c>
    </row>
    <row r="2751" spans="1:13" x14ac:dyDescent="0.25">
      <c r="A2751">
        <v>2750</v>
      </c>
      <c r="B2751" s="1">
        <v>43453</v>
      </c>
      <c r="C2751" s="1">
        <v>43550</v>
      </c>
      <c r="D2751" t="s">
        <v>23</v>
      </c>
      <c r="E2751" t="s">
        <v>27</v>
      </c>
      <c r="F2751" s="2">
        <v>274</v>
      </c>
      <c r="G2751" t="s">
        <v>12</v>
      </c>
      <c r="H2751" s="3">
        <v>89156.64</v>
      </c>
      <c r="I2751" s="3">
        <v>2280551</v>
      </c>
      <c r="J2751" s="3">
        <v>1824440.8</v>
      </c>
      <c r="K2751" s="3">
        <v>366953.55999999994</v>
      </c>
      <c r="L2751" t="s">
        <v>16</v>
      </c>
      <c r="M2751">
        <v>4.0999999999999996</v>
      </c>
    </row>
    <row r="2752" spans="1:13" x14ac:dyDescent="0.25">
      <c r="A2752">
        <v>2751</v>
      </c>
      <c r="B2752" s="1">
        <v>43453</v>
      </c>
      <c r="C2752" s="1">
        <v>43544</v>
      </c>
      <c r="D2752" t="s">
        <v>21</v>
      </c>
      <c r="E2752" t="s">
        <v>24</v>
      </c>
      <c r="F2752" s="2">
        <v>209</v>
      </c>
      <c r="G2752" t="s">
        <v>12</v>
      </c>
      <c r="H2752" s="3">
        <v>55382.2</v>
      </c>
      <c r="I2752" s="3">
        <v>1445165</v>
      </c>
      <c r="J2752" s="3">
        <v>1156132</v>
      </c>
      <c r="K2752" s="3">
        <v>233650.8</v>
      </c>
      <c r="L2752" t="s">
        <v>17</v>
      </c>
      <c r="M2752">
        <v>3.9</v>
      </c>
    </row>
    <row r="2753" spans="1:13" x14ac:dyDescent="0.25">
      <c r="A2753">
        <v>2752</v>
      </c>
      <c r="B2753" s="1">
        <v>43454</v>
      </c>
      <c r="C2753" s="1">
        <v>43563</v>
      </c>
      <c r="D2753" t="s">
        <v>20</v>
      </c>
      <c r="E2753" t="s">
        <v>26</v>
      </c>
      <c r="F2753" s="2">
        <v>44</v>
      </c>
      <c r="G2753" t="s">
        <v>11</v>
      </c>
      <c r="H2753" s="3">
        <v>8827.36</v>
      </c>
      <c r="I2753" s="3">
        <v>284069</v>
      </c>
      <c r="J2753" s="3">
        <v>227255.2</v>
      </c>
      <c r="K2753" s="3">
        <v>47986.439999999988</v>
      </c>
      <c r="L2753" t="s">
        <v>16</v>
      </c>
      <c r="M2753">
        <v>5</v>
      </c>
    </row>
    <row r="2754" spans="1:13" x14ac:dyDescent="0.25">
      <c r="A2754">
        <v>2753</v>
      </c>
      <c r="B2754" s="1">
        <v>43455</v>
      </c>
      <c r="C2754" s="1">
        <v>43570</v>
      </c>
      <c r="D2754" t="s">
        <v>21</v>
      </c>
      <c r="E2754" t="s">
        <v>25</v>
      </c>
      <c r="F2754" s="2">
        <v>91</v>
      </c>
      <c r="G2754" t="s">
        <v>12</v>
      </c>
      <c r="H2754" s="3">
        <v>30003.8</v>
      </c>
      <c r="I2754" s="3">
        <v>812730</v>
      </c>
      <c r="J2754" s="3">
        <v>650184</v>
      </c>
      <c r="K2754" s="3">
        <v>132542.20000000001</v>
      </c>
      <c r="L2754" t="s">
        <v>19</v>
      </c>
      <c r="M2754">
        <v>3.8</v>
      </c>
    </row>
    <row r="2755" spans="1:13" x14ac:dyDescent="0.25">
      <c r="A2755">
        <v>2754</v>
      </c>
      <c r="B2755" s="1">
        <v>43459</v>
      </c>
      <c r="C2755" s="1">
        <v>43587</v>
      </c>
      <c r="D2755" t="s">
        <v>23</v>
      </c>
      <c r="E2755" t="s">
        <v>25</v>
      </c>
      <c r="F2755" s="2">
        <v>77</v>
      </c>
      <c r="G2755" t="s">
        <v>11</v>
      </c>
      <c r="H2755" s="3">
        <v>27697.4</v>
      </c>
      <c r="I2755" s="3">
        <v>746245</v>
      </c>
      <c r="J2755" s="3">
        <v>596996</v>
      </c>
      <c r="K2755" s="3">
        <v>121551.6</v>
      </c>
      <c r="L2755" t="s">
        <v>17</v>
      </c>
      <c r="M2755">
        <v>4.9000000000000004</v>
      </c>
    </row>
    <row r="2756" spans="1:13" x14ac:dyDescent="0.25">
      <c r="A2756">
        <v>2755</v>
      </c>
      <c r="B2756" s="1">
        <v>43464</v>
      </c>
      <c r="C2756" s="1">
        <v>43583</v>
      </c>
      <c r="D2756" t="s">
        <v>22</v>
      </c>
      <c r="E2756" t="s">
        <v>13</v>
      </c>
      <c r="F2756" s="2">
        <v>259</v>
      </c>
      <c r="G2756" t="s">
        <v>12</v>
      </c>
      <c r="H2756" s="3">
        <v>41502.519999999997</v>
      </c>
      <c r="I2756" s="3">
        <v>1096973</v>
      </c>
      <c r="J2756" s="3">
        <v>877578.4</v>
      </c>
      <c r="K2756" s="3">
        <v>177892.08</v>
      </c>
      <c r="L2756" t="s">
        <v>16</v>
      </c>
      <c r="M2756">
        <v>3.8</v>
      </c>
    </row>
    <row r="2757" spans="1:13" x14ac:dyDescent="0.25">
      <c r="A2757">
        <v>2756</v>
      </c>
      <c r="B2757" s="1">
        <v>43465</v>
      </c>
      <c r="C2757" s="1">
        <v>43590</v>
      </c>
      <c r="D2757" t="s">
        <v>23</v>
      </c>
      <c r="E2757" t="s">
        <v>29</v>
      </c>
      <c r="F2757" s="2">
        <v>64</v>
      </c>
      <c r="G2757" t="s">
        <v>11</v>
      </c>
      <c r="H2757" s="3">
        <v>18548.12</v>
      </c>
      <c r="I2757" s="3">
        <v>520313</v>
      </c>
      <c r="J2757" s="3">
        <v>416250.4</v>
      </c>
      <c r="K2757" s="3">
        <v>85514.479999999981</v>
      </c>
      <c r="L2757" t="s">
        <v>15</v>
      </c>
      <c r="M2757">
        <v>4.0999999999999996</v>
      </c>
    </row>
    <row r="2758" spans="1:13" x14ac:dyDescent="0.25">
      <c r="A2758">
        <v>2757</v>
      </c>
      <c r="B2758" s="1">
        <v>43472</v>
      </c>
      <c r="C2758" s="1">
        <v>43575</v>
      </c>
      <c r="D2758" t="s">
        <v>22</v>
      </c>
      <c r="E2758" t="s">
        <v>25</v>
      </c>
      <c r="F2758" s="2">
        <v>193</v>
      </c>
      <c r="G2758" t="s">
        <v>12</v>
      </c>
      <c r="H2758" s="3">
        <v>35276.76</v>
      </c>
      <c r="I2758" s="3">
        <v>940829</v>
      </c>
      <c r="J2758" s="3">
        <v>752663.2</v>
      </c>
      <c r="K2758" s="3">
        <v>152889.04000000004</v>
      </c>
      <c r="L2758" t="s">
        <v>15</v>
      </c>
      <c r="M2758">
        <v>4.0999999999999996</v>
      </c>
    </row>
    <row r="2759" spans="1:13" x14ac:dyDescent="0.25">
      <c r="A2759">
        <v>2758</v>
      </c>
      <c r="B2759" s="1">
        <v>43474</v>
      </c>
      <c r="C2759" s="1">
        <v>43572</v>
      </c>
      <c r="D2759" t="s">
        <v>20</v>
      </c>
      <c r="E2759" t="s">
        <v>27</v>
      </c>
      <c r="F2759" s="2">
        <v>87</v>
      </c>
      <c r="G2759" t="s">
        <v>11</v>
      </c>
      <c r="H2759" s="3">
        <v>27192.84</v>
      </c>
      <c r="I2759" s="3">
        <v>746081</v>
      </c>
      <c r="J2759" s="3">
        <v>596864.80000000005</v>
      </c>
      <c r="K2759" s="3">
        <v>122023.35999999996</v>
      </c>
      <c r="L2759" t="s">
        <v>14</v>
      </c>
      <c r="M2759">
        <v>4.5</v>
      </c>
    </row>
    <row r="2760" spans="1:13" x14ac:dyDescent="0.25">
      <c r="A2760">
        <v>2759</v>
      </c>
      <c r="B2760" s="1">
        <v>43475</v>
      </c>
      <c r="C2760" s="1">
        <v>43585</v>
      </c>
      <c r="D2760" t="s">
        <v>23</v>
      </c>
      <c r="E2760" t="s">
        <v>13</v>
      </c>
      <c r="F2760" s="2">
        <v>227</v>
      </c>
      <c r="G2760" t="s">
        <v>12</v>
      </c>
      <c r="H2760" s="3">
        <v>42214.32</v>
      </c>
      <c r="I2760" s="3">
        <v>1114343</v>
      </c>
      <c r="J2760" s="3">
        <v>891474.4</v>
      </c>
      <c r="K2760" s="3">
        <v>180654.27999999997</v>
      </c>
      <c r="L2760" t="s">
        <v>18</v>
      </c>
      <c r="M2760">
        <v>4.0999999999999996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3E7F79-137E-47F8-86BE-587A669B9AAB}">
  <dimension ref="A3:B8"/>
  <sheetViews>
    <sheetView workbookViewId="0">
      <selection activeCell="A4" sqref="A4"/>
    </sheetView>
  </sheetViews>
  <sheetFormatPr baseColWidth="10" defaultRowHeight="15" x14ac:dyDescent="0.25"/>
  <cols>
    <col min="1" max="1" width="17.5703125" bestFit="1" customWidth="1"/>
    <col min="2" max="2" width="17.28515625" bestFit="1" customWidth="1"/>
  </cols>
  <sheetData>
    <row r="3" spans="1:2" x14ac:dyDescent="0.25">
      <c r="A3" s="4" t="s">
        <v>32</v>
      </c>
      <c r="B3" t="s">
        <v>38</v>
      </c>
    </row>
    <row r="4" spans="1:2" x14ac:dyDescent="0.25">
      <c r="A4" s="5" t="s">
        <v>34</v>
      </c>
      <c r="B4" s="3">
        <v>71681850.960000023</v>
      </c>
    </row>
    <row r="5" spans="1:2" x14ac:dyDescent="0.25">
      <c r="A5" s="5" t="s">
        <v>35</v>
      </c>
      <c r="B5" s="3">
        <v>209635220.24000034</v>
      </c>
    </row>
    <row r="6" spans="1:2" x14ac:dyDescent="0.25">
      <c r="A6" s="5" t="s">
        <v>36</v>
      </c>
      <c r="B6" s="3">
        <v>202444737.99999979</v>
      </c>
    </row>
    <row r="7" spans="1:2" x14ac:dyDescent="0.25">
      <c r="A7" s="5" t="s">
        <v>37</v>
      </c>
      <c r="B7" s="3">
        <v>70798237.560000047</v>
      </c>
    </row>
    <row r="8" spans="1:2" x14ac:dyDescent="0.25">
      <c r="A8" s="5" t="s">
        <v>33</v>
      </c>
      <c r="B8" s="3">
        <v>554560046.76000023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Hoja2</vt:lpstr>
      <vt:lpstr>Operaciones</vt:lpstr>
      <vt:lpstr>grafico de lineas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FedeG</dc:creator>
  <cp:lastModifiedBy>Jhiro Cisneros Sánchez</cp:lastModifiedBy>
  <dcterms:created xsi:type="dcterms:W3CDTF">2020-05-19T17:43:14Z</dcterms:created>
  <dcterms:modified xsi:type="dcterms:W3CDTF">2025-03-04T04:27:02Z</dcterms:modified>
</cp:coreProperties>
</file>