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Python\excel_udemy\"/>
    </mc:Choice>
  </mc:AlternateContent>
  <xr:revisionPtr revIDLastSave="0" documentId="13_ncr:1_{489DFC5E-675F-4E86-ABED-DF49352B6640}" xr6:coauthVersionLast="41" xr6:coauthVersionMax="41" xr10:uidLastSave="{00000000-0000-0000-0000-000000000000}"/>
  <bookViews>
    <workbookView xWindow="-120" yWindow="-120" windowWidth="20730" windowHeight="11760" firstSheet="2" activeTab="6" xr2:uid="{9D67AE39-54B8-48D8-A429-A310226CEC13}"/>
  </bookViews>
  <sheets>
    <sheet name="relleno personalizado" sheetId="1" r:id="rId1"/>
    <sheet name="proyecto1" sheetId="3" r:id="rId2"/>
    <sheet name="formatos_proyecto2" sheetId="4" r:id="rId3"/>
    <sheet name="operaciones_func" sheetId="5" r:id="rId4"/>
    <sheet name="proyecto3" sheetId="6" r:id="rId5"/>
    <sheet name="Absolutos y relativos" sheetId="7" r:id="rId6"/>
    <sheet name="Hoja9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5" i="9"/>
  <c r="J10" i="9" s="1" a="1"/>
  <c r="J10" i="9" s="1"/>
  <c r="L19" i="7" a="1"/>
  <c r="L19" i="7" s="1"/>
  <c r="H15" i="7" a="1"/>
  <c r="H15" i="7" s="1"/>
  <c r="Q5" i="7"/>
  <c r="O10" i="7"/>
  <c r="O9" i="7"/>
  <c r="O8" i="7"/>
  <c r="Q4" i="7"/>
  <c r="N7" i="7"/>
  <c r="M5" i="7"/>
  <c r="N5" i="7"/>
  <c r="O5" i="7"/>
  <c r="O6" i="7" s="1"/>
  <c r="O7" i="7" s="1"/>
  <c r="O11" i="7" s="1"/>
  <c r="P5" i="7"/>
  <c r="Q6" i="7"/>
  <c r="Q7" i="7" s="1"/>
  <c r="Q8" i="7" s="1"/>
  <c r="Q9" i="7" s="1"/>
  <c r="Q10" i="7" s="1"/>
  <c r="Q11" i="7" s="1"/>
  <c r="R5" i="7"/>
  <c r="R6" i="7" s="1"/>
  <c r="R7" i="7" s="1"/>
  <c r="R8" i="7" s="1"/>
  <c r="R9" i="7" s="1"/>
  <c r="R10" i="7" s="1"/>
  <c r="R11" i="7" s="1"/>
  <c r="M6" i="7"/>
  <c r="M7" i="7" s="1"/>
  <c r="M8" i="7" s="1"/>
  <c r="M9" i="7" s="1"/>
  <c r="M10" i="7" s="1"/>
  <c r="M11" i="7" s="1"/>
  <c r="N6" i="7"/>
  <c r="N8" i="7" s="1"/>
  <c r="N9" i="7" s="1"/>
  <c r="N10" i="7" s="1"/>
  <c r="N11" i="7" s="1"/>
  <c r="P6" i="7"/>
  <c r="P7" i="7"/>
  <c r="P8" i="7" s="1"/>
  <c r="P9" i="7" s="1"/>
  <c r="P10" i="7" s="1"/>
  <c r="P11" i="7" s="1"/>
  <c r="N4" i="7"/>
  <c r="O4" i="7"/>
  <c r="P4" i="7"/>
  <c r="R4" i="7"/>
  <c r="M4" i="7"/>
  <c r="J2" i="7"/>
  <c r="L2" i="7" s="1"/>
  <c r="K2" i="7"/>
  <c r="J3" i="7"/>
  <c r="K3" i="7"/>
  <c r="L3" i="7"/>
  <c r="J4" i="7"/>
  <c r="L4" i="7" s="1"/>
  <c r="K4" i="7"/>
  <c r="J5" i="7"/>
  <c r="K5" i="7"/>
  <c r="L5" i="7"/>
  <c r="J6" i="7"/>
  <c r="K6" i="7"/>
  <c r="L6" i="7"/>
  <c r="J7" i="7"/>
  <c r="L7" i="7" s="1"/>
  <c r="K7" i="7"/>
  <c r="J8" i="7"/>
  <c r="K8" i="7"/>
  <c r="L8" i="7"/>
  <c r="J9" i="7"/>
  <c r="K9" i="7"/>
  <c r="L9" i="7"/>
  <c r="J10" i="7"/>
  <c r="K10" i="7"/>
  <c r="L10" i="7"/>
  <c r="J11" i="7"/>
  <c r="K11" i="7"/>
  <c r="L11" i="7"/>
  <c r="I3" i="7"/>
  <c r="I4" i="7"/>
  <c r="I5" i="7"/>
  <c r="I6" i="7"/>
  <c r="I7" i="7"/>
  <c r="I8" i="7"/>
  <c r="I9" i="7"/>
  <c r="I10" i="7"/>
  <c r="I11" i="7"/>
  <c r="I2" i="7"/>
  <c r="F3" i="7"/>
  <c r="F4" i="7"/>
  <c r="F5" i="7"/>
  <c r="F6" i="7"/>
  <c r="F7" i="7"/>
  <c r="F8" i="7"/>
  <c r="F9" i="7"/>
  <c r="F10" i="7"/>
  <c r="F11" i="7"/>
  <c r="F2" i="7"/>
  <c r="C11" i="7"/>
  <c r="C3" i="7"/>
  <c r="C4" i="7"/>
  <c r="C5" i="7"/>
  <c r="C6" i="7"/>
  <c r="C7" i="7"/>
  <c r="C8" i="7"/>
  <c r="C9" i="7"/>
  <c r="C10" i="7"/>
  <c r="C2" i="7"/>
  <c r="J15" i="6"/>
  <c r="K15" i="6"/>
  <c r="L15" i="6"/>
  <c r="M15" i="6"/>
  <c r="F15" i="6"/>
  <c r="G15" i="6"/>
  <c r="H15" i="6"/>
  <c r="I15" i="6"/>
  <c r="E15" i="6"/>
  <c r="N14" i="6"/>
  <c r="N4" i="6"/>
  <c r="N5" i="6"/>
  <c r="N6" i="6"/>
  <c r="N7" i="6"/>
  <c r="N8" i="6"/>
  <c r="N9" i="6"/>
  <c r="N10" i="6"/>
  <c r="N11" i="6"/>
  <c r="N12" i="6"/>
  <c r="N13" i="6"/>
  <c r="N3" i="6"/>
  <c r="M4" i="6"/>
  <c r="M5" i="6"/>
  <c r="M6" i="6"/>
  <c r="M7" i="6"/>
  <c r="M8" i="6"/>
  <c r="M9" i="6"/>
  <c r="M10" i="6"/>
  <c r="M11" i="6"/>
  <c r="M12" i="6"/>
  <c r="M13" i="6"/>
  <c r="M14" i="6"/>
  <c r="M3" i="6"/>
  <c r="L4" i="6"/>
  <c r="L5" i="6"/>
  <c r="L6" i="6"/>
  <c r="L7" i="6"/>
  <c r="L8" i="6"/>
  <c r="L9" i="6"/>
  <c r="L10" i="6"/>
  <c r="L11" i="6"/>
  <c r="L12" i="6"/>
  <c r="L13" i="6"/>
  <c r="L14" i="6"/>
  <c r="L3" i="6"/>
  <c r="K4" i="6"/>
  <c r="K5" i="6"/>
  <c r="K6" i="6"/>
  <c r="K7" i="6"/>
  <c r="K8" i="6"/>
  <c r="K9" i="6"/>
  <c r="K10" i="6"/>
  <c r="K11" i="6"/>
  <c r="K12" i="6"/>
  <c r="K13" i="6"/>
  <c r="K14" i="6"/>
  <c r="K3" i="6"/>
  <c r="J5" i="6"/>
  <c r="J4" i="6"/>
  <c r="J6" i="6"/>
  <c r="J7" i="6"/>
  <c r="J8" i="6"/>
  <c r="J9" i="6"/>
  <c r="J10" i="6"/>
  <c r="J11" i="6"/>
  <c r="J12" i="6"/>
  <c r="J13" i="6"/>
  <c r="J14" i="6"/>
  <c r="J3" i="6"/>
  <c r="H13" i="5"/>
  <c r="D13" i="5"/>
  <c r="E13" i="5"/>
  <c r="F13" i="5"/>
  <c r="G13" i="5"/>
  <c r="C13" i="5"/>
  <c r="H8" i="5"/>
  <c r="H9" i="5"/>
  <c r="H10" i="5"/>
  <c r="H11" i="5"/>
  <c r="H12" i="5"/>
  <c r="H7" i="5"/>
  <c r="J6" i="9" l="1"/>
  <c r="H17" i="7"/>
  <c r="H16" i="7"/>
</calcChain>
</file>

<file path=xl/sharedStrings.xml><?xml version="1.0" encoding="utf-8"?>
<sst xmlns="http://schemas.openxmlformats.org/spreadsheetml/2006/main" count="250" uniqueCount="162">
  <si>
    <t>Aula</t>
  </si>
  <si>
    <t>Profesor</t>
  </si>
  <si>
    <t>Planta</t>
  </si>
  <si>
    <t>Capacidad</t>
  </si>
  <si>
    <t>TV</t>
  </si>
  <si>
    <t>Ordenador</t>
  </si>
  <si>
    <t>Pantalla</t>
  </si>
  <si>
    <t>A01</t>
  </si>
  <si>
    <t>A02</t>
  </si>
  <si>
    <t>A03</t>
  </si>
  <si>
    <t>A04</t>
  </si>
  <si>
    <t>B10</t>
  </si>
  <si>
    <t>B11</t>
  </si>
  <si>
    <t>B12</t>
  </si>
  <si>
    <t>C25</t>
  </si>
  <si>
    <t>C26</t>
  </si>
  <si>
    <t>C27</t>
  </si>
  <si>
    <t>Si</t>
  </si>
  <si>
    <t>No</t>
  </si>
  <si>
    <t>Iker</t>
  </si>
  <si>
    <t>Jhiro</t>
  </si>
  <si>
    <t>Yofré</t>
  </si>
  <si>
    <t>Lily</t>
  </si>
  <si>
    <t>Jair</t>
  </si>
  <si>
    <t>Dachi</t>
  </si>
  <si>
    <t>Manuel</t>
  </si>
  <si>
    <t>Virna</t>
  </si>
  <si>
    <t>Henry</t>
  </si>
  <si>
    <t>Victor</t>
  </si>
  <si>
    <t>Nombre</t>
  </si>
  <si>
    <t>Apellido</t>
  </si>
  <si>
    <t>Nombre Completo</t>
  </si>
  <si>
    <t>Cisneros</t>
  </si>
  <si>
    <t>Sanchez</t>
  </si>
  <si>
    <t>Yofre</t>
  </si>
  <si>
    <t>Jhiro Cisneros</t>
  </si>
  <si>
    <t>Lily Sanchez</t>
  </si>
  <si>
    <t>Yofre Cisneros</t>
  </si>
  <si>
    <t>Iker Sanchez</t>
  </si>
  <si>
    <t>interpreta la concatenación de dos celdas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</si>
  <si>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</si>
  <si>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</si>
  <si>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</si>
  <si>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</si>
  <si>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</si>
  <si>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</si>
  <si>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</si>
  <si>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</si>
  <si>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</si>
  <si>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</si>
  <si>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</si>
  <si>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</si>
  <si>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</si>
  <si>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</si>
  <si>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</si>
  <si>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</si>
  <si>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</si>
  <si>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</si>
  <si>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</si>
  <si>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</si>
  <si>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</si>
  <si>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</si>
  <si>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</si>
  <si>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</si>
  <si>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copiar formato, está en la sección de portapapeles</t>
  </si>
  <si>
    <t>Calificación de Servicios</t>
  </si>
  <si>
    <t>Clientes Activos</t>
  </si>
  <si>
    <t>Beneficios Netos</t>
  </si>
  <si>
    <t>Costos Fijos</t>
  </si>
  <si>
    <t>Ventas</t>
  </si>
  <si>
    <t>COPIAR</t>
  </si>
  <si>
    <t>Resultados del Año Fiscal 2023</t>
  </si>
  <si>
    <t xml:space="preserve"> </t>
  </si>
  <si>
    <t>HOTEL GARAY - Lavandería</t>
  </si>
  <si>
    <t>Artículos Lavados</t>
  </si>
  <si>
    <t>Lunes</t>
  </si>
  <si>
    <t>Martes</t>
  </si>
  <si>
    <t>Miércoles</t>
  </si>
  <si>
    <t>Jueves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</si>
  <si>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</si>
  <si>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</si>
  <si>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</si>
  <si>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</si>
  <si>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</si>
  <si>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</si>
  <si>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</si>
  <si>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</si>
  <si>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Producto</t>
  </si>
  <si>
    <t>Precio de Venta [unidad]</t>
  </si>
  <si>
    <t>Costo Reposición [unidad]</t>
  </si>
  <si>
    <t>Unidad</t>
  </si>
  <si>
    <t>Total Ventas [un.]</t>
  </si>
  <si>
    <t>Total Ingresos [$]</t>
  </si>
  <si>
    <t>Total Costos [$]</t>
  </si>
  <si>
    <t>Total Beneficios [$]</t>
  </si>
  <si>
    <t>Promedio Ventas [un.]</t>
  </si>
  <si>
    <t>Cemento</t>
  </si>
  <si>
    <t>Bolsas 50 kg</t>
  </si>
  <si>
    <t>Arena</t>
  </si>
  <si>
    <t>Tonelada</t>
  </si>
  <si>
    <t>Ladrillos</t>
  </si>
  <si>
    <t>Pintura Blanca</t>
  </si>
  <si>
    <t>Litros</t>
  </si>
  <si>
    <t>Pintura Colores Varios</t>
  </si>
  <si>
    <t>Lámina Policarbonato</t>
  </si>
  <si>
    <t>Membrana</t>
  </si>
  <si>
    <t>Escalera</t>
  </si>
  <si>
    <t>Pincel</t>
  </si>
  <si>
    <t>Rodillos</t>
  </si>
  <si>
    <t>Barra Acero</t>
  </si>
  <si>
    <t>Barra Madera</t>
  </si>
  <si>
    <t>Ingresos = Unidades x Precio de venta por unidad</t>
  </si>
  <si>
    <t>Producto que generó mayores beneficios en la semana:</t>
  </si>
  <si>
    <t>Costos = Unidades x Costo de reposición por unidad</t>
  </si>
  <si>
    <t>Producto que generó menores beneficios en la semana:</t>
  </si>
  <si>
    <t>Beneficios = Ingresos - Costos</t>
  </si>
  <si>
    <t>Día con mayores ventas:</t>
  </si>
  <si>
    <t>Día con menores ventas:</t>
  </si>
  <si>
    <t>R/R</t>
  </si>
  <si>
    <t>A/A</t>
  </si>
  <si>
    <t>A/R</t>
  </si>
  <si>
    <t>R/A</t>
  </si>
  <si>
    <t>para operaciones matriciales selecciona todo el rango en el que llega el resultado esperado</t>
  </si>
  <si>
    <t>aparte de que para introducir los resultados o datos es: ctrl+shift+enter y no solo enter</t>
  </si>
  <si>
    <t>Asignatura: Análisis de Datos</t>
  </si>
  <si>
    <t>Año: 20X1</t>
  </si>
  <si>
    <t>Estudiante</t>
  </si>
  <si>
    <t>Examen 1</t>
  </si>
  <si>
    <t>Examen 2</t>
  </si>
  <si>
    <t>Examen 3</t>
  </si>
  <si>
    <t>Trabajo Práctico 1</t>
  </si>
  <si>
    <t>Trabajo Práctico 2</t>
  </si>
  <si>
    <t>Exposición Oral</t>
  </si>
  <si>
    <t>Califación Final</t>
  </si>
  <si>
    <t>Calificación Promedio Estudiantes que Desaprobaron:</t>
  </si>
  <si>
    <t>Lista en Orden Alfabético</t>
  </si>
  <si>
    <t>Chávez</t>
  </si>
  <si>
    <t>Antuna</t>
  </si>
  <si>
    <t>Romo</t>
  </si>
  <si>
    <t>Talavera</t>
  </si>
  <si>
    <t>Lozano</t>
  </si>
  <si>
    <t>Alvarado</t>
  </si>
  <si>
    <t>Gallardo</t>
  </si>
  <si>
    <t>Ochoa</t>
  </si>
  <si>
    <t>Pineda</t>
  </si>
  <si>
    <t>Araujo</t>
  </si>
  <si>
    <t>Funes</t>
  </si>
  <si>
    <t>Sánchez</t>
  </si>
  <si>
    <t>Herrera</t>
  </si>
  <si>
    <t>Jiménez</t>
  </si>
  <si>
    <t>Guardado</t>
  </si>
  <si>
    <t>Montes</t>
  </si>
  <si>
    <t>Rodríguez</t>
  </si>
  <si>
    <t>Moreno</t>
  </si>
  <si>
    <t>Gutiérrez</t>
  </si>
  <si>
    <t>Álvarez</t>
  </si>
  <si>
    <t>Vega</t>
  </si>
  <si>
    <t>Martín</t>
  </si>
  <si>
    <t>Vásquez</t>
  </si>
  <si>
    <t>Cota</t>
  </si>
  <si>
    <t>Arteaga</t>
  </si>
  <si>
    <t>No aprobraron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</si>
</sst>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6"/>
      <color rgb="FFFF0000"/>
      <name val="Algerian"/>
      <family val="5"/>
    </font>
    <font>
      <b/>
      <sz val="11"/>
      <color theme="0"/>
      <name val="Century Gothic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entury Gothic"/>
      <family val="2"/>
    </font>
    <font>
      <sz val="2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5568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3" fillId="0" borderId="0" xfId="0" applyFont="1"/>
    <xf numFmtId="0" fontId="5" fillId="0" borderId="0" xfId="0" applyFont="1"/>
    <xf numFmtId="0" fontId="6" fillId="4" borderId="0" xfId="0" applyFont="1" applyFill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4" fillId="6" borderId="1" xfId="0" applyFont="1" applyFill="1" applyBorder="1"/>
    <xf numFmtId="0" fontId="0" fillId="7" borderId="1" xfId="0" applyFill="1" applyBorder="1"/>
    <xf numFmtId="0" fontId="8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9" fillId="4" borderId="0" xfId="0" applyFont="1" applyFill="1" applyAlignment="1">
      <alignment horizontal="center" vertical="center"/>
    </xf>
    <xf numFmtId="2" fontId="10" fillId="0" borderId="0" xfId="0" applyNumberFormat="1" applyFont="1"/>
    <xf numFmtId="2" fontId="0" fillId="0" borderId="0" xfId="0" applyNumberFormat="1"/>
    <xf numFmtId="2" fontId="4" fillId="0" borderId="1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" fontId="0" fillId="0" borderId="1" xfId="0" applyNumberFormat="1" applyBorder="1"/>
    <xf numFmtId="2" fontId="0" fillId="0" borderId="1" xfId="0" applyNumberFormat="1" applyBorder="1"/>
    <xf numFmtId="1" fontId="0" fillId="0" borderId="0" xfId="0" applyNumberFormat="1"/>
    <xf numFmtId="1" fontId="4" fillId="0" borderId="1" xfId="0" applyNumberFormat="1" applyFont="1" applyBorder="1"/>
    <xf numFmtId="1" fontId="4" fillId="0" borderId="7" xfId="0" applyNumberFormat="1" applyFont="1" applyBorder="1"/>
    <xf numFmtId="1" fontId="0" fillId="0" borderId="9" xfId="0" applyNumberFormat="1" applyBorder="1"/>
    <xf numFmtId="1" fontId="4" fillId="0" borderId="8" xfId="0" applyNumberFormat="1" applyFont="1" applyBorder="1"/>
    <xf numFmtId="1" fontId="4" fillId="0" borderId="10" xfId="0" applyNumberFormat="1" applyFont="1" applyBorder="1"/>
    <xf numFmtId="0" fontId="4" fillId="8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" fontId="0" fillId="6" borderId="1" xfId="1" applyNumberFormat="1" applyFont="1" applyFill="1" applyBorder="1"/>
    <xf numFmtId="1" fontId="0" fillId="6" borderId="1" xfId="0" applyNumberFormat="1" applyFill="1" applyBorder="1"/>
    <xf numFmtId="1" fontId="0" fillId="0" borderId="1" xfId="1" applyNumberFormat="1" applyFont="1" applyBorder="1"/>
    <xf numFmtId="1" fontId="0" fillId="3" borderId="1" xfId="0" applyNumberFormat="1" applyFill="1" applyBorder="1"/>
    <xf numFmtId="1" fontId="4" fillId="3" borderId="1" xfId="1" applyNumberFormat="1" applyFont="1" applyFill="1" applyBorder="1"/>
    <xf numFmtId="0" fontId="4" fillId="8" borderId="0" xfId="0" applyFont="1" applyFill="1"/>
    <xf numFmtId="0" fontId="0" fillId="8" borderId="0" xfId="0" applyFill="1"/>
    <xf numFmtId="0" fontId="4" fillId="8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0" xfId="0" applyFill="1" applyBorder="1"/>
    <xf numFmtId="0" fontId="0" fillId="0" borderId="12" xfId="0" applyFill="1" applyBorder="1"/>
    <xf numFmtId="0" fontId="0" fillId="0" borderId="5" xfId="0" applyBorder="1"/>
    <xf numFmtId="0" fontId="0" fillId="0" borderId="13" xfId="0" applyBorder="1"/>
    <xf numFmtId="0" fontId="0" fillId="0" borderId="9" xfId="0" applyBorder="1"/>
    <xf numFmtId="0" fontId="2" fillId="9" borderId="0" xfId="0" applyFont="1" applyFill="1" applyAlignment="1">
      <alignment horizontal="center"/>
    </xf>
    <xf numFmtId="0" fontId="0" fillId="0" borderId="0" xfId="0" applyAlignment="1">
      <alignment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/>
    <xf numFmtId="0" fontId="0" fillId="0" borderId="1" xfId="0" applyBorder="1" applyAlignment="1">
      <alignment horizontal="center" wrapText="1"/>
    </xf>
    <xf numFmtId="1" fontId="4" fillId="11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0</xdr:row>
      <xdr:rowOff>170930</xdr:rowOff>
    </xdr:from>
    <xdr:to>
      <xdr:col>15</xdr:col>
      <xdr:colOff>408594</xdr:colOff>
      <xdr:row>22</xdr:row>
      <xdr:rowOff>56344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436CDD-D666-431E-9137-5A1E9D4E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50" y="170930"/>
          <a:ext cx="4961544" cy="40764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28573</xdr:colOff>
      <xdr:row>0</xdr:row>
      <xdr:rowOff>47625</xdr:rowOff>
    </xdr:from>
    <xdr:to>
      <xdr:col>12</xdr:col>
      <xdr:colOff>19050</xdr:colOff>
      <xdr:row>2</xdr:row>
      <xdr:rowOff>104775</xdr:rowOff>
    </xdr:to>
    <xdr:sp macro="" textlink="">
      <xdr:nvSpPr>
        <xdr:cNvPr id="2" name="Bocadillo: rectángulo 1">
          <a:extLst>
            <a:ext uri="{FF2B5EF4-FFF2-40B4-BE49-F238E27FC236}">
              <a16:creationId xmlns:a16="http://schemas.microsoft.com/office/drawing/2014/main" id="{7062712D-4E30-43BB-BEF8-BE46023EBD8F}"/>
            </a:ext>
          </a:extLst>
        </xdr:cNvPr>
        <xdr:cNvSpPr/>
      </xdr:nvSpPr>
      <xdr:spPr>
        <a:xfrm>
          <a:off x="7553323" y="47625"/>
          <a:ext cx="1857377" cy="438150"/>
        </a:xfrm>
        <a:prstGeom prst="wedgeRectCallout">
          <a:avLst/>
        </a:prstGeom>
        <a:solidFill>
          <a:schemeClr val="accent2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solidFill>
                <a:schemeClr val="bg1"/>
              </a:solidFill>
            </a:rPr>
            <a:t>Si tienes Excel 365, 2021 o posterior: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45FA-17CA-4007-84DC-F3DA64ADC2D9}">
  <dimension ref="A1:I30"/>
  <sheetViews>
    <sheetView topLeftCell="A14" workbookViewId="0">
      <selection activeCell="J27" sqref="J27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x14ac:dyDescent="0.25">
      <c r="A2" s="3" t="s">
        <v>7</v>
      </c>
      <c r="B2" s="3" t="s">
        <v>19</v>
      </c>
      <c r="C2" s="3">
        <v>1</v>
      </c>
      <c r="D2" s="3">
        <v>28</v>
      </c>
      <c r="E2" s="3" t="s">
        <v>17</v>
      </c>
      <c r="F2" s="3" t="s">
        <v>18</v>
      </c>
      <c r="G2" s="3" t="s">
        <v>18</v>
      </c>
      <c r="I2" t="s">
        <v>7</v>
      </c>
    </row>
    <row r="3" spans="1:9" x14ac:dyDescent="0.25">
      <c r="A3" s="3" t="s">
        <v>8</v>
      </c>
      <c r="B3" s="3" t="s">
        <v>20</v>
      </c>
      <c r="C3" s="3">
        <v>1</v>
      </c>
      <c r="D3" s="3">
        <v>29</v>
      </c>
      <c r="E3" s="3" t="s">
        <v>17</v>
      </c>
      <c r="F3" s="3" t="s">
        <v>18</v>
      </c>
      <c r="G3" s="3" t="s">
        <v>17</v>
      </c>
      <c r="I3" t="s">
        <v>8</v>
      </c>
    </row>
    <row r="4" spans="1:9" x14ac:dyDescent="0.25">
      <c r="A4" s="3" t="s">
        <v>9</v>
      </c>
      <c r="B4" s="3" t="s">
        <v>21</v>
      </c>
      <c r="C4" s="3">
        <v>1</v>
      </c>
      <c r="D4" s="3">
        <v>31</v>
      </c>
      <c r="E4" s="3" t="s">
        <v>18</v>
      </c>
      <c r="F4" s="3" t="s">
        <v>18</v>
      </c>
      <c r="G4" s="3" t="s">
        <v>17</v>
      </c>
      <c r="I4" t="s">
        <v>9</v>
      </c>
    </row>
    <row r="5" spans="1:9" x14ac:dyDescent="0.25">
      <c r="A5" s="3" t="s">
        <v>10</v>
      </c>
      <c r="B5" s="3" t="s">
        <v>22</v>
      </c>
      <c r="C5" s="3">
        <v>1</v>
      </c>
      <c r="D5" s="3">
        <v>30</v>
      </c>
      <c r="E5" s="3" t="s">
        <v>17</v>
      </c>
      <c r="F5" s="3" t="s">
        <v>18</v>
      </c>
      <c r="G5" s="3" t="s">
        <v>17</v>
      </c>
      <c r="I5" t="s">
        <v>10</v>
      </c>
    </row>
    <row r="6" spans="1:9" x14ac:dyDescent="0.25">
      <c r="A6" s="3" t="s">
        <v>11</v>
      </c>
      <c r="B6" s="3" t="s">
        <v>23</v>
      </c>
      <c r="C6" s="3">
        <v>2</v>
      </c>
      <c r="D6" s="3">
        <v>17</v>
      </c>
      <c r="E6" s="3" t="s">
        <v>18</v>
      </c>
      <c r="F6" s="3" t="s">
        <v>17</v>
      </c>
      <c r="G6" s="3" t="s">
        <v>17</v>
      </c>
      <c r="I6" t="s">
        <v>11</v>
      </c>
    </row>
    <row r="7" spans="1:9" x14ac:dyDescent="0.25">
      <c r="A7" s="3" t="s">
        <v>12</v>
      </c>
      <c r="B7" s="3" t="s">
        <v>24</v>
      </c>
      <c r="C7" s="3">
        <v>2</v>
      </c>
      <c r="D7" s="3">
        <v>19</v>
      </c>
      <c r="E7" s="3" t="s">
        <v>18</v>
      </c>
      <c r="F7" s="3" t="s">
        <v>17</v>
      </c>
      <c r="G7" s="3" t="s">
        <v>18</v>
      </c>
      <c r="I7" t="s">
        <v>12</v>
      </c>
    </row>
    <row r="8" spans="1:9" x14ac:dyDescent="0.25">
      <c r="A8" s="3" t="s">
        <v>13</v>
      </c>
      <c r="B8" s="3" t="s">
        <v>25</v>
      </c>
      <c r="C8" s="3">
        <v>2</v>
      </c>
      <c r="D8" s="3">
        <v>22</v>
      </c>
      <c r="E8" s="3" t="s">
        <v>18</v>
      </c>
      <c r="F8" s="3" t="s">
        <v>17</v>
      </c>
      <c r="G8" s="3" t="s">
        <v>17</v>
      </c>
      <c r="I8" t="s">
        <v>13</v>
      </c>
    </row>
    <row r="9" spans="1:9" x14ac:dyDescent="0.25">
      <c r="A9" s="3" t="s">
        <v>14</v>
      </c>
      <c r="B9" s="3" t="s">
        <v>26</v>
      </c>
      <c r="C9" s="3">
        <v>3</v>
      </c>
      <c r="D9" s="3">
        <v>40</v>
      </c>
      <c r="E9" s="3" t="s">
        <v>17</v>
      </c>
      <c r="F9" s="3" t="s">
        <v>17</v>
      </c>
      <c r="G9" s="3" t="s">
        <v>18</v>
      </c>
      <c r="I9" t="s">
        <v>14</v>
      </c>
    </row>
    <row r="10" spans="1:9" x14ac:dyDescent="0.25">
      <c r="A10" s="3" t="s">
        <v>15</v>
      </c>
      <c r="B10" s="3" t="s">
        <v>27</v>
      </c>
      <c r="C10" s="3">
        <v>3</v>
      </c>
      <c r="D10" s="3">
        <v>22</v>
      </c>
      <c r="E10" s="3" t="s">
        <v>17</v>
      </c>
      <c r="F10" s="3" t="s">
        <v>17</v>
      </c>
      <c r="G10" s="3" t="s">
        <v>18</v>
      </c>
      <c r="I10" t="s">
        <v>15</v>
      </c>
    </row>
    <row r="11" spans="1:9" x14ac:dyDescent="0.25">
      <c r="A11" s="3" t="s">
        <v>16</v>
      </c>
      <c r="B11" s="3" t="s">
        <v>28</v>
      </c>
      <c r="C11" s="3">
        <v>3</v>
      </c>
      <c r="D11" s="3">
        <v>20</v>
      </c>
      <c r="E11" s="3" t="s">
        <v>17</v>
      </c>
      <c r="F11" s="3" t="s">
        <v>17</v>
      </c>
      <c r="G11" s="3" t="s">
        <v>18</v>
      </c>
      <c r="I11" t="s">
        <v>16</v>
      </c>
    </row>
    <row r="14" spans="1:9" x14ac:dyDescent="0.25">
      <c r="A14" s="2" t="s">
        <v>29</v>
      </c>
      <c r="B14" s="2" t="s">
        <v>30</v>
      </c>
      <c r="C14" s="2" t="s">
        <v>31</v>
      </c>
    </row>
    <row r="15" spans="1:9" x14ac:dyDescent="0.25">
      <c r="A15" s="3" t="s">
        <v>20</v>
      </c>
      <c r="B15" s="3" t="s">
        <v>32</v>
      </c>
      <c r="C15" s="3" t="s">
        <v>35</v>
      </c>
      <c r="E15" t="s">
        <v>39</v>
      </c>
    </row>
    <row r="16" spans="1:9" x14ac:dyDescent="0.25">
      <c r="A16" s="3" t="s">
        <v>22</v>
      </c>
      <c r="B16" s="3" t="s">
        <v>33</v>
      </c>
      <c r="C16" s="3" t="s">
        <v>36</v>
      </c>
    </row>
    <row r="17" spans="1:8" x14ac:dyDescent="0.25">
      <c r="A17" s="3" t="s">
        <v>34</v>
      </c>
      <c r="B17" s="3" t="s">
        <v>32</v>
      </c>
      <c r="C17" s="3" t="s">
        <v>37</v>
      </c>
    </row>
    <row r="18" spans="1:8" x14ac:dyDescent="0.25">
      <c r="A18" s="3" t="s">
        <v>19</v>
      </c>
      <c r="B18" s="3" t="s">
        <v>33</v>
      </c>
      <c r="C18" s="3" t="s">
        <v>38</v>
      </c>
    </row>
    <row r="21" spans="1:8" x14ac:dyDescent="0.25">
      <c r="A21" s="3">
        <v>1</v>
      </c>
      <c r="B21" s="3">
        <v>2</v>
      </c>
      <c r="C21" s="3">
        <v>6</v>
      </c>
      <c r="D21" s="3">
        <v>3</v>
      </c>
      <c r="E21" s="3">
        <v>3</v>
      </c>
      <c r="F21" s="3">
        <v>3</v>
      </c>
      <c r="G21" s="3">
        <v>11</v>
      </c>
      <c r="H21" s="3">
        <v>11</v>
      </c>
    </row>
    <row r="22" spans="1:8" x14ac:dyDescent="0.25">
      <c r="A22" s="3">
        <v>1</v>
      </c>
      <c r="B22" s="3">
        <v>2</v>
      </c>
      <c r="C22" s="3">
        <v>6</v>
      </c>
      <c r="D22" s="3">
        <v>3</v>
      </c>
      <c r="E22" s="3">
        <v>3</v>
      </c>
      <c r="F22" s="3">
        <v>3</v>
      </c>
      <c r="G22" s="3">
        <v>11</v>
      </c>
      <c r="H22" s="3">
        <v>11</v>
      </c>
    </row>
    <row r="23" spans="1:8" x14ac:dyDescent="0.25">
      <c r="A23" s="3">
        <v>1</v>
      </c>
      <c r="B23" s="3">
        <v>2</v>
      </c>
      <c r="C23" s="3">
        <v>6</v>
      </c>
      <c r="D23" s="3">
        <v>3</v>
      </c>
      <c r="E23" s="3">
        <v>7</v>
      </c>
      <c r="F23" s="3">
        <v>7</v>
      </c>
      <c r="G23" s="3">
        <v>3</v>
      </c>
      <c r="H23" s="3">
        <v>3100</v>
      </c>
    </row>
    <row r="24" spans="1:8" x14ac:dyDescent="0.25">
      <c r="A24" s="3">
        <v>1</v>
      </c>
      <c r="B24" s="3">
        <v>2</v>
      </c>
      <c r="C24" s="3">
        <v>6</v>
      </c>
      <c r="D24" s="3">
        <v>3</v>
      </c>
      <c r="E24" s="3">
        <v>7</v>
      </c>
      <c r="F24" s="3">
        <v>7</v>
      </c>
      <c r="G24" s="3">
        <v>3</v>
      </c>
      <c r="H24" s="3">
        <v>3100</v>
      </c>
    </row>
    <row r="25" spans="1:8" x14ac:dyDescent="0.25">
      <c r="A25" s="3">
        <v>1</v>
      </c>
      <c r="B25" s="3">
        <v>2</v>
      </c>
      <c r="C25" s="3">
        <v>6</v>
      </c>
      <c r="D25" s="3">
        <v>3</v>
      </c>
      <c r="E25" s="3">
        <v>7</v>
      </c>
      <c r="F25" s="3">
        <v>7</v>
      </c>
      <c r="G25" s="3">
        <v>3</v>
      </c>
      <c r="H25" s="3">
        <v>3</v>
      </c>
    </row>
    <row r="26" spans="1:8" x14ac:dyDescent="0.25">
      <c r="A26" s="3">
        <v>1</v>
      </c>
      <c r="B26" s="3">
        <v>2</v>
      </c>
      <c r="C26" s="3">
        <v>6</v>
      </c>
      <c r="D26" s="3">
        <v>3</v>
      </c>
      <c r="E26" s="3">
        <v>3</v>
      </c>
      <c r="F26" s="3">
        <v>10</v>
      </c>
      <c r="G26" s="3">
        <v>10</v>
      </c>
      <c r="H26" s="3">
        <v>10</v>
      </c>
    </row>
    <row r="27" spans="1:8" x14ac:dyDescent="0.25">
      <c r="A27" s="3">
        <v>1</v>
      </c>
      <c r="B27" s="3">
        <v>2</v>
      </c>
      <c r="C27" s="3">
        <v>6</v>
      </c>
      <c r="D27" s="3">
        <v>3</v>
      </c>
      <c r="E27" s="3">
        <v>3</v>
      </c>
      <c r="F27" s="3">
        <v>10</v>
      </c>
      <c r="G27" s="3">
        <v>10</v>
      </c>
      <c r="H27" s="3">
        <v>10</v>
      </c>
    </row>
    <row r="28" spans="1:8" x14ac:dyDescent="0.25">
      <c r="A28" s="3">
        <v>1</v>
      </c>
      <c r="B28" s="3">
        <v>2</v>
      </c>
      <c r="C28" s="3">
        <v>6</v>
      </c>
      <c r="D28" s="3">
        <v>314</v>
      </c>
      <c r="E28" s="3">
        <v>314</v>
      </c>
      <c r="F28" s="3">
        <v>10</v>
      </c>
      <c r="G28" s="3">
        <v>10</v>
      </c>
      <c r="H28" s="3">
        <v>10</v>
      </c>
    </row>
    <row r="29" spans="1:8" x14ac:dyDescent="0.25">
      <c r="A29" s="3">
        <v>1</v>
      </c>
      <c r="B29" s="3">
        <v>2</v>
      </c>
      <c r="C29" s="3">
        <v>6</v>
      </c>
      <c r="D29" s="3">
        <v>314</v>
      </c>
      <c r="E29" s="3">
        <v>314</v>
      </c>
      <c r="F29" s="3">
        <v>10</v>
      </c>
      <c r="G29" s="3">
        <v>10</v>
      </c>
      <c r="H29" s="3">
        <v>10</v>
      </c>
    </row>
    <row r="30" spans="1:8" x14ac:dyDescent="0.25">
      <c r="A30" s="3">
        <v>1</v>
      </c>
      <c r="B30" s="3">
        <v>2</v>
      </c>
      <c r="C30" s="3">
        <v>6</v>
      </c>
      <c r="D30" s="3">
        <v>314</v>
      </c>
      <c r="E30" s="3">
        <v>314</v>
      </c>
      <c r="F30" s="3">
        <v>10</v>
      </c>
      <c r="G30" s="3">
        <v>10</v>
      </c>
      <c r="H30" s="3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028A-9E68-4072-998F-0FFB8B17B9E0}">
  <dimension ref="A1:AF13"/>
  <sheetViews>
    <sheetView workbookViewId="0">
      <selection activeCell="Z15" sqref="Z15"/>
    </sheetView>
  </sheetViews>
  <sheetFormatPr baseColWidth="10" defaultRowHeight="15" x14ac:dyDescent="0.25"/>
  <sheetData>
    <row r="1" spans="1:32" x14ac:dyDescent="0.25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</row>
    <row r="2" spans="1:32" x14ac:dyDescent="0.25">
      <c r="A2" s="3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3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5"/>
    </row>
    <row r="4" spans="1:32" x14ac:dyDescent="0.25">
      <c r="A4" s="3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s="3" t="s">
        <v>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5"/>
    </row>
    <row r="6" spans="1:32" x14ac:dyDescent="0.25">
      <c r="A6" s="3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3" t="s">
        <v>45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5"/>
    </row>
    <row r="8" spans="1:32" x14ac:dyDescent="0.25">
      <c r="A8" s="3" t="s">
        <v>46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s="3" t="s">
        <v>47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3" t="s">
        <v>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/>
    </row>
    <row r="11" spans="1:32" x14ac:dyDescent="0.25">
      <c r="A11" s="3" t="s">
        <v>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A12" s="3" t="s">
        <v>50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5"/>
    </row>
    <row r="13" spans="1:32" x14ac:dyDescent="0.25">
      <c r="A13" s="3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A4BC-6C16-4682-9E30-0840971FE4CD}">
  <dimension ref="A1:N12"/>
  <sheetViews>
    <sheetView workbookViewId="0">
      <selection activeCell="F10" sqref="F10"/>
    </sheetView>
  </sheetViews>
  <sheetFormatPr baseColWidth="10" defaultRowHeight="15" x14ac:dyDescent="0.25"/>
  <cols>
    <col min="1" max="1" width="12.42578125" bestFit="1" customWidth="1"/>
    <col min="2" max="2" width="33.42578125" bestFit="1" customWidth="1"/>
    <col min="3" max="3" width="13.140625" bestFit="1" customWidth="1"/>
    <col min="4" max="4" width="11.7109375" bestFit="1" customWidth="1"/>
    <col min="5" max="6" width="11.140625" bestFit="1" customWidth="1"/>
    <col min="7" max="7" width="10.85546875" bestFit="1" customWidth="1"/>
    <col min="8" max="8" width="14.7109375" bestFit="1" customWidth="1"/>
    <col min="9" max="9" width="19.7109375" bestFit="1" customWidth="1"/>
    <col min="10" max="10" width="16.28515625" bestFit="1" customWidth="1"/>
    <col min="11" max="11" width="20" bestFit="1" customWidth="1"/>
    <col min="12" max="12" width="18.85546875" bestFit="1" customWidth="1"/>
    <col min="14" max="14" width="93.7109375" bestFit="1" customWidth="1"/>
  </cols>
  <sheetData>
    <row r="1" spans="1:14" ht="21.75" x14ac:dyDescent="0.35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N1" s="7" t="s">
        <v>64</v>
      </c>
    </row>
    <row r="3" spans="1:14" x14ac:dyDescent="0.25">
      <c r="A3" s="8" t="s">
        <v>70</v>
      </c>
    </row>
    <row r="5" spans="1:14" x14ac:dyDescent="0.25">
      <c r="B5" s="17" t="s">
        <v>71</v>
      </c>
      <c r="C5" s="17"/>
      <c r="D5" s="17"/>
      <c r="E5" s="17"/>
    </row>
    <row r="6" spans="1:14" x14ac:dyDescent="0.25">
      <c r="B6" s="17"/>
      <c r="C6" s="17"/>
      <c r="D6" s="17"/>
      <c r="E6" s="17"/>
    </row>
    <row r="7" spans="1:14" ht="18.75" x14ac:dyDescent="0.3">
      <c r="A7" s="11"/>
      <c r="B7" s="12"/>
      <c r="C7" s="15">
        <v>2021</v>
      </c>
      <c r="D7" s="15">
        <v>2022</v>
      </c>
      <c r="E7" s="15">
        <v>2023</v>
      </c>
    </row>
    <row r="8" spans="1:14" ht="15.75" x14ac:dyDescent="0.25">
      <c r="B8" s="16" t="s">
        <v>69</v>
      </c>
      <c r="C8" s="14">
        <v>4000</v>
      </c>
      <c r="D8" s="14">
        <v>5000</v>
      </c>
      <c r="E8" s="14">
        <v>5500</v>
      </c>
    </row>
    <row r="9" spans="1:14" ht="15.75" x14ac:dyDescent="0.25">
      <c r="B9" s="16" t="s">
        <v>68</v>
      </c>
      <c r="C9" s="14">
        <v>2700</v>
      </c>
      <c r="D9" s="14">
        <v>2900</v>
      </c>
      <c r="E9" s="14">
        <v>2950</v>
      </c>
    </row>
    <row r="10" spans="1:14" ht="15.75" x14ac:dyDescent="0.25">
      <c r="B10" s="16" t="s">
        <v>67</v>
      </c>
      <c r="C10" s="14">
        <v>750</v>
      </c>
      <c r="D10" s="14">
        <v>800</v>
      </c>
      <c r="E10" s="14">
        <v>100</v>
      </c>
    </row>
    <row r="11" spans="1:14" ht="15.75" x14ac:dyDescent="0.25">
      <c r="B11" s="16" t="s">
        <v>66</v>
      </c>
      <c r="C11" s="14">
        <v>25</v>
      </c>
      <c r="D11" s="14">
        <v>32</v>
      </c>
      <c r="E11" s="14">
        <v>37</v>
      </c>
    </row>
    <row r="12" spans="1:14" ht="15.75" x14ac:dyDescent="0.25">
      <c r="B12" s="16" t="s">
        <v>65</v>
      </c>
      <c r="C12" s="14">
        <v>4.5999999999999996</v>
      </c>
      <c r="D12" s="14">
        <v>4.7</v>
      </c>
      <c r="E12" s="14">
        <v>4.4000000000000004</v>
      </c>
    </row>
  </sheetData>
  <mergeCells count="1">
    <mergeCell ref="B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09FC-147F-4F50-BA96-D1C70487E70C}">
  <dimension ref="B3:H18"/>
  <sheetViews>
    <sheetView workbookViewId="0">
      <selection activeCell="H13" sqref="H13"/>
    </sheetView>
  </sheetViews>
  <sheetFormatPr baseColWidth="10" defaultRowHeight="15" x14ac:dyDescent="0.25"/>
  <cols>
    <col min="2" max="2" width="52.28515625" bestFit="1" customWidth="1"/>
  </cols>
  <sheetData>
    <row r="3" spans="2:8" ht="31.5" x14ac:dyDescent="0.5">
      <c r="B3" s="18" t="s">
        <v>73</v>
      </c>
      <c r="C3" s="18"/>
      <c r="D3" s="18"/>
      <c r="E3" s="18"/>
      <c r="F3" s="18"/>
      <c r="G3" s="19"/>
      <c r="H3" s="19"/>
    </row>
    <row r="4" spans="2:8" x14ac:dyDescent="0.25">
      <c r="B4" s="19"/>
      <c r="C4" s="19"/>
      <c r="D4" s="19"/>
      <c r="E4" s="19"/>
      <c r="F4" s="19"/>
      <c r="G4" s="19"/>
      <c r="H4" s="19"/>
    </row>
    <row r="5" spans="2:8" ht="15.75" thickBot="1" x14ac:dyDescent="0.3">
      <c r="B5" s="19"/>
      <c r="C5" s="19"/>
      <c r="D5" s="19"/>
      <c r="E5" s="19"/>
      <c r="F5" s="19"/>
      <c r="G5" s="19"/>
      <c r="H5" s="19"/>
    </row>
    <row r="6" spans="2:8" x14ac:dyDescent="0.25">
      <c r="B6" s="20" t="s">
        <v>74</v>
      </c>
      <c r="C6" s="20" t="s">
        <v>75</v>
      </c>
      <c r="D6" s="20" t="s">
        <v>76</v>
      </c>
      <c r="E6" s="20" t="s">
        <v>77</v>
      </c>
      <c r="F6" s="20" t="s">
        <v>78</v>
      </c>
      <c r="G6" s="20" t="s">
        <v>79</v>
      </c>
      <c r="H6" s="21" t="s">
        <v>80</v>
      </c>
    </row>
    <row r="7" spans="2:8" x14ac:dyDescent="0.25">
      <c r="B7" s="22" t="s">
        <v>81</v>
      </c>
      <c r="C7" s="23">
        <v>17</v>
      </c>
      <c r="D7" s="23">
        <v>11</v>
      </c>
      <c r="E7" s="23">
        <v>15</v>
      </c>
      <c r="F7" s="23">
        <v>10</v>
      </c>
      <c r="G7" s="23">
        <v>9</v>
      </c>
      <c r="H7" s="27">
        <f>SUM(C7:G7)</f>
        <v>62</v>
      </c>
    </row>
    <row r="8" spans="2:8" x14ac:dyDescent="0.25">
      <c r="B8" s="24" t="s">
        <v>82</v>
      </c>
      <c r="C8" s="23">
        <v>26</v>
      </c>
      <c r="D8" s="23">
        <v>24</v>
      </c>
      <c r="E8" s="23">
        <v>19</v>
      </c>
      <c r="F8" s="23">
        <v>11</v>
      </c>
      <c r="G8" s="23">
        <v>17</v>
      </c>
      <c r="H8" s="27">
        <f t="shared" ref="H8:H12" si="0">SUM(C8:G8)</f>
        <v>97</v>
      </c>
    </row>
    <row r="9" spans="2:8" x14ac:dyDescent="0.25">
      <c r="B9" s="24" t="s">
        <v>83</v>
      </c>
      <c r="C9" s="23">
        <v>25</v>
      </c>
      <c r="D9" s="23">
        <v>31</v>
      </c>
      <c r="E9" s="23">
        <v>22</v>
      </c>
      <c r="F9" s="23">
        <v>20</v>
      </c>
      <c r="G9" s="23">
        <v>21</v>
      </c>
      <c r="H9" s="27">
        <f t="shared" si="0"/>
        <v>119</v>
      </c>
    </row>
    <row r="10" spans="2:8" x14ac:dyDescent="0.25">
      <c r="B10" s="24" t="s">
        <v>84</v>
      </c>
      <c r="C10" s="23">
        <v>14</v>
      </c>
      <c r="D10" s="23">
        <v>11</v>
      </c>
      <c r="E10" s="23">
        <v>23</v>
      </c>
      <c r="F10" s="23">
        <v>23</v>
      </c>
      <c r="G10" s="23">
        <v>20</v>
      </c>
      <c r="H10" s="27">
        <f t="shared" si="0"/>
        <v>91</v>
      </c>
    </row>
    <row r="11" spans="2:8" x14ac:dyDescent="0.25">
      <c r="B11" s="24" t="s">
        <v>85</v>
      </c>
      <c r="C11" s="23">
        <v>7</v>
      </c>
      <c r="D11" s="23">
        <v>8</v>
      </c>
      <c r="E11" s="23">
        <v>11</v>
      </c>
      <c r="F11" s="23">
        <v>7</v>
      </c>
      <c r="G11" s="23">
        <v>5</v>
      </c>
      <c r="H11" s="27">
        <f t="shared" si="0"/>
        <v>38</v>
      </c>
    </row>
    <row r="12" spans="2:8" ht="15.75" thickBot="1" x14ac:dyDescent="0.3">
      <c r="B12" s="24" t="s">
        <v>86</v>
      </c>
      <c r="C12" s="28">
        <v>11</v>
      </c>
      <c r="D12" s="28">
        <v>18</v>
      </c>
      <c r="E12" s="28">
        <v>19</v>
      </c>
      <c r="F12" s="28">
        <v>10</v>
      </c>
      <c r="G12" s="28">
        <v>7</v>
      </c>
      <c r="H12" s="27">
        <f t="shared" si="0"/>
        <v>65</v>
      </c>
    </row>
    <row r="13" spans="2:8" ht="16.5" thickTop="1" thickBot="1" x14ac:dyDescent="0.3">
      <c r="C13" s="29">
        <f>SUM(C7:C12)</f>
        <v>100</v>
      </c>
      <c r="D13" s="29">
        <f t="shared" ref="D13:G13" si="1">SUM(D7:D12)</f>
        <v>103</v>
      </c>
      <c r="E13" s="29">
        <f t="shared" si="1"/>
        <v>109</v>
      </c>
      <c r="F13" s="29">
        <f t="shared" si="1"/>
        <v>81</v>
      </c>
      <c r="G13" s="30">
        <f t="shared" si="1"/>
        <v>79</v>
      </c>
      <c r="H13" s="25">
        <f>SUM(H7:H12)</f>
        <v>472</v>
      </c>
    </row>
    <row r="14" spans="2:8" ht="15.75" thickTop="1" x14ac:dyDescent="0.25"/>
    <row r="18" spans="8:8" x14ac:dyDescent="0.25">
      <c r="H18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5354-83DD-4C7E-8130-3A2BC5C071BC}">
  <dimension ref="A1:N20"/>
  <sheetViews>
    <sheetView workbookViewId="0">
      <selection activeCell="O16" sqref="O16"/>
    </sheetView>
  </sheetViews>
  <sheetFormatPr baseColWidth="10" defaultRowHeight="15" x14ac:dyDescent="0.25"/>
  <sheetData>
    <row r="1" spans="1:14" x14ac:dyDescent="0.25">
      <c r="A1" s="31" t="s">
        <v>87</v>
      </c>
      <c r="B1" s="31" t="s">
        <v>88</v>
      </c>
      <c r="C1" s="31" t="s">
        <v>89</v>
      </c>
      <c r="D1" s="32" t="s">
        <v>90</v>
      </c>
      <c r="E1" s="31" t="s">
        <v>69</v>
      </c>
      <c r="F1" s="31"/>
      <c r="G1" s="31"/>
      <c r="H1" s="31"/>
      <c r="I1" s="31"/>
      <c r="J1" s="32" t="s">
        <v>91</v>
      </c>
      <c r="K1" s="31" t="s">
        <v>92</v>
      </c>
      <c r="L1" s="31" t="s">
        <v>93</v>
      </c>
      <c r="M1" s="31" t="s">
        <v>94</v>
      </c>
      <c r="N1" s="31" t="s">
        <v>95</v>
      </c>
    </row>
    <row r="2" spans="1:14" x14ac:dyDescent="0.25">
      <c r="A2" s="31"/>
      <c r="B2" s="31"/>
      <c r="C2" s="31"/>
      <c r="D2" s="33"/>
      <c r="E2" s="34" t="s">
        <v>75</v>
      </c>
      <c r="F2" s="34" t="s">
        <v>76</v>
      </c>
      <c r="G2" s="34" t="s">
        <v>77</v>
      </c>
      <c r="H2" s="34" t="s">
        <v>78</v>
      </c>
      <c r="I2" s="34" t="s">
        <v>79</v>
      </c>
      <c r="J2" s="33"/>
      <c r="K2" s="31"/>
      <c r="L2" s="31"/>
      <c r="M2" s="31"/>
      <c r="N2" s="31"/>
    </row>
    <row r="3" spans="1:14" x14ac:dyDescent="0.25">
      <c r="A3" s="13" t="s">
        <v>96</v>
      </c>
      <c r="B3" s="35">
        <v>15</v>
      </c>
      <c r="C3" s="35">
        <v>10</v>
      </c>
      <c r="D3" s="36" t="s">
        <v>97</v>
      </c>
      <c r="E3" s="23">
        <v>77</v>
      </c>
      <c r="F3" s="23">
        <v>64</v>
      </c>
      <c r="G3" s="23">
        <v>93</v>
      </c>
      <c r="H3" s="23">
        <v>83</v>
      </c>
      <c r="I3" s="23">
        <v>91</v>
      </c>
      <c r="J3" s="23">
        <f>SUM(E3:I3)</f>
        <v>408</v>
      </c>
      <c r="K3" s="37">
        <f>J3*B3</f>
        <v>6120</v>
      </c>
      <c r="L3" s="37">
        <f>J3*C3</f>
        <v>4080</v>
      </c>
      <c r="M3" s="37">
        <f>K3-L3</f>
        <v>2040</v>
      </c>
      <c r="N3" s="37">
        <f>AVERAGE(E3:I3)</f>
        <v>81.599999999999994</v>
      </c>
    </row>
    <row r="4" spans="1:14" x14ac:dyDescent="0.25">
      <c r="A4" s="13" t="s">
        <v>98</v>
      </c>
      <c r="B4" s="35">
        <v>50</v>
      </c>
      <c r="C4" s="35">
        <v>26</v>
      </c>
      <c r="D4" s="36" t="s">
        <v>99</v>
      </c>
      <c r="E4" s="23">
        <v>9</v>
      </c>
      <c r="F4" s="23">
        <v>15</v>
      </c>
      <c r="G4" s="23">
        <v>6</v>
      </c>
      <c r="H4" s="23">
        <v>6</v>
      </c>
      <c r="I4" s="23">
        <v>9</v>
      </c>
      <c r="J4" s="23">
        <f t="shared" ref="J4:J14" si="0">SUM(E4:I4)</f>
        <v>45</v>
      </c>
      <c r="K4" s="37">
        <f t="shared" ref="K4:K14" si="1">J4*B4</f>
        <v>2250</v>
      </c>
      <c r="L4" s="37">
        <f t="shared" ref="L4:L15" si="2">J4*C4</f>
        <v>1170</v>
      </c>
      <c r="M4" s="37">
        <f>K4-L4</f>
        <v>1080</v>
      </c>
      <c r="N4" s="37">
        <f t="shared" ref="N4:N14" si="3">AVERAGE(E4:I4)</f>
        <v>9</v>
      </c>
    </row>
    <row r="5" spans="1:14" x14ac:dyDescent="0.25">
      <c r="A5" s="13" t="s">
        <v>100</v>
      </c>
      <c r="B5" s="35">
        <v>2</v>
      </c>
      <c r="C5" s="35">
        <v>1</v>
      </c>
      <c r="D5" s="36" t="s">
        <v>90</v>
      </c>
      <c r="E5" s="23">
        <v>1226</v>
      </c>
      <c r="F5" s="23">
        <v>1112</v>
      </c>
      <c r="G5" s="23">
        <v>598</v>
      </c>
      <c r="H5" s="23">
        <v>1853</v>
      </c>
      <c r="I5" s="23">
        <v>1090</v>
      </c>
      <c r="J5" s="23">
        <f>SUM(E5:I5)</f>
        <v>5879</v>
      </c>
      <c r="K5" s="37">
        <f t="shared" si="1"/>
        <v>11758</v>
      </c>
      <c r="L5" s="37">
        <f t="shared" si="2"/>
        <v>5879</v>
      </c>
      <c r="M5" s="37">
        <f t="shared" ref="M4:M15" si="4">K5-L5</f>
        <v>5879</v>
      </c>
      <c r="N5" s="37">
        <f t="shared" si="3"/>
        <v>1175.8</v>
      </c>
    </row>
    <row r="6" spans="1:14" x14ac:dyDescent="0.25">
      <c r="A6" s="13" t="s">
        <v>101</v>
      </c>
      <c r="B6" s="35">
        <v>10</v>
      </c>
      <c r="C6" s="35">
        <v>7</v>
      </c>
      <c r="D6" s="36" t="s">
        <v>102</v>
      </c>
      <c r="E6" s="23">
        <v>76</v>
      </c>
      <c r="F6" s="23">
        <v>76</v>
      </c>
      <c r="G6" s="23">
        <v>52</v>
      </c>
      <c r="H6" s="23">
        <v>60</v>
      </c>
      <c r="I6" s="23">
        <v>73</v>
      </c>
      <c r="J6" s="23">
        <f t="shared" si="0"/>
        <v>337</v>
      </c>
      <c r="K6" s="37">
        <f t="shared" si="1"/>
        <v>3370</v>
      </c>
      <c r="L6" s="37">
        <f t="shared" si="2"/>
        <v>2359</v>
      </c>
      <c r="M6" s="37">
        <f t="shared" si="4"/>
        <v>1011</v>
      </c>
      <c r="N6" s="37">
        <f t="shared" si="3"/>
        <v>67.400000000000006</v>
      </c>
    </row>
    <row r="7" spans="1:14" x14ac:dyDescent="0.25">
      <c r="A7" s="13" t="s">
        <v>103</v>
      </c>
      <c r="B7" s="35">
        <v>18</v>
      </c>
      <c r="C7" s="35">
        <v>10</v>
      </c>
      <c r="D7" s="36" t="s">
        <v>102</v>
      </c>
      <c r="E7" s="23">
        <v>43</v>
      </c>
      <c r="F7" s="23">
        <v>47</v>
      </c>
      <c r="G7" s="23">
        <v>26</v>
      </c>
      <c r="H7" s="23">
        <v>48</v>
      </c>
      <c r="I7" s="23">
        <v>44</v>
      </c>
      <c r="J7" s="23">
        <f t="shared" si="0"/>
        <v>208</v>
      </c>
      <c r="K7" s="37">
        <f t="shared" si="1"/>
        <v>3744</v>
      </c>
      <c r="L7" s="37">
        <f t="shared" si="2"/>
        <v>2080</v>
      </c>
      <c r="M7" s="37">
        <f t="shared" si="4"/>
        <v>1664</v>
      </c>
      <c r="N7" s="37">
        <f t="shared" si="3"/>
        <v>41.6</v>
      </c>
    </row>
    <row r="8" spans="1:14" x14ac:dyDescent="0.25">
      <c r="A8" s="13" t="s">
        <v>104</v>
      </c>
      <c r="B8" s="35">
        <v>8</v>
      </c>
      <c r="C8" s="35">
        <v>4</v>
      </c>
      <c r="D8" s="36" t="s">
        <v>90</v>
      </c>
      <c r="E8" s="23">
        <v>25</v>
      </c>
      <c r="F8" s="23">
        <v>32</v>
      </c>
      <c r="G8" s="23">
        <v>17</v>
      </c>
      <c r="H8" s="23">
        <v>8</v>
      </c>
      <c r="I8" s="23">
        <v>27</v>
      </c>
      <c r="J8" s="23">
        <f t="shared" si="0"/>
        <v>109</v>
      </c>
      <c r="K8" s="37">
        <f t="shared" si="1"/>
        <v>872</v>
      </c>
      <c r="L8" s="37">
        <f t="shared" si="2"/>
        <v>436</v>
      </c>
      <c r="M8" s="37">
        <f t="shared" si="4"/>
        <v>436</v>
      </c>
      <c r="N8" s="37">
        <f t="shared" si="3"/>
        <v>21.8</v>
      </c>
    </row>
    <row r="9" spans="1:14" x14ac:dyDescent="0.25">
      <c r="A9" s="13" t="s">
        <v>105</v>
      </c>
      <c r="B9" s="35">
        <v>6</v>
      </c>
      <c r="C9" s="35">
        <v>4</v>
      </c>
      <c r="D9" s="36" t="s">
        <v>90</v>
      </c>
      <c r="E9" s="23">
        <v>4</v>
      </c>
      <c r="F9" s="23">
        <v>4</v>
      </c>
      <c r="G9" s="23">
        <v>1</v>
      </c>
      <c r="H9" s="23">
        <v>3</v>
      </c>
      <c r="I9" s="23">
        <v>0</v>
      </c>
      <c r="J9" s="23">
        <f t="shared" si="0"/>
        <v>12</v>
      </c>
      <c r="K9" s="37">
        <f t="shared" si="1"/>
        <v>72</v>
      </c>
      <c r="L9" s="37">
        <f t="shared" si="2"/>
        <v>48</v>
      </c>
      <c r="M9" s="37">
        <f t="shared" si="4"/>
        <v>24</v>
      </c>
      <c r="N9" s="37">
        <f t="shared" si="3"/>
        <v>2.4</v>
      </c>
    </row>
    <row r="10" spans="1:14" x14ac:dyDescent="0.25">
      <c r="A10" s="13" t="s">
        <v>106</v>
      </c>
      <c r="B10" s="35">
        <v>45</v>
      </c>
      <c r="C10" s="35">
        <v>36</v>
      </c>
      <c r="D10" s="36" t="s">
        <v>90</v>
      </c>
      <c r="E10" s="23">
        <v>3</v>
      </c>
      <c r="F10" s="23">
        <v>1</v>
      </c>
      <c r="G10" s="23">
        <v>0</v>
      </c>
      <c r="H10" s="23">
        <v>0</v>
      </c>
      <c r="I10" s="23">
        <v>1</v>
      </c>
      <c r="J10" s="23">
        <f t="shared" si="0"/>
        <v>5</v>
      </c>
      <c r="K10" s="37">
        <f t="shared" si="1"/>
        <v>225</v>
      </c>
      <c r="L10" s="37">
        <f t="shared" si="2"/>
        <v>180</v>
      </c>
      <c r="M10" s="37">
        <f t="shared" si="4"/>
        <v>45</v>
      </c>
      <c r="N10" s="37">
        <f t="shared" si="3"/>
        <v>1</v>
      </c>
    </row>
    <row r="11" spans="1:14" x14ac:dyDescent="0.25">
      <c r="A11" s="13" t="s">
        <v>107</v>
      </c>
      <c r="B11" s="35">
        <v>5</v>
      </c>
      <c r="C11" s="35">
        <v>3</v>
      </c>
      <c r="D11" s="36" t="s">
        <v>90</v>
      </c>
      <c r="E11" s="23">
        <v>10</v>
      </c>
      <c r="F11" s="23">
        <v>15</v>
      </c>
      <c r="G11" s="23">
        <v>8</v>
      </c>
      <c r="H11" s="23">
        <v>8</v>
      </c>
      <c r="I11" s="23">
        <v>5</v>
      </c>
      <c r="J11" s="23">
        <f t="shared" si="0"/>
        <v>46</v>
      </c>
      <c r="K11" s="37">
        <f t="shared" si="1"/>
        <v>230</v>
      </c>
      <c r="L11" s="37">
        <f t="shared" si="2"/>
        <v>138</v>
      </c>
      <c r="M11" s="37">
        <f t="shared" si="4"/>
        <v>92</v>
      </c>
      <c r="N11" s="37">
        <f t="shared" si="3"/>
        <v>9.1999999999999993</v>
      </c>
    </row>
    <row r="12" spans="1:14" x14ac:dyDescent="0.25">
      <c r="A12" s="13" t="s">
        <v>108</v>
      </c>
      <c r="B12" s="35">
        <v>7</v>
      </c>
      <c r="C12" s="35">
        <v>5</v>
      </c>
      <c r="D12" s="36" t="s">
        <v>90</v>
      </c>
      <c r="E12" s="23">
        <v>3</v>
      </c>
      <c r="F12" s="23">
        <v>3</v>
      </c>
      <c r="G12" s="23">
        <v>8</v>
      </c>
      <c r="H12" s="23">
        <v>4</v>
      </c>
      <c r="I12" s="23">
        <v>3</v>
      </c>
      <c r="J12" s="23">
        <f t="shared" si="0"/>
        <v>21</v>
      </c>
      <c r="K12" s="37">
        <f t="shared" si="1"/>
        <v>147</v>
      </c>
      <c r="L12" s="37">
        <f t="shared" si="2"/>
        <v>105</v>
      </c>
      <c r="M12" s="37">
        <f t="shared" si="4"/>
        <v>42</v>
      </c>
      <c r="N12" s="37">
        <f t="shared" si="3"/>
        <v>4.2</v>
      </c>
    </row>
    <row r="13" spans="1:14" x14ac:dyDescent="0.25">
      <c r="A13" s="13" t="s">
        <v>109</v>
      </c>
      <c r="B13" s="35">
        <v>4</v>
      </c>
      <c r="C13" s="35">
        <v>2</v>
      </c>
      <c r="D13" s="36" t="s">
        <v>90</v>
      </c>
      <c r="E13" s="23">
        <v>51</v>
      </c>
      <c r="F13" s="23">
        <v>63</v>
      </c>
      <c r="G13" s="23">
        <v>84</v>
      </c>
      <c r="H13" s="23">
        <v>55</v>
      </c>
      <c r="I13" s="23">
        <v>54</v>
      </c>
      <c r="J13" s="23">
        <f t="shared" si="0"/>
        <v>307</v>
      </c>
      <c r="K13" s="37">
        <f t="shared" si="1"/>
        <v>1228</v>
      </c>
      <c r="L13" s="37">
        <f t="shared" si="2"/>
        <v>614</v>
      </c>
      <c r="M13" s="37">
        <f t="shared" si="4"/>
        <v>614</v>
      </c>
      <c r="N13" s="37">
        <f t="shared" si="3"/>
        <v>61.4</v>
      </c>
    </row>
    <row r="14" spans="1:14" x14ac:dyDescent="0.25">
      <c r="A14" s="13" t="s">
        <v>110</v>
      </c>
      <c r="B14" s="35">
        <v>3</v>
      </c>
      <c r="C14" s="35">
        <v>2</v>
      </c>
      <c r="D14" s="36" t="s">
        <v>90</v>
      </c>
      <c r="E14" s="23">
        <v>125</v>
      </c>
      <c r="F14" s="23">
        <v>163</v>
      </c>
      <c r="G14" s="23">
        <v>155</v>
      </c>
      <c r="H14" s="23">
        <v>134</v>
      </c>
      <c r="I14" s="23">
        <v>125</v>
      </c>
      <c r="J14" s="23">
        <f t="shared" si="0"/>
        <v>702</v>
      </c>
      <c r="K14" s="37">
        <f t="shared" si="1"/>
        <v>2106</v>
      </c>
      <c r="L14" s="37">
        <f t="shared" si="2"/>
        <v>1404</v>
      </c>
      <c r="M14" s="37">
        <f t="shared" si="4"/>
        <v>702</v>
      </c>
      <c r="N14" s="37">
        <f>AVERAGE(E14:I14)</f>
        <v>140.4</v>
      </c>
    </row>
    <row r="15" spans="1:14" x14ac:dyDescent="0.25">
      <c r="A15" s="13" t="s">
        <v>80</v>
      </c>
      <c r="B15" s="38"/>
      <c r="C15" s="38"/>
      <c r="D15" s="38"/>
      <c r="E15" s="26">
        <f>SUM(E3:E14)</f>
        <v>1652</v>
      </c>
      <c r="F15" s="26">
        <f t="shared" ref="F15:I15" si="5">SUM(F3:F14)</f>
        <v>1595</v>
      </c>
      <c r="G15" s="26">
        <f t="shared" si="5"/>
        <v>1048</v>
      </c>
      <c r="H15" s="26">
        <f t="shared" si="5"/>
        <v>2262</v>
      </c>
      <c r="I15" s="26">
        <f t="shared" si="5"/>
        <v>1522</v>
      </c>
      <c r="J15" s="26">
        <f>SUM(J3:J14)</f>
        <v>8079</v>
      </c>
      <c r="K15" s="26">
        <f t="shared" ref="K15" si="6">SUM(K3:K14)</f>
        <v>32122</v>
      </c>
      <c r="L15" s="26">
        <f t="shared" ref="L15" si="7">SUM(L3:L14)</f>
        <v>18493</v>
      </c>
      <c r="M15" s="26">
        <f t="shared" ref="M15" si="8">SUM(M3:M14)</f>
        <v>13629</v>
      </c>
      <c r="N15" s="39"/>
    </row>
    <row r="17" spans="1:13" x14ac:dyDescent="0.25">
      <c r="A17" s="40" t="s">
        <v>111</v>
      </c>
      <c r="B17" s="41"/>
      <c r="C17" s="41"/>
      <c r="G17" s="42" t="s">
        <v>112</v>
      </c>
      <c r="H17" s="42"/>
      <c r="I17" s="42"/>
      <c r="J17" s="42"/>
      <c r="K17" s="42"/>
      <c r="L17" s="43" t="s">
        <v>100</v>
      </c>
      <c r="M17" s="43"/>
    </row>
    <row r="18" spans="1:13" x14ac:dyDescent="0.25">
      <c r="A18" s="40" t="s">
        <v>113</v>
      </c>
      <c r="B18" s="41"/>
      <c r="C18" s="41"/>
      <c r="G18" s="42" t="s">
        <v>114</v>
      </c>
      <c r="H18" s="42"/>
      <c r="I18" s="42"/>
      <c r="J18" s="42"/>
      <c r="K18" s="42"/>
      <c r="L18" s="43" t="s">
        <v>105</v>
      </c>
      <c r="M18" s="43"/>
    </row>
    <row r="19" spans="1:13" x14ac:dyDescent="0.25">
      <c r="A19" s="40" t="s">
        <v>115</v>
      </c>
      <c r="B19" s="41"/>
      <c r="C19" s="41"/>
      <c r="G19" s="42" t="s">
        <v>116</v>
      </c>
      <c r="H19" s="42"/>
      <c r="I19" s="42"/>
      <c r="J19" s="42"/>
      <c r="K19" s="42"/>
      <c r="L19" s="43" t="s">
        <v>78</v>
      </c>
      <c r="M19" s="43"/>
    </row>
    <row r="20" spans="1:13" x14ac:dyDescent="0.25">
      <c r="G20" s="42" t="s">
        <v>117</v>
      </c>
      <c r="H20" s="42"/>
      <c r="I20" s="42"/>
      <c r="J20" s="42"/>
      <c r="K20" s="42"/>
      <c r="L20" s="43" t="s">
        <v>77</v>
      </c>
      <c r="M20" s="43"/>
    </row>
  </sheetData>
  <mergeCells count="18">
    <mergeCell ref="G18:K18"/>
    <mergeCell ref="L18:M18"/>
    <mergeCell ref="G19:K19"/>
    <mergeCell ref="L19:M19"/>
    <mergeCell ref="G20:K20"/>
    <mergeCell ref="L20:M20"/>
    <mergeCell ref="K1:K2"/>
    <mergeCell ref="L1:L2"/>
    <mergeCell ref="M1:M2"/>
    <mergeCell ref="N1:N2"/>
    <mergeCell ref="G17:K17"/>
    <mergeCell ref="L17:M17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E15A-C357-43F3-B1FC-3631AE876A1D}">
  <dimension ref="A1:R19"/>
  <sheetViews>
    <sheetView topLeftCell="E1" workbookViewId="0">
      <selection activeCell="N21" sqref="N21"/>
    </sheetView>
  </sheetViews>
  <sheetFormatPr baseColWidth="10" defaultRowHeight="15" x14ac:dyDescent="0.25"/>
  <cols>
    <col min="6" max="6" width="11.85546875" bestFit="1" customWidth="1"/>
  </cols>
  <sheetData>
    <row r="1" spans="1:18" x14ac:dyDescent="0.25">
      <c r="A1" s="45" t="s">
        <v>118</v>
      </c>
      <c r="B1" s="45"/>
      <c r="C1" s="46"/>
      <c r="D1" s="48" t="s">
        <v>119</v>
      </c>
      <c r="E1" s="45"/>
      <c r="F1" s="46"/>
      <c r="G1" s="48" t="s">
        <v>120</v>
      </c>
      <c r="H1" s="45"/>
      <c r="I1" s="45"/>
      <c r="J1" s="11"/>
      <c r="K1" s="11"/>
      <c r="L1" s="47"/>
      <c r="M1" s="44" t="s">
        <v>121</v>
      </c>
      <c r="N1" s="44"/>
      <c r="O1" s="44"/>
    </row>
    <row r="2" spans="1:18" x14ac:dyDescent="0.25">
      <c r="A2" s="11">
        <v>1</v>
      </c>
      <c r="B2" s="11">
        <v>2</v>
      </c>
      <c r="C2" s="47">
        <f>A2+B2</f>
        <v>3</v>
      </c>
      <c r="D2" s="49">
        <v>1</v>
      </c>
      <c r="E2" s="11">
        <v>3</v>
      </c>
      <c r="F2" s="47">
        <f>$E$2*D2</f>
        <v>3</v>
      </c>
      <c r="G2" s="51">
        <v>1</v>
      </c>
      <c r="H2" s="50">
        <v>3</v>
      </c>
      <c r="I2" s="11">
        <f>G2*$H2</f>
        <v>3</v>
      </c>
      <c r="J2" s="11">
        <f t="shared" ref="J2:L11" si="0">H2*$H2</f>
        <v>9</v>
      </c>
      <c r="K2" s="11">
        <f t="shared" si="0"/>
        <v>9</v>
      </c>
      <c r="L2" s="47">
        <f t="shared" si="0"/>
        <v>27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</row>
    <row r="3" spans="1:18" x14ac:dyDescent="0.25">
      <c r="A3" s="11">
        <v>2</v>
      </c>
      <c r="B3" s="11">
        <v>4</v>
      </c>
      <c r="C3" s="47">
        <f t="shared" ref="C3:C11" si="1">A3+B3</f>
        <v>6</v>
      </c>
      <c r="D3" s="49">
        <v>2</v>
      </c>
      <c r="E3" s="11"/>
      <c r="F3" s="47">
        <f t="shared" ref="F3:F11" si="2">$E$2*D3</f>
        <v>6</v>
      </c>
      <c r="G3" s="49">
        <v>2</v>
      </c>
      <c r="H3" s="11">
        <v>6</v>
      </c>
      <c r="I3" s="11">
        <f t="shared" ref="I3:I11" si="3">G3*$H3</f>
        <v>12</v>
      </c>
      <c r="J3" s="11">
        <f t="shared" si="0"/>
        <v>36</v>
      </c>
      <c r="K3" s="11">
        <f t="shared" si="0"/>
        <v>72</v>
      </c>
      <c r="L3" s="47">
        <f t="shared" si="0"/>
        <v>216</v>
      </c>
      <c r="M3">
        <v>5</v>
      </c>
      <c r="N3">
        <v>10</v>
      </c>
      <c r="O3">
        <v>15</v>
      </c>
      <c r="P3">
        <v>20</v>
      </c>
      <c r="Q3">
        <v>25</v>
      </c>
      <c r="R3">
        <v>30</v>
      </c>
    </row>
    <row r="4" spans="1:18" x14ac:dyDescent="0.25">
      <c r="A4" s="11">
        <v>3</v>
      </c>
      <c r="B4" s="11">
        <v>6</v>
      </c>
      <c r="C4" s="47">
        <f t="shared" si="1"/>
        <v>9</v>
      </c>
      <c r="D4" s="49">
        <v>3</v>
      </c>
      <c r="E4" s="11"/>
      <c r="F4" s="47">
        <f t="shared" si="2"/>
        <v>9</v>
      </c>
      <c r="G4" s="51">
        <v>3</v>
      </c>
      <c r="H4" s="50">
        <v>9</v>
      </c>
      <c r="I4" s="11">
        <f t="shared" si="3"/>
        <v>27</v>
      </c>
      <c r="J4" s="11">
        <f t="shared" si="0"/>
        <v>81</v>
      </c>
      <c r="K4" s="11">
        <f t="shared" si="0"/>
        <v>243</v>
      </c>
      <c r="L4" s="47">
        <f t="shared" si="0"/>
        <v>729</v>
      </c>
      <c r="M4" s="50">
        <f>M$2*M3</f>
        <v>5</v>
      </c>
      <c r="N4" s="50">
        <f t="shared" ref="N4:R4" si="4">N$2*N3</f>
        <v>20</v>
      </c>
      <c r="O4" s="50">
        <f t="shared" si="4"/>
        <v>45</v>
      </c>
      <c r="P4" s="50">
        <f t="shared" si="4"/>
        <v>80</v>
      </c>
      <c r="Q4" s="50">
        <f>Q$2*Q3</f>
        <v>125</v>
      </c>
      <c r="R4" s="50">
        <f t="shared" si="4"/>
        <v>180</v>
      </c>
    </row>
    <row r="5" spans="1:18" x14ac:dyDescent="0.25">
      <c r="A5" s="11">
        <v>4</v>
      </c>
      <c r="B5" s="11">
        <v>8</v>
      </c>
      <c r="C5" s="47">
        <f t="shared" si="1"/>
        <v>12</v>
      </c>
      <c r="D5" s="49">
        <v>4</v>
      </c>
      <c r="E5" s="11"/>
      <c r="F5" s="47">
        <f t="shared" si="2"/>
        <v>12</v>
      </c>
      <c r="G5" s="49">
        <v>4</v>
      </c>
      <c r="H5" s="11">
        <v>12</v>
      </c>
      <c r="I5" s="11">
        <f t="shared" si="3"/>
        <v>48</v>
      </c>
      <c r="J5" s="11">
        <f t="shared" si="0"/>
        <v>144</v>
      </c>
      <c r="K5" s="11">
        <f t="shared" si="0"/>
        <v>576</v>
      </c>
      <c r="L5" s="47">
        <f t="shared" si="0"/>
        <v>1728</v>
      </c>
      <c r="M5" s="50">
        <f t="shared" ref="M5:M11" si="5">M$2*M4</f>
        <v>5</v>
      </c>
      <c r="N5" s="50">
        <f t="shared" ref="N5:N11" si="6">N$2*N4</f>
        <v>40</v>
      </c>
      <c r="O5" s="50">
        <f t="shared" ref="O5:O11" si="7">O$2*O4</f>
        <v>135</v>
      </c>
      <c r="P5" s="50">
        <f t="shared" ref="P5:P11" si="8">P$2*P4</f>
        <v>320</v>
      </c>
      <c r="Q5" s="50">
        <f>Q$2*Q4</f>
        <v>625</v>
      </c>
      <c r="R5" s="50">
        <f t="shared" ref="R5:R11" si="9">R$2*R4</f>
        <v>1080</v>
      </c>
    </row>
    <row r="6" spans="1:18" x14ac:dyDescent="0.25">
      <c r="A6" s="11">
        <v>5</v>
      </c>
      <c r="B6" s="11">
        <v>10</v>
      </c>
      <c r="C6" s="47">
        <f t="shared" si="1"/>
        <v>15</v>
      </c>
      <c r="D6" s="49">
        <v>5</v>
      </c>
      <c r="E6" s="11"/>
      <c r="F6" s="47">
        <f t="shared" si="2"/>
        <v>15</v>
      </c>
      <c r="G6" s="51">
        <v>5</v>
      </c>
      <c r="H6" s="50">
        <v>15</v>
      </c>
      <c r="I6" s="11">
        <f t="shared" si="3"/>
        <v>75</v>
      </c>
      <c r="J6" s="11">
        <f t="shared" si="0"/>
        <v>225</v>
      </c>
      <c r="K6" s="11">
        <f t="shared" si="0"/>
        <v>1125</v>
      </c>
      <c r="L6" s="47">
        <f t="shared" si="0"/>
        <v>3375</v>
      </c>
      <c r="M6" s="50">
        <f t="shared" si="5"/>
        <v>5</v>
      </c>
      <c r="N6" s="50">
        <f t="shared" si="6"/>
        <v>80</v>
      </c>
      <c r="O6" s="50">
        <f t="shared" si="7"/>
        <v>405</v>
      </c>
      <c r="P6" s="50">
        <f t="shared" si="8"/>
        <v>1280</v>
      </c>
      <c r="Q6" s="50">
        <f t="shared" ref="Q5:Q11" si="10">Q$2*Q5</f>
        <v>3125</v>
      </c>
      <c r="R6" s="50">
        <f t="shared" si="9"/>
        <v>6480</v>
      </c>
    </row>
    <row r="7" spans="1:18" x14ac:dyDescent="0.25">
      <c r="A7" s="11">
        <v>6</v>
      </c>
      <c r="B7" s="11">
        <v>12</v>
      </c>
      <c r="C7" s="47">
        <f t="shared" si="1"/>
        <v>18</v>
      </c>
      <c r="D7" s="49">
        <v>6</v>
      </c>
      <c r="E7" s="11"/>
      <c r="F7" s="47">
        <f t="shared" si="2"/>
        <v>18</v>
      </c>
      <c r="G7" s="49">
        <v>6</v>
      </c>
      <c r="H7" s="11">
        <v>18</v>
      </c>
      <c r="I7" s="11">
        <f t="shared" si="3"/>
        <v>108</v>
      </c>
      <c r="J7" s="11">
        <f t="shared" si="0"/>
        <v>324</v>
      </c>
      <c r="K7" s="11">
        <f t="shared" si="0"/>
        <v>1944</v>
      </c>
      <c r="L7" s="47">
        <f t="shared" si="0"/>
        <v>5832</v>
      </c>
      <c r="M7" s="50">
        <f t="shared" si="5"/>
        <v>5</v>
      </c>
      <c r="N7" s="50">
        <f>N$2*N6</f>
        <v>160</v>
      </c>
      <c r="O7" s="50">
        <f t="shared" si="7"/>
        <v>1215</v>
      </c>
      <c r="P7" s="50">
        <f t="shared" si="8"/>
        <v>5120</v>
      </c>
      <c r="Q7" s="50">
        <f t="shared" si="10"/>
        <v>15625</v>
      </c>
      <c r="R7" s="50">
        <f t="shared" si="9"/>
        <v>38880</v>
      </c>
    </row>
    <row r="8" spans="1:18" x14ac:dyDescent="0.25">
      <c r="A8" s="11">
        <v>7</v>
      </c>
      <c r="B8" s="11">
        <v>14</v>
      </c>
      <c r="C8" s="47">
        <f t="shared" si="1"/>
        <v>21</v>
      </c>
      <c r="D8" s="49">
        <v>7</v>
      </c>
      <c r="E8" s="11"/>
      <c r="F8" s="47">
        <f t="shared" si="2"/>
        <v>21</v>
      </c>
      <c r="G8" s="51">
        <v>7</v>
      </c>
      <c r="H8" s="50">
        <v>21</v>
      </c>
      <c r="I8" s="11">
        <f t="shared" si="3"/>
        <v>147</v>
      </c>
      <c r="J8" s="11">
        <f t="shared" si="0"/>
        <v>441</v>
      </c>
      <c r="K8" s="11">
        <f t="shared" si="0"/>
        <v>3087</v>
      </c>
      <c r="L8" s="47">
        <f t="shared" si="0"/>
        <v>9261</v>
      </c>
      <c r="M8" s="50">
        <f t="shared" si="5"/>
        <v>5</v>
      </c>
      <c r="N8" s="50">
        <f t="shared" si="6"/>
        <v>320</v>
      </c>
      <c r="O8" s="50">
        <f>O$2*O7</f>
        <v>3645</v>
      </c>
      <c r="P8" s="50">
        <f t="shared" si="8"/>
        <v>20480</v>
      </c>
      <c r="Q8" s="50">
        <f t="shared" si="10"/>
        <v>78125</v>
      </c>
      <c r="R8" s="50">
        <f t="shared" si="9"/>
        <v>233280</v>
      </c>
    </row>
    <row r="9" spans="1:18" x14ac:dyDescent="0.25">
      <c r="A9" s="11">
        <v>8</v>
      </c>
      <c r="B9" s="11">
        <v>16</v>
      </c>
      <c r="C9" s="47">
        <f t="shared" si="1"/>
        <v>24</v>
      </c>
      <c r="D9" s="49">
        <v>8</v>
      </c>
      <c r="E9" s="11"/>
      <c r="F9" s="47">
        <f t="shared" si="2"/>
        <v>24</v>
      </c>
      <c r="G9" s="49">
        <v>8</v>
      </c>
      <c r="H9" s="11">
        <v>24</v>
      </c>
      <c r="I9" s="11">
        <f t="shared" si="3"/>
        <v>192</v>
      </c>
      <c r="J9" s="11">
        <f t="shared" si="0"/>
        <v>576</v>
      </c>
      <c r="K9" s="11">
        <f t="shared" si="0"/>
        <v>4608</v>
      </c>
      <c r="L9" s="47">
        <f t="shared" si="0"/>
        <v>13824</v>
      </c>
      <c r="M9" s="50">
        <f t="shared" si="5"/>
        <v>5</v>
      </c>
      <c r="N9" s="50">
        <f t="shared" si="6"/>
        <v>640</v>
      </c>
      <c r="O9" s="50">
        <f>O$2*O8</f>
        <v>10935</v>
      </c>
      <c r="P9" s="50">
        <f t="shared" si="8"/>
        <v>81920</v>
      </c>
      <c r="Q9" s="50">
        <f t="shared" si="10"/>
        <v>390625</v>
      </c>
      <c r="R9" s="50">
        <f t="shared" si="9"/>
        <v>1399680</v>
      </c>
    </row>
    <row r="10" spans="1:18" x14ac:dyDescent="0.25">
      <c r="A10" s="11">
        <v>9</v>
      </c>
      <c r="B10" s="11">
        <v>18</v>
      </c>
      <c r="C10" s="47">
        <f t="shared" si="1"/>
        <v>27</v>
      </c>
      <c r="D10" s="49">
        <v>9</v>
      </c>
      <c r="E10" s="11"/>
      <c r="F10" s="47">
        <f t="shared" si="2"/>
        <v>27</v>
      </c>
      <c r="G10" s="51">
        <v>9</v>
      </c>
      <c r="H10" s="50">
        <v>27</v>
      </c>
      <c r="I10" s="11">
        <f t="shared" si="3"/>
        <v>243</v>
      </c>
      <c r="J10" s="11">
        <f t="shared" si="0"/>
        <v>729</v>
      </c>
      <c r="K10" s="11">
        <f t="shared" si="0"/>
        <v>6561</v>
      </c>
      <c r="L10" s="47">
        <f t="shared" si="0"/>
        <v>19683</v>
      </c>
      <c r="M10" s="50">
        <f t="shared" si="5"/>
        <v>5</v>
      </c>
      <c r="N10" s="50">
        <f t="shared" si="6"/>
        <v>1280</v>
      </c>
      <c r="O10" s="50">
        <f>O$2*O9</f>
        <v>32805</v>
      </c>
      <c r="P10" s="50">
        <f t="shared" si="8"/>
        <v>327680</v>
      </c>
      <c r="Q10" s="50">
        <f t="shared" si="10"/>
        <v>1953125</v>
      </c>
      <c r="R10" s="50">
        <f t="shared" si="9"/>
        <v>8398080</v>
      </c>
    </row>
    <row r="11" spans="1:18" x14ac:dyDescent="0.25">
      <c r="A11" s="11">
        <v>10</v>
      </c>
      <c r="B11" s="11">
        <v>20</v>
      </c>
      <c r="C11" s="47">
        <f>A11+B11</f>
        <v>30</v>
      </c>
      <c r="D11" s="49">
        <v>10</v>
      </c>
      <c r="E11" s="11"/>
      <c r="F11" s="47">
        <f t="shared" si="2"/>
        <v>30</v>
      </c>
      <c r="G11" s="49">
        <v>10</v>
      </c>
      <c r="H11" s="11">
        <v>30</v>
      </c>
      <c r="I11" s="11">
        <f t="shared" si="3"/>
        <v>300</v>
      </c>
      <c r="J11" s="11">
        <f t="shared" si="0"/>
        <v>900</v>
      </c>
      <c r="K11" s="11">
        <f t="shared" si="0"/>
        <v>9000</v>
      </c>
      <c r="L11" s="47">
        <f t="shared" si="0"/>
        <v>27000</v>
      </c>
      <c r="M11" s="50">
        <f t="shared" si="5"/>
        <v>5</v>
      </c>
      <c r="N11" s="50">
        <f t="shared" si="6"/>
        <v>2560</v>
      </c>
      <c r="O11" s="50">
        <f t="shared" si="7"/>
        <v>98415</v>
      </c>
      <c r="P11" s="50">
        <f t="shared" si="8"/>
        <v>1310720</v>
      </c>
      <c r="Q11" s="50">
        <f t="shared" si="10"/>
        <v>9765625</v>
      </c>
      <c r="R11" s="50">
        <f t="shared" si="9"/>
        <v>50388480</v>
      </c>
    </row>
    <row r="14" spans="1:18" x14ac:dyDescent="0.25">
      <c r="F14" s="52"/>
      <c r="G14" s="52"/>
      <c r="H14" s="52"/>
    </row>
    <row r="15" spans="1:18" x14ac:dyDescent="0.25">
      <c r="E15" s="53"/>
      <c r="F15" s="54">
        <v>12</v>
      </c>
      <c r="G15" s="3">
        <v>2</v>
      </c>
      <c r="H15" s="9">
        <f t="array" ref="H15:H17">F15:F17*G15</f>
        <v>24</v>
      </c>
      <c r="J15" s="3">
        <v>7.5</v>
      </c>
      <c r="K15" s="3">
        <v>8522</v>
      </c>
      <c r="L15" s="3"/>
      <c r="N15" s="6" t="s">
        <v>122</v>
      </c>
    </row>
    <row r="16" spans="1:18" x14ac:dyDescent="0.25">
      <c r="E16" s="53"/>
      <c r="F16" s="3">
        <v>13</v>
      </c>
      <c r="G16" s="3"/>
      <c r="H16" s="9">
        <v>26</v>
      </c>
      <c r="J16" s="3">
        <v>4.22</v>
      </c>
      <c r="K16" s="3">
        <v>7565</v>
      </c>
      <c r="L16" s="3"/>
      <c r="N16" s="6" t="s">
        <v>123</v>
      </c>
    </row>
    <row r="17" spans="6:12" x14ac:dyDescent="0.25">
      <c r="F17" s="3">
        <v>14</v>
      </c>
      <c r="G17" s="10"/>
      <c r="H17" s="12">
        <v>28</v>
      </c>
      <c r="J17" s="3">
        <v>5.61</v>
      </c>
      <c r="K17" s="3">
        <v>6325</v>
      </c>
      <c r="L17" s="3"/>
    </row>
    <row r="18" spans="6:12" x14ac:dyDescent="0.25">
      <c r="J18" s="3">
        <v>7.82</v>
      </c>
      <c r="K18" s="3">
        <v>4499</v>
      </c>
      <c r="L18" s="3"/>
    </row>
    <row r="19" spans="6:12" x14ac:dyDescent="0.25">
      <c r="J19" s="3"/>
      <c r="K19" s="3"/>
      <c r="L19" s="3">
        <f t="array" ref="L19">SUM(J15:J18*K15:K18)</f>
        <v>166504.72999999998</v>
      </c>
    </row>
  </sheetData>
  <mergeCells count="4">
    <mergeCell ref="A1:C1"/>
    <mergeCell ref="D1:F1"/>
    <mergeCell ref="G1:I1"/>
    <mergeCell ref="M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AE25-0939-4E37-B8A5-07A18CA04BA1}">
  <dimension ref="A1:L29"/>
  <sheetViews>
    <sheetView tabSelected="1" workbookViewId="0">
      <selection activeCell="M8" sqref="M8"/>
    </sheetView>
  </sheetViews>
  <sheetFormatPr baseColWidth="10" defaultRowHeight="15" x14ac:dyDescent="0.25"/>
  <cols>
    <col min="8" max="8" width="12" bestFit="1" customWidth="1"/>
    <col min="10" max="10" width="11.85546875" bestFit="1" customWidth="1"/>
  </cols>
  <sheetData>
    <row r="1" spans="1:12" x14ac:dyDescent="0.25">
      <c r="A1" s="55" t="s">
        <v>124</v>
      </c>
      <c r="B1" s="55"/>
      <c r="C1" s="55"/>
      <c r="D1" s="55"/>
      <c r="E1" s="55"/>
      <c r="F1" s="55"/>
      <c r="G1" s="55"/>
      <c r="H1" s="55"/>
    </row>
    <row r="2" spans="1:12" x14ac:dyDescent="0.25">
      <c r="A2" s="55" t="s">
        <v>125</v>
      </c>
      <c r="B2" s="55"/>
      <c r="C2" s="55"/>
      <c r="D2" s="55"/>
      <c r="E2" s="55"/>
      <c r="F2" s="55"/>
      <c r="G2" s="55"/>
      <c r="H2" s="55"/>
    </row>
    <row r="3" spans="1:12" x14ac:dyDescent="0.25">
      <c r="B3" s="56"/>
      <c r="C3" s="56"/>
      <c r="D3" s="56"/>
      <c r="E3" s="56"/>
      <c r="F3" s="56"/>
      <c r="G3" s="56"/>
    </row>
    <row r="4" spans="1:12" ht="30" x14ac:dyDescent="0.25">
      <c r="A4" s="57" t="s">
        <v>126</v>
      </c>
      <c r="B4" s="58" t="s">
        <v>127</v>
      </c>
      <c r="C4" s="58" t="s">
        <v>128</v>
      </c>
      <c r="D4" s="58" t="s">
        <v>129</v>
      </c>
      <c r="E4" s="58" t="s">
        <v>130</v>
      </c>
      <c r="F4" s="58" t="s">
        <v>131</v>
      </c>
      <c r="G4" s="58" t="s">
        <v>132</v>
      </c>
      <c r="H4" s="58" t="s">
        <v>133</v>
      </c>
      <c r="J4" s="59" t="s">
        <v>134</v>
      </c>
      <c r="L4" s="57" t="s">
        <v>135</v>
      </c>
    </row>
    <row r="5" spans="1:12" x14ac:dyDescent="0.25">
      <c r="A5" s="60" t="s">
        <v>136</v>
      </c>
      <c r="B5" s="61">
        <v>10</v>
      </c>
      <c r="C5" s="61">
        <v>6</v>
      </c>
      <c r="D5" s="61">
        <v>6</v>
      </c>
      <c r="E5" s="61">
        <v>2</v>
      </c>
      <c r="F5" s="61">
        <v>3</v>
      </c>
      <c r="G5" s="61">
        <v>6</v>
      </c>
      <c r="H5" s="62">
        <f>ROUND(AVERAGE(B5:G5),0)</f>
        <v>6</v>
      </c>
      <c r="J5" s="59"/>
      <c r="L5" s="60" t="s">
        <v>141</v>
      </c>
    </row>
    <row r="6" spans="1:12" x14ac:dyDescent="0.25">
      <c r="A6" s="60" t="s">
        <v>137</v>
      </c>
      <c r="B6" s="61">
        <v>6</v>
      </c>
      <c r="C6" s="61">
        <v>10</v>
      </c>
      <c r="D6" s="61">
        <v>7</v>
      </c>
      <c r="E6" s="61">
        <v>9</v>
      </c>
      <c r="F6" s="61">
        <v>10</v>
      </c>
      <c r="G6" s="61">
        <v>8</v>
      </c>
      <c r="H6" s="62">
        <f t="shared" ref="H6:H29" si="0">ROUND(AVERAGE(B6:G6),0)</f>
        <v>8</v>
      </c>
      <c r="J6" s="20">
        <f>AVERAGE(H5:H29)</f>
        <v>7.12</v>
      </c>
      <c r="L6" s="60" t="s">
        <v>155</v>
      </c>
    </row>
    <row r="7" spans="1:12" x14ac:dyDescent="0.25">
      <c r="A7" s="60" t="s">
        <v>138</v>
      </c>
      <c r="B7" s="61">
        <v>7</v>
      </c>
      <c r="C7" s="61">
        <v>10</v>
      </c>
      <c r="D7" s="61">
        <v>8</v>
      </c>
      <c r="E7" s="61">
        <v>2</v>
      </c>
      <c r="F7" s="61">
        <v>9</v>
      </c>
      <c r="G7" s="61">
        <v>9</v>
      </c>
      <c r="H7" s="62">
        <f t="shared" si="0"/>
        <v>8</v>
      </c>
      <c r="L7" s="60" t="s">
        <v>137</v>
      </c>
    </row>
    <row r="8" spans="1:12" x14ac:dyDescent="0.25">
      <c r="A8" s="60" t="s">
        <v>139</v>
      </c>
      <c r="B8" s="61">
        <v>10</v>
      </c>
      <c r="C8" s="61">
        <v>10</v>
      </c>
      <c r="D8" s="61">
        <v>10</v>
      </c>
      <c r="E8" s="61">
        <v>6</v>
      </c>
      <c r="F8" s="61">
        <v>8</v>
      </c>
      <c r="G8" s="61">
        <v>6</v>
      </c>
      <c r="H8" s="62">
        <f t="shared" si="0"/>
        <v>8</v>
      </c>
      <c r="J8" s="59" t="s">
        <v>161</v>
      </c>
      <c r="L8" s="60" t="s">
        <v>145</v>
      </c>
    </row>
    <row r="9" spans="1:12" x14ac:dyDescent="0.25">
      <c r="A9" s="60" t="s">
        <v>140</v>
      </c>
      <c r="B9" s="61">
        <v>5</v>
      </c>
      <c r="C9" s="61">
        <v>10</v>
      </c>
      <c r="D9" s="61">
        <v>10</v>
      </c>
      <c r="E9" s="61">
        <v>8</v>
      </c>
      <c r="F9" s="61">
        <v>10</v>
      </c>
      <c r="G9" s="61">
        <v>6</v>
      </c>
      <c r="H9" s="62">
        <f t="shared" si="0"/>
        <v>8</v>
      </c>
      <c r="J9" s="59"/>
      <c r="L9" s="60" t="s">
        <v>160</v>
      </c>
    </row>
    <row r="10" spans="1:12" x14ac:dyDescent="0.25">
      <c r="A10" s="60" t="s">
        <v>141</v>
      </c>
      <c r="B10" s="61">
        <v>9</v>
      </c>
      <c r="C10" s="61">
        <v>10</v>
      </c>
      <c r="D10" s="61">
        <v>5</v>
      </c>
      <c r="E10" s="61">
        <v>10</v>
      </c>
      <c r="F10" s="61">
        <v>5</v>
      </c>
      <c r="G10" s="61">
        <v>10</v>
      </c>
      <c r="H10" s="62">
        <f t="shared" si="0"/>
        <v>8</v>
      </c>
      <c r="J10" s="3">
        <f t="array" ref="J10">AVERAGE(IF(H5:H29&lt;6,H5:H29,""))</f>
        <v>4</v>
      </c>
      <c r="L10" s="60" t="s">
        <v>136</v>
      </c>
    </row>
    <row r="11" spans="1:12" x14ac:dyDescent="0.25">
      <c r="A11" s="60" t="s">
        <v>142</v>
      </c>
      <c r="B11" s="61">
        <v>6</v>
      </c>
      <c r="C11" s="61">
        <v>7</v>
      </c>
      <c r="D11" s="61">
        <v>0</v>
      </c>
      <c r="E11" s="61">
        <v>2</v>
      </c>
      <c r="F11" s="61">
        <v>2</v>
      </c>
      <c r="G11" s="61">
        <v>0</v>
      </c>
      <c r="H11" s="62">
        <f t="shared" si="0"/>
        <v>3</v>
      </c>
      <c r="L11" s="60" t="s">
        <v>159</v>
      </c>
    </row>
    <row r="12" spans="1:12" x14ac:dyDescent="0.25">
      <c r="A12" s="60" t="s">
        <v>143</v>
      </c>
      <c r="B12" s="61">
        <v>5</v>
      </c>
      <c r="C12" s="61">
        <v>10</v>
      </c>
      <c r="D12" s="61">
        <v>10</v>
      </c>
      <c r="E12" s="61">
        <v>10</v>
      </c>
      <c r="F12" s="61">
        <v>10</v>
      </c>
      <c r="G12" s="61">
        <v>10</v>
      </c>
      <c r="H12" s="62">
        <f t="shared" si="0"/>
        <v>9</v>
      </c>
      <c r="L12" s="60" t="s">
        <v>146</v>
      </c>
    </row>
    <row r="13" spans="1:12" x14ac:dyDescent="0.25">
      <c r="A13" s="60" t="s">
        <v>144</v>
      </c>
      <c r="B13" s="61">
        <v>7</v>
      </c>
      <c r="C13" s="61">
        <v>10</v>
      </c>
      <c r="D13" s="61">
        <v>10</v>
      </c>
      <c r="E13" s="61">
        <v>10</v>
      </c>
      <c r="F13" s="61">
        <v>10</v>
      </c>
      <c r="G13" s="61">
        <v>10</v>
      </c>
      <c r="H13" s="62">
        <f t="shared" si="0"/>
        <v>10</v>
      </c>
      <c r="L13" s="60" t="s">
        <v>142</v>
      </c>
    </row>
    <row r="14" spans="1:12" x14ac:dyDescent="0.25">
      <c r="A14" s="60" t="s">
        <v>145</v>
      </c>
      <c r="B14" s="61">
        <v>10</v>
      </c>
      <c r="C14" s="61">
        <v>7</v>
      </c>
      <c r="D14" s="61">
        <v>9</v>
      </c>
      <c r="E14" s="61">
        <v>6</v>
      </c>
      <c r="F14" s="61">
        <v>6</v>
      </c>
      <c r="G14" s="61">
        <v>7</v>
      </c>
      <c r="H14" s="62">
        <f t="shared" si="0"/>
        <v>8</v>
      </c>
      <c r="L14" s="60" t="s">
        <v>150</v>
      </c>
    </row>
    <row r="15" spans="1:12" x14ac:dyDescent="0.25">
      <c r="A15" s="60" t="s">
        <v>146</v>
      </c>
      <c r="B15" s="61">
        <v>4</v>
      </c>
      <c r="C15" s="61">
        <v>10</v>
      </c>
      <c r="D15" s="61">
        <v>2</v>
      </c>
      <c r="E15" s="61">
        <v>8</v>
      </c>
      <c r="F15" s="61">
        <v>4</v>
      </c>
      <c r="G15" s="61">
        <v>5</v>
      </c>
      <c r="H15" s="62">
        <f t="shared" si="0"/>
        <v>6</v>
      </c>
      <c r="L15" s="60" t="s">
        <v>154</v>
      </c>
    </row>
    <row r="16" spans="1:12" x14ac:dyDescent="0.25">
      <c r="A16" s="60" t="s">
        <v>147</v>
      </c>
      <c r="B16" s="61">
        <v>2</v>
      </c>
      <c r="C16" s="61">
        <v>2</v>
      </c>
      <c r="D16" s="61">
        <v>3</v>
      </c>
      <c r="E16" s="61">
        <v>2</v>
      </c>
      <c r="F16" s="61">
        <v>10</v>
      </c>
      <c r="G16" s="61">
        <v>6</v>
      </c>
      <c r="H16" s="62">
        <f t="shared" si="0"/>
        <v>4</v>
      </c>
      <c r="L16" s="60" t="s">
        <v>148</v>
      </c>
    </row>
    <row r="17" spans="1:12" x14ac:dyDescent="0.25">
      <c r="A17" s="60" t="s">
        <v>148</v>
      </c>
      <c r="B17" s="61">
        <v>8</v>
      </c>
      <c r="C17" s="61">
        <v>7</v>
      </c>
      <c r="D17" s="61">
        <v>5</v>
      </c>
      <c r="E17" s="61">
        <v>6</v>
      </c>
      <c r="F17" s="61">
        <v>10</v>
      </c>
      <c r="G17" s="61">
        <v>10</v>
      </c>
      <c r="H17" s="62">
        <f t="shared" si="0"/>
        <v>8</v>
      </c>
      <c r="L17" s="60" t="s">
        <v>149</v>
      </c>
    </row>
    <row r="18" spans="1:12" x14ac:dyDescent="0.25">
      <c r="A18" s="60" t="s">
        <v>149</v>
      </c>
      <c r="B18" s="61">
        <v>1</v>
      </c>
      <c r="C18" s="61">
        <v>7</v>
      </c>
      <c r="D18" s="61">
        <v>8</v>
      </c>
      <c r="E18" s="61">
        <v>3</v>
      </c>
      <c r="F18" s="61">
        <v>2</v>
      </c>
      <c r="G18" s="61">
        <v>6</v>
      </c>
      <c r="H18" s="62">
        <f t="shared" si="0"/>
        <v>5</v>
      </c>
      <c r="L18" s="60" t="s">
        <v>140</v>
      </c>
    </row>
    <row r="19" spans="1:12" x14ac:dyDescent="0.25">
      <c r="A19" s="60" t="s">
        <v>150</v>
      </c>
      <c r="B19" s="61">
        <v>4</v>
      </c>
      <c r="C19" s="61">
        <v>7</v>
      </c>
      <c r="D19" s="61">
        <v>4</v>
      </c>
      <c r="E19" s="61">
        <v>9</v>
      </c>
      <c r="F19" s="61">
        <v>5</v>
      </c>
      <c r="G19" s="61">
        <v>7</v>
      </c>
      <c r="H19" s="62">
        <f t="shared" si="0"/>
        <v>6</v>
      </c>
      <c r="L19" s="60" t="s">
        <v>157</v>
      </c>
    </row>
    <row r="20" spans="1:12" x14ac:dyDescent="0.25">
      <c r="A20" s="60" t="s">
        <v>151</v>
      </c>
      <c r="B20" s="61">
        <v>3</v>
      </c>
      <c r="C20" s="61">
        <v>8</v>
      </c>
      <c r="D20" s="61">
        <v>10</v>
      </c>
      <c r="E20" s="61">
        <v>10</v>
      </c>
      <c r="F20" s="61">
        <v>6</v>
      </c>
      <c r="G20" s="61">
        <v>10</v>
      </c>
      <c r="H20" s="62">
        <f t="shared" si="0"/>
        <v>8</v>
      </c>
      <c r="L20" s="60" t="s">
        <v>151</v>
      </c>
    </row>
    <row r="21" spans="1:12" x14ac:dyDescent="0.25">
      <c r="A21" s="60" t="s">
        <v>152</v>
      </c>
      <c r="B21" s="61">
        <v>8</v>
      </c>
      <c r="C21" s="61">
        <v>4</v>
      </c>
      <c r="D21" s="61">
        <v>6</v>
      </c>
      <c r="E21" s="61">
        <v>2</v>
      </c>
      <c r="F21" s="61">
        <v>8</v>
      </c>
      <c r="G21" s="61">
        <v>5</v>
      </c>
      <c r="H21" s="62">
        <f t="shared" si="0"/>
        <v>6</v>
      </c>
      <c r="L21" s="60" t="s">
        <v>153</v>
      </c>
    </row>
    <row r="22" spans="1:12" x14ac:dyDescent="0.25">
      <c r="A22" s="60" t="s">
        <v>153</v>
      </c>
      <c r="B22" s="61">
        <v>10</v>
      </c>
      <c r="C22" s="61">
        <v>10</v>
      </c>
      <c r="D22" s="61">
        <v>10</v>
      </c>
      <c r="E22" s="61">
        <v>10</v>
      </c>
      <c r="F22" s="61">
        <v>8</v>
      </c>
      <c r="G22" s="61">
        <v>10</v>
      </c>
      <c r="H22" s="62">
        <f t="shared" si="0"/>
        <v>10</v>
      </c>
      <c r="L22" s="60" t="s">
        <v>143</v>
      </c>
    </row>
    <row r="23" spans="1:12" x14ac:dyDescent="0.25">
      <c r="A23" s="60" t="s">
        <v>154</v>
      </c>
      <c r="B23" s="61">
        <v>9</v>
      </c>
      <c r="C23" s="61">
        <v>8</v>
      </c>
      <c r="D23" s="61">
        <v>5</v>
      </c>
      <c r="E23" s="61">
        <v>7</v>
      </c>
      <c r="F23" s="61">
        <v>5</v>
      </c>
      <c r="G23" s="61">
        <v>3</v>
      </c>
      <c r="H23" s="62">
        <f t="shared" si="0"/>
        <v>6</v>
      </c>
      <c r="L23" s="60" t="s">
        <v>144</v>
      </c>
    </row>
    <row r="24" spans="1:12" x14ac:dyDescent="0.25">
      <c r="A24" s="60" t="s">
        <v>155</v>
      </c>
      <c r="B24" s="61">
        <v>5</v>
      </c>
      <c r="C24" s="61">
        <v>7</v>
      </c>
      <c r="D24" s="61">
        <v>4</v>
      </c>
      <c r="E24" s="61">
        <v>9</v>
      </c>
      <c r="F24" s="61">
        <v>4</v>
      </c>
      <c r="G24" s="61">
        <v>6</v>
      </c>
      <c r="H24" s="62">
        <f t="shared" si="0"/>
        <v>6</v>
      </c>
      <c r="L24" s="60" t="s">
        <v>152</v>
      </c>
    </row>
    <row r="25" spans="1:12" x14ac:dyDescent="0.25">
      <c r="A25" s="60" t="s">
        <v>156</v>
      </c>
      <c r="B25" s="61">
        <v>10</v>
      </c>
      <c r="C25" s="61">
        <v>9</v>
      </c>
      <c r="D25" s="61">
        <v>7</v>
      </c>
      <c r="E25" s="61">
        <v>10</v>
      </c>
      <c r="F25" s="61">
        <v>5</v>
      </c>
      <c r="G25" s="61">
        <v>6</v>
      </c>
      <c r="H25" s="62">
        <f t="shared" si="0"/>
        <v>8</v>
      </c>
      <c r="L25" s="60" t="s">
        <v>138</v>
      </c>
    </row>
    <row r="26" spans="1:12" x14ac:dyDescent="0.25">
      <c r="A26" s="60" t="s">
        <v>157</v>
      </c>
      <c r="B26" s="61">
        <v>6</v>
      </c>
      <c r="C26" s="61">
        <v>9</v>
      </c>
      <c r="D26" s="61">
        <v>10</v>
      </c>
      <c r="E26" s="61">
        <v>4</v>
      </c>
      <c r="F26" s="61">
        <v>10</v>
      </c>
      <c r="G26" s="61">
        <v>10</v>
      </c>
      <c r="H26" s="62">
        <f t="shared" si="0"/>
        <v>8</v>
      </c>
      <c r="L26" s="60" t="s">
        <v>147</v>
      </c>
    </row>
    <row r="27" spans="1:12" x14ac:dyDescent="0.25">
      <c r="A27" s="60" t="s">
        <v>158</v>
      </c>
      <c r="B27" s="61">
        <v>10</v>
      </c>
      <c r="C27" s="61">
        <v>10</v>
      </c>
      <c r="D27" s="61">
        <v>9</v>
      </c>
      <c r="E27" s="61">
        <v>6</v>
      </c>
      <c r="F27" s="61">
        <v>10</v>
      </c>
      <c r="G27" s="61">
        <v>10</v>
      </c>
      <c r="H27" s="62">
        <f t="shared" si="0"/>
        <v>9</v>
      </c>
      <c r="L27" s="60" t="s">
        <v>139</v>
      </c>
    </row>
    <row r="28" spans="1:12" x14ac:dyDescent="0.25">
      <c r="A28" s="60" t="s">
        <v>159</v>
      </c>
      <c r="B28" s="61">
        <v>8</v>
      </c>
      <c r="C28" s="61">
        <v>5</v>
      </c>
      <c r="D28" s="61">
        <v>6</v>
      </c>
      <c r="E28" s="61">
        <v>7</v>
      </c>
      <c r="F28" s="61">
        <v>6</v>
      </c>
      <c r="G28" s="61">
        <v>5</v>
      </c>
      <c r="H28" s="62">
        <f t="shared" si="0"/>
        <v>6</v>
      </c>
      <c r="L28" s="60" t="s">
        <v>158</v>
      </c>
    </row>
    <row r="29" spans="1:12" x14ac:dyDescent="0.25">
      <c r="A29" s="60" t="s">
        <v>160</v>
      </c>
      <c r="B29" s="61">
        <v>6</v>
      </c>
      <c r="C29" s="61">
        <v>8</v>
      </c>
      <c r="D29" s="61">
        <v>7</v>
      </c>
      <c r="E29" s="61">
        <v>6</v>
      </c>
      <c r="F29" s="61">
        <v>5</v>
      </c>
      <c r="G29" s="61">
        <v>3</v>
      </c>
      <c r="H29" s="62">
        <f t="shared" si="0"/>
        <v>6</v>
      </c>
      <c r="L29" s="60" t="s">
        <v>156</v>
      </c>
    </row>
  </sheetData>
  <sortState ref="L5:L29">
    <sortCondition ref="L5"/>
  </sortState>
  <mergeCells count="4">
    <mergeCell ref="A1:H1"/>
    <mergeCell ref="A2:H2"/>
    <mergeCell ref="J4:J5"/>
    <mergeCell ref="J8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relleno personalizado</vt:lpstr>
      <vt:lpstr>proyecto1</vt:lpstr>
      <vt:lpstr>formatos_proyecto2</vt:lpstr>
      <vt:lpstr>operaciones_func</vt:lpstr>
      <vt:lpstr>proyecto3</vt:lpstr>
      <vt:lpstr>Absolutos y relativos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JHIRO</dc:creator>
  <cp:lastModifiedBy>JHIRO</cp:lastModifiedBy>
  <dcterms:created xsi:type="dcterms:W3CDTF">2025-01-03T19:21:56Z</dcterms:created>
  <dcterms:modified xsi:type="dcterms:W3CDTF">2025-01-03T23:21:39Z</dcterms:modified>
</cp:coreProperties>
</file>